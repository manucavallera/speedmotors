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eedMotors\Desktop\"/>
    </mc:Choice>
  </mc:AlternateContent>
  <xr:revisionPtr revIDLastSave="0" documentId="8_{33386E93-3503-4BAF-AA16-F3FD9C649982}" xr6:coauthVersionLast="47" xr6:coauthVersionMax="47" xr10:uidLastSave="{00000000-0000-0000-0000-000000000000}"/>
  <bookViews>
    <workbookView xWindow="-120" yWindow="-120" windowWidth="15600" windowHeight="11040" tabRatio="851" firstSheet="1" activeTab="1" xr2:uid="{00000000-000D-0000-FFFF-FFFF00000000}"/>
  </bookViews>
  <sheets>
    <sheet name="Por Moto" sheetId="9" state="hidden" r:id="rId1"/>
    <sheet name="Lista de precios general" sheetId="13" r:id="rId2"/>
    <sheet name="¡Empezá tu pedido!" sheetId="11" r:id="rId3"/>
  </sheets>
  <definedNames>
    <definedName name="_xlnm._FilterDatabase" localSheetId="0" hidden="1">'Por Moto'!$A$3:$C$879</definedName>
    <definedName name="_xlnm.Print_Area" localSheetId="0">'Por Moto'!$A$1:$C$738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11" l="1"/>
  <c r="C4" i="11"/>
  <c r="D4" i="11"/>
  <c r="F4" i="11" s="1"/>
  <c r="B5" i="11"/>
  <c r="C5" i="11"/>
  <c r="D5" i="11"/>
  <c r="F5" i="11" s="1"/>
  <c r="B6" i="11"/>
  <c r="C6" i="11"/>
  <c r="D6" i="11"/>
  <c r="F6" i="11" s="1"/>
  <c r="B7" i="11"/>
  <c r="C7" i="11"/>
  <c r="D7" i="11"/>
  <c r="F7" i="11" s="1"/>
  <c r="B8" i="11"/>
  <c r="C8" i="11"/>
  <c r="D8" i="11"/>
  <c r="F8" i="11" s="1"/>
  <c r="B9" i="11"/>
  <c r="C9" i="11"/>
  <c r="D9" i="11"/>
  <c r="F9" i="11" s="1"/>
  <c r="B10" i="11"/>
  <c r="C10" i="11"/>
  <c r="D10" i="11"/>
  <c r="F10" i="11" s="1"/>
  <c r="B11" i="11"/>
  <c r="C11" i="11"/>
  <c r="D11" i="11"/>
  <c r="F11" i="11" s="1"/>
  <c r="B12" i="11"/>
  <c r="C12" i="11"/>
  <c r="D12" i="11"/>
  <c r="F12" i="11" s="1"/>
  <c r="B13" i="11"/>
  <c r="C13" i="11"/>
  <c r="D13" i="11"/>
  <c r="F13" i="11" s="1"/>
  <c r="B14" i="11"/>
  <c r="C14" i="11"/>
  <c r="D14" i="11"/>
  <c r="F14" i="11" s="1"/>
  <c r="B15" i="11"/>
  <c r="C15" i="11"/>
  <c r="D15" i="11"/>
  <c r="F15" i="11" s="1"/>
  <c r="B16" i="11"/>
  <c r="C16" i="11"/>
  <c r="D16" i="11"/>
  <c r="F16" i="11" s="1"/>
  <c r="B17" i="11"/>
  <c r="C17" i="11"/>
  <c r="D17" i="11"/>
  <c r="F17" i="11" s="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D18" i="11"/>
  <c r="F18" i="11" s="1"/>
  <c r="D19" i="11"/>
  <c r="F19" i="11" s="1"/>
  <c r="D20" i="11"/>
  <c r="F20" i="11" s="1"/>
  <c r="D21" i="11"/>
  <c r="F21" i="11" s="1"/>
  <c r="D22" i="11"/>
  <c r="F22" i="11" s="1"/>
  <c r="D23" i="11"/>
  <c r="F23" i="11" s="1"/>
  <c r="D24" i="11"/>
  <c r="F24" i="11" s="1"/>
  <c r="D25" i="11"/>
  <c r="F25" i="11" s="1"/>
  <c r="D26" i="11"/>
  <c r="F26" i="11" s="1"/>
  <c r="D27" i="11"/>
  <c r="F27" i="11" s="1"/>
  <c r="D28" i="11"/>
  <c r="F28" i="11" s="1"/>
  <c r="D29" i="11"/>
  <c r="F29" i="11" s="1"/>
  <c r="D30" i="11"/>
  <c r="F30" i="11" s="1"/>
  <c r="D31" i="11"/>
  <c r="F31" i="11" s="1"/>
  <c r="D32" i="11"/>
  <c r="F32" i="11" s="1"/>
  <c r="D33" i="11"/>
  <c r="F33" i="11" s="1"/>
  <c r="D34" i="11"/>
  <c r="F34" i="11" s="1"/>
  <c r="D35" i="11"/>
  <c r="F35" i="11" s="1"/>
  <c r="D36" i="11"/>
  <c r="F36" i="11" s="1"/>
  <c r="D37" i="11"/>
  <c r="F37" i="11" s="1"/>
  <c r="D38" i="11"/>
  <c r="F38" i="11" s="1"/>
  <c r="D39" i="11"/>
  <c r="F39" i="11" s="1"/>
  <c r="D40" i="11"/>
  <c r="F40" i="11" s="1"/>
  <c r="D41" i="11"/>
  <c r="F41" i="11" s="1"/>
  <c r="D42" i="11"/>
  <c r="F42" i="11" s="1"/>
  <c r="D43" i="11"/>
  <c r="F43" i="11" s="1"/>
  <c r="D44" i="11"/>
  <c r="F44" i="11" s="1"/>
  <c r="D45" i="11"/>
  <c r="F45" i="11" s="1"/>
  <c r="D46" i="11"/>
  <c r="F46" i="11" s="1"/>
  <c r="D47" i="11"/>
  <c r="F47" i="11" s="1"/>
  <c r="D48" i="11"/>
  <c r="F48" i="11" s="1"/>
  <c r="D49" i="11"/>
  <c r="F49" i="11" s="1"/>
  <c r="D50" i="11"/>
  <c r="F50" i="11" s="1"/>
  <c r="D51" i="11"/>
  <c r="F51" i="11" s="1"/>
  <c r="D52" i="11"/>
  <c r="F52" i="11" s="1"/>
  <c r="D53" i="11"/>
  <c r="F53" i="11" s="1"/>
  <c r="D54" i="11"/>
  <c r="F54" i="11" s="1"/>
  <c r="D55" i="11"/>
  <c r="F55" i="11" s="1"/>
  <c r="D56" i="11"/>
  <c r="F56" i="11" s="1"/>
  <c r="D57" i="11"/>
  <c r="F57" i="11" s="1"/>
  <c r="D58" i="11"/>
  <c r="F58" i="11" s="1"/>
  <c r="D59" i="11"/>
  <c r="F59" i="11" s="1"/>
  <c r="D60" i="11"/>
  <c r="F60" i="11" s="1"/>
  <c r="D61" i="11"/>
  <c r="F61" i="11" s="1"/>
  <c r="D62" i="11"/>
  <c r="F62" i="11" s="1"/>
  <c r="D63" i="11"/>
  <c r="F63" i="11" s="1"/>
  <c r="D64" i="11"/>
  <c r="F64" i="11" s="1"/>
  <c r="D65" i="11"/>
  <c r="F65" i="11" s="1"/>
  <c r="D66" i="11"/>
  <c r="F66" i="11" s="1"/>
  <c r="D67" i="11"/>
  <c r="F67" i="11" s="1"/>
  <c r="D68" i="11"/>
  <c r="F68" i="11" s="1"/>
  <c r="D69" i="11"/>
  <c r="F69" i="11" s="1"/>
  <c r="D70" i="11"/>
  <c r="F70" i="11" s="1"/>
  <c r="D71" i="11"/>
  <c r="F71" i="11" s="1"/>
  <c r="D72" i="11"/>
  <c r="F72" i="11" s="1"/>
  <c r="D73" i="11"/>
  <c r="F73" i="11" s="1"/>
  <c r="D74" i="11"/>
  <c r="F74" i="11" s="1"/>
  <c r="D75" i="11"/>
  <c r="F75" i="11" s="1"/>
  <c r="D76" i="11"/>
  <c r="F76" i="11" s="1"/>
  <c r="D77" i="11"/>
  <c r="F77" i="11" s="1"/>
  <c r="D78" i="11"/>
  <c r="F78" i="11" s="1"/>
  <c r="D79" i="11"/>
  <c r="F79" i="11" s="1"/>
  <c r="D80" i="11"/>
  <c r="F80" i="11" s="1"/>
  <c r="D81" i="11"/>
  <c r="F81" i="11" s="1"/>
  <c r="D82" i="11"/>
  <c r="F82" i="11" s="1"/>
  <c r="D83" i="11"/>
  <c r="F83" i="11" s="1"/>
  <c r="D84" i="11"/>
  <c r="F84" i="11" s="1"/>
  <c r="D85" i="11"/>
  <c r="F85" i="11" s="1"/>
  <c r="D86" i="11"/>
  <c r="F86" i="11" s="1"/>
  <c r="D87" i="11"/>
  <c r="F87" i="11" s="1"/>
  <c r="D88" i="11"/>
  <c r="F88" i="11" s="1"/>
  <c r="D89" i="11"/>
  <c r="F89" i="11" s="1"/>
  <c r="D90" i="11"/>
  <c r="F90" i="11" s="1"/>
  <c r="D91" i="11"/>
  <c r="F91" i="11" s="1"/>
  <c r="D92" i="11"/>
  <c r="F92" i="11" s="1"/>
  <c r="D93" i="11"/>
  <c r="F93" i="11" s="1"/>
  <c r="D94" i="11"/>
  <c r="F94" i="11" s="1"/>
  <c r="D95" i="11"/>
  <c r="F95" i="11" s="1"/>
  <c r="D96" i="11"/>
  <c r="F96" i="11" s="1"/>
  <c r="D97" i="11"/>
  <c r="F97" i="11" s="1"/>
  <c r="D98" i="11"/>
  <c r="F98" i="11" s="1"/>
  <c r="D99" i="11"/>
  <c r="F99" i="11" s="1"/>
  <c r="D100" i="11"/>
  <c r="F100" i="11" s="1"/>
  <c r="D101" i="11"/>
  <c r="F101" i="11" s="1"/>
  <c r="D102" i="11"/>
  <c r="F102" i="11" s="1"/>
  <c r="D103" i="11"/>
  <c r="F103" i="11" s="1"/>
  <c r="D104" i="11"/>
  <c r="F104" i="11" s="1"/>
  <c r="D105" i="11"/>
  <c r="F105" i="11" s="1"/>
  <c r="D106" i="11"/>
  <c r="F106" i="11" s="1"/>
  <c r="D107" i="11"/>
  <c r="F107" i="11" s="1"/>
  <c r="D108" i="11"/>
  <c r="F108" i="11" s="1"/>
  <c r="D109" i="11"/>
  <c r="F109" i="11" s="1"/>
  <c r="D110" i="11"/>
  <c r="F110" i="11" s="1"/>
  <c r="D111" i="11"/>
  <c r="F111" i="11" s="1"/>
  <c r="D112" i="11"/>
  <c r="F112" i="11" s="1"/>
  <c r="D113" i="11"/>
  <c r="F113" i="11" s="1"/>
  <c r="D114" i="11"/>
  <c r="F114" i="11" s="1"/>
  <c r="D115" i="11"/>
  <c r="F115" i="11" s="1"/>
  <c r="D116" i="11"/>
  <c r="F116" i="11" s="1"/>
  <c r="D117" i="11"/>
  <c r="F117" i="11" s="1"/>
  <c r="D118" i="11"/>
  <c r="F118" i="11" s="1"/>
  <c r="D119" i="11"/>
  <c r="F119" i="11" s="1"/>
  <c r="D120" i="11"/>
  <c r="F120" i="11" s="1"/>
  <c r="D121" i="11"/>
  <c r="F121" i="11" s="1"/>
  <c r="D122" i="11"/>
  <c r="F122" i="11" s="1"/>
  <c r="D123" i="11"/>
  <c r="F123" i="11" s="1"/>
  <c r="D124" i="11"/>
  <c r="F124" i="11" s="1"/>
  <c r="D125" i="11"/>
  <c r="F125" i="11" s="1"/>
  <c r="D126" i="11"/>
  <c r="F126" i="11" s="1"/>
  <c r="D127" i="11"/>
  <c r="F127" i="11" s="1"/>
  <c r="D128" i="11"/>
  <c r="F128" i="11" s="1"/>
  <c r="D129" i="11"/>
  <c r="F129" i="11" s="1"/>
  <c r="D130" i="11"/>
  <c r="F130" i="11" s="1"/>
  <c r="D131" i="11"/>
  <c r="F131" i="11" s="1"/>
  <c r="D132" i="11"/>
  <c r="F132" i="11" s="1"/>
  <c r="D133" i="11"/>
  <c r="F133" i="11" s="1"/>
  <c r="D134" i="11"/>
  <c r="F134" i="11" s="1"/>
  <c r="D135" i="11"/>
  <c r="F135" i="11" s="1"/>
  <c r="D136" i="11"/>
  <c r="F136" i="11" s="1"/>
  <c r="D137" i="11"/>
  <c r="F137" i="11" s="1"/>
  <c r="D138" i="11"/>
  <c r="F138" i="11" s="1"/>
  <c r="D139" i="11"/>
  <c r="F139" i="11" s="1"/>
  <c r="D140" i="11"/>
  <c r="F140" i="11" s="1"/>
  <c r="D141" i="11"/>
  <c r="F141" i="11" s="1"/>
  <c r="D142" i="11"/>
  <c r="F142" i="11" s="1"/>
  <c r="D143" i="11"/>
  <c r="F143" i="11" s="1"/>
  <c r="D144" i="11"/>
  <c r="F144" i="11" s="1"/>
  <c r="D145" i="11"/>
  <c r="F145" i="11" s="1"/>
  <c r="D146" i="11"/>
  <c r="F146" i="11" s="1"/>
  <c r="D147" i="11"/>
  <c r="F147" i="11" s="1"/>
  <c r="D148" i="11"/>
  <c r="F148" i="11" s="1"/>
  <c r="D149" i="11"/>
  <c r="F149" i="11" s="1"/>
  <c r="D150" i="11"/>
  <c r="F150" i="11" s="1"/>
  <c r="D151" i="11"/>
  <c r="F151" i="11" s="1"/>
  <c r="D152" i="11"/>
  <c r="F152" i="11" s="1"/>
  <c r="D153" i="11"/>
  <c r="F153" i="11" s="1"/>
  <c r="D154" i="11"/>
  <c r="F154" i="11" s="1"/>
  <c r="D155" i="11"/>
  <c r="F155" i="11" s="1"/>
  <c r="D156" i="11"/>
  <c r="F156" i="11" s="1"/>
  <c r="D157" i="11"/>
  <c r="F157" i="11" s="1"/>
  <c r="D158" i="11"/>
  <c r="F158" i="11" s="1"/>
  <c r="D159" i="11"/>
  <c r="F159" i="11" s="1"/>
  <c r="D160" i="11"/>
  <c r="F160" i="11" s="1"/>
  <c r="D161" i="11"/>
  <c r="F161" i="11" s="1"/>
  <c r="D162" i="11"/>
  <c r="F162" i="11" s="1"/>
  <c r="D163" i="11"/>
  <c r="F163" i="11" s="1"/>
  <c r="D164" i="11"/>
  <c r="F164" i="11" s="1"/>
  <c r="D165" i="11"/>
  <c r="F165" i="11" s="1"/>
  <c r="D166" i="11"/>
  <c r="F166" i="11" s="1"/>
  <c r="D167" i="11"/>
  <c r="F167" i="11" s="1"/>
  <c r="D168" i="11"/>
  <c r="F168" i="11" s="1"/>
  <c r="D169" i="11"/>
  <c r="F169" i="11" s="1"/>
  <c r="D170" i="11"/>
  <c r="F170" i="11" s="1"/>
  <c r="D171" i="11"/>
  <c r="F171" i="11" s="1"/>
  <c r="D172" i="11"/>
  <c r="F172" i="11" s="1"/>
  <c r="D173" i="11"/>
  <c r="F173" i="11" s="1"/>
  <c r="D174" i="11"/>
  <c r="F174" i="11" s="1"/>
  <c r="D175" i="11"/>
  <c r="F175" i="11" s="1"/>
  <c r="D176" i="11"/>
  <c r="F176" i="11" s="1"/>
  <c r="D177" i="11"/>
  <c r="F177" i="11" s="1"/>
  <c r="D178" i="11"/>
  <c r="F178" i="11" s="1"/>
  <c r="D179" i="11"/>
  <c r="F179" i="11" s="1"/>
  <c r="D180" i="11"/>
  <c r="F180" i="11" s="1"/>
  <c r="D181" i="11"/>
  <c r="F181" i="11" s="1"/>
  <c r="D182" i="11"/>
  <c r="F182" i="11" s="1"/>
  <c r="D183" i="11"/>
  <c r="F183" i="11" s="1"/>
  <c r="D184" i="11"/>
  <c r="F184" i="11" s="1"/>
  <c r="D185" i="11"/>
  <c r="F185" i="11" s="1"/>
  <c r="D186" i="11"/>
  <c r="F186" i="11" s="1"/>
  <c r="D187" i="11"/>
  <c r="F187" i="11" s="1"/>
  <c r="D188" i="11"/>
  <c r="F188" i="11" s="1"/>
  <c r="D189" i="11"/>
  <c r="F189" i="11" s="1"/>
  <c r="D190" i="11"/>
  <c r="F190" i="11" s="1"/>
  <c r="D191" i="11"/>
  <c r="F191" i="11" s="1"/>
  <c r="D192" i="11"/>
  <c r="F192" i="11" s="1"/>
  <c r="D193" i="11"/>
  <c r="F193" i="11" s="1"/>
  <c r="D194" i="11"/>
  <c r="F194" i="11" s="1"/>
  <c r="D195" i="11"/>
  <c r="F195" i="11" s="1"/>
  <c r="D196" i="11"/>
  <c r="F196" i="11" s="1"/>
  <c r="D197" i="11"/>
  <c r="F197" i="11" s="1"/>
  <c r="D198" i="11"/>
  <c r="F198" i="11" s="1"/>
  <c r="D199" i="11"/>
  <c r="F199" i="11" s="1"/>
  <c r="D200" i="11"/>
  <c r="F200" i="11" s="1"/>
  <c r="D201" i="11"/>
  <c r="F201" i="11" s="1"/>
  <c r="D202" i="11"/>
  <c r="F202" i="11" s="1"/>
  <c r="D203" i="11"/>
  <c r="F203" i="11" s="1"/>
  <c r="D204" i="11"/>
  <c r="F204" i="11" s="1"/>
  <c r="D205" i="11"/>
  <c r="F205" i="11" s="1"/>
  <c r="D206" i="11"/>
  <c r="F206" i="11" s="1"/>
  <c r="D207" i="11"/>
  <c r="F207" i="11" s="1"/>
  <c r="D208" i="11"/>
  <c r="F208" i="11" s="1"/>
  <c r="D209" i="11"/>
  <c r="F209" i="11" s="1"/>
  <c r="D210" i="11"/>
  <c r="F210" i="11" s="1"/>
  <c r="D211" i="11"/>
  <c r="F211" i="11" s="1"/>
  <c r="D212" i="11"/>
  <c r="F212" i="11" s="1"/>
  <c r="D213" i="11"/>
  <c r="F213" i="11" s="1"/>
  <c r="D214" i="11"/>
  <c r="F214" i="11" s="1"/>
  <c r="D215" i="11"/>
  <c r="F215" i="11" s="1"/>
  <c r="D216" i="11"/>
  <c r="F216" i="11" s="1"/>
  <c r="D217" i="11"/>
  <c r="F217" i="11" s="1"/>
  <c r="D218" i="11"/>
  <c r="F218" i="11" s="1"/>
  <c r="D219" i="11"/>
  <c r="F219" i="11" s="1"/>
  <c r="D220" i="11"/>
  <c r="F220" i="11" s="1"/>
  <c r="D221" i="11"/>
  <c r="F221" i="11" s="1"/>
  <c r="D222" i="11"/>
  <c r="F222" i="11" s="1"/>
  <c r="D223" i="11"/>
  <c r="F223" i="11" s="1"/>
  <c r="D224" i="11"/>
  <c r="F224" i="11" s="1"/>
  <c r="D225" i="11"/>
  <c r="F225" i="11" s="1"/>
  <c r="D226" i="11"/>
  <c r="F226" i="11" s="1"/>
  <c r="D227" i="11"/>
  <c r="F227" i="11" s="1"/>
  <c r="D228" i="11"/>
  <c r="F228" i="11" s="1"/>
  <c r="D229" i="11"/>
  <c r="F229" i="11" s="1"/>
  <c r="D230" i="11"/>
  <c r="F230" i="11" s="1"/>
  <c r="D231" i="11"/>
  <c r="F231" i="11" s="1"/>
  <c r="D232" i="11"/>
  <c r="F232" i="11" s="1"/>
  <c r="D233" i="11"/>
  <c r="F233" i="11" s="1"/>
  <c r="D234" i="11"/>
  <c r="F234" i="11" s="1"/>
  <c r="D235" i="11"/>
  <c r="F235" i="11" s="1"/>
  <c r="D236" i="11"/>
  <c r="F236" i="11" s="1"/>
  <c r="D237" i="11"/>
  <c r="F237" i="11" s="1"/>
  <c r="D238" i="11"/>
  <c r="F238" i="11" s="1"/>
  <c r="D239" i="11"/>
  <c r="F239" i="11" s="1"/>
  <c r="D240" i="11"/>
  <c r="F240" i="11" s="1"/>
  <c r="D241" i="11"/>
  <c r="F241" i="11" s="1"/>
  <c r="D242" i="11"/>
  <c r="F242" i="11" s="1"/>
  <c r="D243" i="11"/>
  <c r="F243" i="11" s="1"/>
  <c r="D244" i="11"/>
  <c r="F244" i="11" s="1"/>
  <c r="D245" i="11"/>
  <c r="F245" i="11" s="1"/>
  <c r="D246" i="11"/>
  <c r="F246" i="11" s="1"/>
  <c r="D247" i="11"/>
  <c r="F247" i="11" s="1"/>
  <c r="D248" i="11"/>
  <c r="F248" i="11" s="1"/>
  <c r="D249" i="11"/>
  <c r="F249" i="11" s="1"/>
  <c r="D250" i="11"/>
  <c r="F250" i="11" s="1"/>
  <c r="D251" i="11"/>
  <c r="F251" i="11" s="1"/>
  <c r="D252" i="11"/>
  <c r="F252" i="11" s="1"/>
  <c r="D253" i="11"/>
  <c r="F253" i="11" s="1"/>
  <c r="D254" i="11"/>
  <c r="F254" i="11" s="1"/>
  <c r="D255" i="11"/>
  <c r="F255" i="11" s="1"/>
  <c r="D256" i="11"/>
  <c r="F256" i="11" s="1"/>
  <c r="D257" i="11"/>
  <c r="F257" i="11" s="1"/>
  <c r="D258" i="11"/>
  <c r="F258" i="11" s="1"/>
  <c r="D259" i="11"/>
  <c r="F259" i="11" s="1"/>
  <c r="D260" i="11"/>
  <c r="F260" i="11" s="1"/>
  <c r="D261" i="11"/>
  <c r="F261" i="11" s="1"/>
  <c r="D262" i="11"/>
  <c r="F262" i="11" s="1"/>
  <c r="D263" i="11"/>
  <c r="F263" i="11" s="1"/>
  <c r="D264" i="11"/>
  <c r="F264" i="11" s="1"/>
  <c r="D265" i="11"/>
  <c r="F265" i="11" s="1"/>
  <c r="D266" i="11"/>
  <c r="F266" i="11" s="1"/>
  <c r="D267" i="11"/>
  <c r="F267" i="11" s="1"/>
  <c r="D268" i="11"/>
  <c r="F268" i="11" s="1"/>
  <c r="D269" i="11"/>
  <c r="F269" i="11" s="1"/>
  <c r="D270" i="11"/>
  <c r="F270" i="11" s="1"/>
  <c r="D271" i="11"/>
  <c r="F271" i="11" s="1"/>
  <c r="D272" i="11"/>
  <c r="F272" i="11" s="1"/>
  <c r="D273" i="11"/>
  <c r="F273" i="11" s="1"/>
  <c r="D274" i="11"/>
  <c r="F274" i="11" s="1"/>
  <c r="D275" i="11"/>
  <c r="F275" i="11" s="1"/>
  <c r="D276" i="11"/>
  <c r="F276" i="11" s="1"/>
  <c r="D277" i="11"/>
  <c r="F277" i="11" s="1"/>
  <c r="D278" i="11"/>
  <c r="F278" i="11" s="1"/>
  <c r="D279" i="11"/>
  <c r="F279" i="11" s="1"/>
  <c r="D280" i="11"/>
  <c r="F280" i="11" s="1"/>
  <c r="D281" i="11"/>
  <c r="F281" i="11" s="1"/>
  <c r="D282" i="11"/>
  <c r="F282" i="11" s="1"/>
  <c r="D283" i="11"/>
  <c r="F283" i="11" s="1"/>
  <c r="D284" i="11"/>
  <c r="F284" i="11" s="1"/>
  <c r="D285" i="11"/>
  <c r="F285" i="11" s="1"/>
  <c r="D286" i="11"/>
  <c r="F286" i="11" s="1"/>
  <c r="D287" i="11"/>
  <c r="F287" i="11" s="1"/>
  <c r="D288" i="11"/>
  <c r="F288" i="11" s="1"/>
  <c r="D289" i="11"/>
  <c r="F289" i="11" s="1"/>
  <c r="D290" i="11"/>
  <c r="F290" i="11" s="1"/>
  <c r="D291" i="11"/>
  <c r="F291" i="11" s="1"/>
  <c r="D292" i="11"/>
  <c r="F292" i="11" s="1"/>
  <c r="D293" i="11"/>
  <c r="F293" i="11" s="1"/>
  <c r="D294" i="11"/>
  <c r="F294" i="11" s="1"/>
  <c r="D295" i="11"/>
  <c r="F295" i="11" s="1"/>
  <c r="D296" i="11"/>
  <c r="F296" i="11" s="1"/>
  <c r="D297" i="11"/>
  <c r="F297" i="11" s="1"/>
  <c r="D298" i="11"/>
  <c r="F298" i="11" s="1"/>
  <c r="D299" i="11"/>
  <c r="F299" i="11" s="1"/>
  <c r="D300" i="11"/>
  <c r="F300" i="11" s="1"/>
  <c r="D301" i="11"/>
  <c r="F301" i="11" s="1"/>
  <c r="D302" i="11"/>
  <c r="F302" i="11" s="1"/>
  <c r="D303" i="11"/>
  <c r="F303" i="11" s="1"/>
  <c r="D304" i="11"/>
  <c r="F304" i="11" s="1"/>
  <c r="D305" i="11"/>
  <c r="F305" i="11" s="1"/>
  <c r="D306" i="11"/>
  <c r="F306" i="11" s="1"/>
  <c r="D307" i="11"/>
  <c r="F307" i="11" s="1"/>
  <c r="D308" i="11"/>
  <c r="F308" i="11" s="1"/>
  <c r="D309" i="11"/>
  <c r="F309" i="11" s="1"/>
  <c r="D310" i="11"/>
  <c r="F310" i="11" s="1"/>
  <c r="D311" i="11"/>
  <c r="F311" i="11" s="1"/>
  <c r="D312" i="11"/>
  <c r="F312" i="11" s="1"/>
  <c r="D313" i="11"/>
  <c r="F313" i="11" s="1"/>
  <c r="D314" i="11"/>
  <c r="F314" i="11" s="1"/>
  <c r="D315" i="11"/>
  <c r="F315" i="11" s="1"/>
  <c r="D316" i="11"/>
  <c r="F316" i="11" s="1"/>
  <c r="D317" i="11"/>
  <c r="F317" i="11" s="1"/>
  <c r="D318" i="11"/>
  <c r="F318" i="11" s="1"/>
  <c r="D319" i="11"/>
  <c r="F319" i="11" s="1"/>
  <c r="D320" i="11"/>
  <c r="F320" i="11" s="1"/>
  <c r="D321" i="11"/>
  <c r="F321" i="11" s="1"/>
  <c r="D322" i="11"/>
  <c r="F322" i="11" s="1"/>
  <c r="D323" i="11"/>
  <c r="F323" i="11" s="1"/>
  <c r="D324" i="11"/>
  <c r="F324" i="11" s="1"/>
  <c r="D325" i="11"/>
  <c r="F325" i="11" s="1"/>
  <c r="D326" i="11"/>
  <c r="F326" i="11" s="1"/>
  <c r="D327" i="11"/>
  <c r="F327" i="11" s="1"/>
  <c r="D328" i="11"/>
  <c r="F328" i="11" s="1"/>
  <c r="D329" i="11"/>
  <c r="F329" i="11" s="1"/>
  <c r="D330" i="11"/>
  <c r="F330" i="11" s="1"/>
  <c r="D331" i="11"/>
  <c r="F331" i="11" s="1"/>
  <c r="D332" i="11"/>
  <c r="F332" i="11" s="1"/>
  <c r="D333" i="11"/>
  <c r="F333" i="11" s="1"/>
  <c r="D334" i="11"/>
  <c r="F334" i="11" s="1"/>
  <c r="D335" i="11"/>
  <c r="F335" i="11" s="1"/>
  <c r="D336" i="11"/>
  <c r="F336" i="11" s="1"/>
  <c r="D337" i="11"/>
  <c r="F337" i="11" s="1"/>
  <c r="D338" i="11"/>
  <c r="F338" i="11" s="1"/>
  <c r="D339" i="11"/>
  <c r="F339" i="11" s="1"/>
  <c r="D340" i="11"/>
  <c r="F340" i="11" s="1"/>
  <c r="D341" i="11"/>
  <c r="F341" i="11" s="1"/>
  <c r="D342" i="11"/>
  <c r="F342" i="11" s="1"/>
  <c r="D343" i="11"/>
  <c r="F343" i="11" s="1"/>
  <c r="D344" i="11"/>
  <c r="F344" i="11" s="1"/>
  <c r="D345" i="11"/>
  <c r="F345" i="11" s="1"/>
  <c r="D346" i="11"/>
  <c r="F346" i="11" s="1"/>
  <c r="D347" i="11"/>
  <c r="F347" i="11" s="1"/>
  <c r="D348" i="11"/>
  <c r="F348" i="11" s="1"/>
  <c r="D349" i="11"/>
  <c r="F349" i="11" s="1"/>
  <c r="D350" i="11"/>
  <c r="F350" i="11" s="1"/>
  <c r="D351" i="11"/>
  <c r="F351" i="11" s="1"/>
  <c r="D352" i="11"/>
  <c r="F352" i="11" s="1"/>
  <c r="D353" i="11"/>
  <c r="F353" i="11" s="1"/>
  <c r="D354" i="11"/>
  <c r="F354" i="11" s="1"/>
  <c r="D355" i="11"/>
  <c r="F355" i="11" s="1"/>
  <c r="D356" i="11"/>
  <c r="F356" i="11" s="1"/>
  <c r="D357" i="11"/>
  <c r="F357" i="11" s="1"/>
  <c r="D358" i="11"/>
  <c r="F358" i="11" s="1"/>
  <c r="D359" i="11"/>
  <c r="F359" i="11" s="1"/>
  <c r="D360" i="11"/>
  <c r="F360" i="11" s="1"/>
  <c r="D361" i="11"/>
  <c r="F361" i="11" s="1"/>
  <c r="D362" i="11"/>
  <c r="F362" i="11" s="1"/>
  <c r="D363" i="11"/>
  <c r="F363" i="11" s="1"/>
  <c r="D364" i="11"/>
  <c r="F364" i="11" s="1"/>
  <c r="D365" i="11"/>
  <c r="F365" i="11" s="1"/>
  <c r="D366" i="11"/>
  <c r="F366" i="11" s="1"/>
  <c r="D367" i="11"/>
  <c r="F367" i="11" s="1"/>
  <c r="D368" i="11"/>
  <c r="F368" i="11" s="1"/>
  <c r="D369" i="11"/>
  <c r="F369" i="11" s="1"/>
  <c r="D370" i="11"/>
  <c r="F370" i="11" s="1"/>
  <c r="D371" i="11"/>
  <c r="F371" i="11" s="1"/>
  <c r="D372" i="11"/>
  <c r="F372" i="11" s="1"/>
  <c r="D373" i="11"/>
  <c r="F373" i="11" s="1"/>
  <c r="D374" i="11"/>
  <c r="F374" i="11" s="1"/>
  <c r="D375" i="11"/>
  <c r="F375" i="11" s="1"/>
  <c r="D376" i="11"/>
  <c r="F376" i="11" s="1"/>
  <c r="D377" i="11"/>
  <c r="F377" i="11" s="1"/>
  <c r="D378" i="11"/>
  <c r="F378" i="11" s="1"/>
  <c r="D379" i="11"/>
  <c r="F379" i="11" s="1"/>
  <c r="D380" i="11"/>
  <c r="F380" i="11" s="1"/>
  <c r="D381" i="11"/>
  <c r="F381" i="11" s="1"/>
  <c r="D382" i="11"/>
  <c r="F382" i="11" s="1"/>
  <c r="D383" i="11"/>
  <c r="F383" i="11" s="1"/>
  <c r="D384" i="11"/>
  <c r="F384" i="11" s="1"/>
  <c r="D385" i="11"/>
  <c r="F385" i="11" s="1"/>
  <c r="D386" i="11"/>
  <c r="F386" i="11" s="1"/>
  <c r="D387" i="11"/>
  <c r="F387" i="11" s="1"/>
  <c r="D388" i="11"/>
  <c r="F388" i="11" s="1"/>
  <c r="D389" i="11"/>
  <c r="F389" i="11" s="1"/>
  <c r="D390" i="11"/>
  <c r="F390" i="11" s="1"/>
  <c r="D391" i="11"/>
  <c r="F391" i="11" s="1"/>
  <c r="D392" i="11"/>
  <c r="F392" i="11" s="1"/>
  <c r="D393" i="11"/>
  <c r="F393" i="11" s="1"/>
  <c r="D394" i="11"/>
  <c r="F394" i="11" s="1"/>
  <c r="D395" i="11"/>
  <c r="F395" i="11" s="1"/>
  <c r="D396" i="11"/>
  <c r="F396" i="11" s="1"/>
  <c r="D397" i="11"/>
  <c r="F397" i="11" s="1"/>
  <c r="D398" i="11"/>
  <c r="F398" i="11" s="1"/>
  <c r="D399" i="11"/>
  <c r="F399" i="11" s="1"/>
  <c r="D400" i="11"/>
  <c r="F400" i="11" s="1"/>
  <c r="D401" i="11"/>
  <c r="F401" i="11" s="1"/>
  <c r="D402" i="11"/>
  <c r="F402" i="11" s="1"/>
  <c r="D403" i="11"/>
  <c r="F403" i="11" s="1"/>
  <c r="D404" i="11"/>
  <c r="F404" i="11" s="1"/>
  <c r="D405" i="11"/>
  <c r="F405" i="11" s="1"/>
  <c r="D406" i="11"/>
  <c r="F406" i="11" s="1"/>
  <c r="D407" i="11"/>
  <c r="F407" i="11" s="1"/>
  <c r="D408" i="11"/>
  <c r="F408" i="11" s="1"/>
  <c r="D409" i="11"/>
  <c r="F409" i="11" s="1"/>
  <c r="D410" i="11"/>
  <c r="F410" i="11" s="1"/>
  <c r="D411" i="11"/>
  <c r="F411" i="11" s="1"/>
  <c r="D412" i="11"/>
  <c r="F412" i="11" s="1"/>
  <c r="D413" i="11"/>
  <c r="F413" i="11" s="1"/>
  <c r="D414" i="11"/>
  <c r="F414" i="11" s="1"/>
  <c r="D415" i="11"/>
  <c r="F415" i="11" s="1"/>
  <c r="D416" i="11"/>
  <c r="F416" i="11" s="1"/>
  <c r="D417" i="11"/>
  <c r="F417" i="11" s="1"/>
  <c r="D418" i="11"/>
  <c r="F418" i="11" s="1"/>
  <c r="D419" i="11"/>
  <c r="F419" i="11" s="1"/>
  <c r="D420" i="11"/>
  <c r="F420" i="11" s="1"/>
  <c r="D421" i="11"/>
  <c r="F421" i="11" s="1"/>
  <c r="D422" i="11"/>
  <c r="F422" i="11" s="1"/>
  <c r="D423" i="11"/>
  <c r="F423" i="11" s="1"/>
  <c r="D424" i="11"/>
  <c r="F424" i="11" s="1"/>
  <c r="D425" i="11"/>
  <c r="F425" i="11" s="1"/>
  <c r="D426" i="11"/>
  <c r="F426" i="11" s="1"/>
  <c r="D427" i="11"/>
  <c r="F427" i="11" s="1"/>
  <c r="D428" i="11"/>
  <c r="F428" i="11" s="1"/>
  <c r="D429" i="11"/>
  <c r="F429" i="11" s="1"/>
  <c r="D430" i="11"/>
  <c r="F430" i="11" s="1"/>
  <c r="D431" i="11"/>
  <c r="F431" i="11" s="1"/>
  <c r="D432" i="11"/>
  <c r="F432" i="11" s="1"/>
  <c r="D433" i="11"/>
  <c r="F433" i="11" s="1"/>
  <c r="D434" i="11"/>
  <c r="F434" i="11" s="1"/>
  <c r="D435" i="11"/>
  <c r="F435" i="11" s="1"/>
  <c r="D436" i="11"/>
  <c r="F436" i="11" s="1"/>
  <c r="D437" i="11"/>
  <c r="F437" i="11" s="1"/>
  <c r="D438" i="11"/>
  <c r="F438" i="11" s="1"/>
  <c r="D439" i="11"/>
  <c r="F439" i="11" s="1"/>
  <c r="D440" i="11"/>
  <c r="F440" i="11" s="1"/>
  <c r="D441" i="11"/>
  <c r="F441" i="11" s="1"/>
  <c r="D442" i="11"/>
  <c r="F442" i="11" s="1"/>
  <c r="D443" i="11"/>
  <c r="F443" i="11" s="1"/>
  <c r="D444" i="11"/>
  <c r="F444" i="11" s="1"/>
  <c r="D445" i="11"/>
  <c r="F445" i="11" s="1"/>
  <c r="D446" i="11"/>
  <c r="F446" i="11" s="1"/>
  <c r="D447" i="11"/>
  <c r="F447" i="11" s="1"/>
  <c r="D448" i="11"/>
  <c r="F448" i="11" s="1"/>
  <c r="D449" i="11"/>
  <c r="F449" i="11" s="1"/>
  <c r="D450" i="11"/>
  <c r="F450" i="11" s="1"/>
  <c r="D451" i="11"/>
  <c r="F451" i="11" s="1"/>
  <c r="D452" i="11"/>
  <c r="F452" i="11" s="1"/>
  <c r="D453" i="11"/>
  <c r="F453" i="11" s="1"/>
  <c r="D454" i="11"/>
  <c r="F454" i="11" s="1"/>
  <c r="D455" i="11"/>
  <c r="F455" i="11" s="1"/>
  <c r="D456" i="11"/>
  <c r="F456" i="11" s="1"/>
  <c r="D457" i="11"/>
  <c r="F457" i="11" s="1"/>
  <c r="D458" i="11"/>
  <c r="F458" i="11" s="1"/>
  <c r="D459" i="11"/>
  <c r="F459" i="11" s="1"/>
  <c r="D460" i="11"/>
  <c r="F460" i="11" s="1"/>
  <c r="D461" i="11"/>
  <c r="F461" i="11" s="1"/>
  <c r="D462" i="11"/>
  <c r="F462" i="11" s="1"/>
  <c r="D463" i="11"/>
  <c r="F463" i="11" s="1"/>
  <c r="D464" i="11"/>
  <c r="F464" i="11" s="1"/>
  <c r="D465" i="11"/>
  <c r="F465" i="11" s="1"/>
  <c r="D466" i="11"/>
  <c r="F466" i="11" s="1"/>
  <c r="D467" i="11"/>
  <c r="F467" i="11" s="1"/>
  <c r="D468" i="11"/>
  <c r="F468" i="11" s="1"/>
  <c r="D469" i="11"/>
  <c r="F469" i="11" s="1"/>
  <c r="D470" i="11"/>
  <c r="F470" i="11" s="1"/>
  <c r="D471" i="11"/>
  <c r="F471" i="11" s="1"/>
  <c r="D472" i="11"/>
  <c r="F472" i="11" s="1"/>
  <c r="D473" i="11"/>
  <c r="F473" i="11" s="1"/>
  <c r="D474" i="11"/>
  <c r="F474" i="11" s="1"/>
  <c r="D475" i="11"/>
  <c r="F475" i="11" s="1"/>
  <c r="D476" i="11"/>
  <c r="F476" i="11" s="1"/>
  <c r="D477" i="11"/>
  <c r="F477" i="11" s="1"/>
  <c r="D478" i="11"/>
  <c r="F478" i="11" s="1"/>
  <c r="D479" i="11"/>
  <c r="F479" i="11" s="1"/>
  <c r="D480" i="11"/>
  <c r="F480" i="11" s="1"/>
  <c r="D481" i="11"/>
  <c r="F481" i="11" s="1"/>
  <c r="D482" i="11"/>
  <c r="F482" i="11" s="1"/>
  <c r="D483" i="11"/>
  <c r="F483" i="11" s="1"/>
  <c r="D484" i="11"/>
  <c r="F484" i="11" s="1"/>
  <c r="D485" i="11"/>
  <c r="F485" i="11" s="1"/>
  <c r="D486" i="11"/>
  <c r="F486" i="11" s="1"/>
  <c r="D487" i="11"/>
  <c r="F487" i="11" s="1"/>
  <c r="D488" i="11"/>
  <c r="F488" i="11" s="1"/>
  <c r="D489" i="11"/>
  <c r="F489" i="11" s="1"/>
  <c r="D490" i="11"/>
  <c r="F490" i="11" s="1"/>
  <c r="D491" i="11"/>
  <c r="F491" i="11" s="1"/>
  <c r="D492" i="11"/>
  <c r="F492" i="11" s="1"/>
  <c r="D493" i="11"/>
  <c r="F493" i="11" s="1"/>
  <c r="D494" i="11"/>
  <c r="F494" i="11" s="1"/>
  <c r="D495" i="11"/>
  <c r="F495" i="11" s="1"/>
  <c r="D496" i="11"/>
  <c r="F496" i="11" s="1"/>
  <c r="D497" i="11"/>
  <c r="F497" i="11" s="1"/>
  <c r="D498" i="11"/>
  <c r="F498" i="11" s="1"/>
  <c r="D499" i="11"/>
  <c r="F499" i="11" s="1"/>
  <c r="D500" i="11"/>
  <c r="F500" i="11" s="1"/>
  <c r="D501" i="11"/>
  <c r="F501" i="11" s="1"/>
  <c r="D502" i="11"/>
  <c r="F502" i="11" s="1"/>
  <c r="D503" i="11"/>
  <c r="F503" i="11" s="1"/>
  <c r="D504" i="11"/>
  <c r="F504" i="11" s="1"/>
  <c r="D505" i="11"/>
  <c r="F505" i="11" s="1"/>
  <c r="D506" i="11"/>
  <c r="F506" i="11" s="1"/>
  <c r="D507" i="11"/>
  <c r="F507" i="11" s="1"/>
  <c r="D508" i="11"/>
  <c r="F508" i="11" s="1"/>
  <c r="D509" i="11"/>
  <c r="F509" i="11" s="1"/>
  <c r="D510" i="11"/>
  <c r="F510" i="11" s="1"/>
  <c r="D511" i="11"/>
  <c r="F511" i="11" s="1"/>
  <c r="D512" i="11"/>
  <c r="F512" i="11" s="1"/>
  <c r="D513" i="11"/>
  <c r="F513" i="11" s="1"/>
  <c r="D514" i="11"/>
  <c r="F514" i="11" s="1"/>
  <c r="D515" i="11"/>
  <c r="F515" i="11" s="1"/>
  <c r="D516" i="11"/>
  <c r="F516" i="11" s="1"/>
  <c r="D517" i="11"/>
  <c r="F517" i="11" s="1"/>
  <c r="D518" i="11"/>
  <c r="F518" i="11" s="1"/>
  <c r="D519" i="11"/>
  <c r="F519" i="11" s="1"/>
  <c r="D520" i="11"/>
  <c r="F520" i="11" s="1"/>
  <c r="D521" i="11"/>
  <c r="F521" i="11" s="1"/>
  <c r="D522" i="11"/>
  <c r="F522" i="11" s="1"/>
  <c r="D523" i="11"/>
  <c r="F523" i="11" s="1"/>
  <c r="D524" i="11"/>
  <c r="F524" i="11" s="1"/>
  <c r="D525" i="11"/>
  <c r="F525" i="11" s="1"/>
  <c r="D526" i="11"/>
  <c r="F526" i="11" s="1"/>
  <c r="D527" i="11"/>
  <c r="F527" i="11" s="1"/>
  <c r="D528" i="11"/>
  <c r="F528" i="11" s="1"/>
  <c r="D529" i="11"/>
  <c r="F529" i="11" s="1"/>
  <c r="D530" i="11"/>
  <c r="F530" i="11" s="1"/>
  <c r="D531" i="11"/>
  <c r="F531" i="11" s="1"/>
  <c r="D532" i="11"/>
  <c r="F532" i="11" s="1"/>
  <c r="D533" i="11"/>
  <c r="F533" i="11" s="1"/>
  <c r="D534" i="11"/>
  <c r="F534" i="11" s="1"/>
  <c r="D535" i="11"/>
  <c r="F535" i="11" s="1"/>
  <c r="D536" i="11"/>
  <c r="F536" i="11" s="1"/>
  <c r="D537" i="11"/>
  <c r="F537" i="11" s="1"/>
  <c r="D538" i="11"/>
  <c r="F538" i="11" s="1"/>
  <c r="D539" i="11"/>
  <c r="F539" i="11" s="1"/>
  <c r="D540" i="11"/>
  <c r="F540" i="11" s="1"/>
  <c r="D541" i="11"/>
  <c r="F541" i="11" s="1"/>
  <c r="D542" i="11"/>
  <c r="F542" i="11" s="1"/>
  <c r="D543" i="11"/>
  <c r="F543" i="11" s="1"/>
  <c r="D544" i="11"/>
  <c r="F544" i="11" s="1"/>
  <c r="D545" i="11"/>
  <c r="F545" i="11" s="1"/>
  <c r="D546" i="11"/>
  <c r="F546" i="11" s="1"/>
  <c r="D547" i="11"/>
  <c r="F547" i="11" s="1"/>
  <c r="D548" i="11"/>
  <c r="F548" i="11" s="1"/>
  <c r="D549" i="11"/>
  <c r="F549" i="11" s="1"/>
  <c r="D550" i="11"/>
  <c r="F550" i="11" s="1"/>
  <c r="D551" i="11"/>
  <c r="F551" i="11" s="1"/>
  <c r="D552" i="11"/>
  <c r="F552" i="11" s="1"/>
  <c r="D553" i="11"/>
  <c r="F553" i="11" s="1"/>
  <c r="D554" i="11"/>
  <c r="F554" i="11" s="1"/>
  <c r="D555" i="11"/>
  <c r="F555" i="11" s="1"/>
  <c r="D556" i="11"/>
  <c r="F556" i="11" s="1"/>
  <c r="D557" i="11"/>
  <c r="F557" i="11" s="1"/>
  <c r="D558" i="11"/>
  <c r="F558" i="11" s="1"/>
  <c r="D559" i="11"/>
  <c r="F559" i="11" s="1"/>
  <c r="D560" i="11"/>
  <c r="F560" i="11" s="1"/>
  <c r="D561" i="11"/>
  <c r="F561" i="11" s="1"/>
  <c r="D562" i="11"/>
  <c r="F562" i="11" s="1"/>
  <c r="D563" i="11"/>
  <c r="F563" i="11" s="1"/>
  <c r="D564" i="11"/>
  <c r="F564" i="11" s="1"/>
  <c r="D565" i="11"/>
  <c r="F565" i="11" s="1"/>
  <c r="D566" i="11"/>
  <c r="F566" i="11" s="1"/>
  <c r="D567" i="11"/>
  <c r="F567" i="11" s="1"/>
  <c r="D568" i="11"/>
  <c r="F568" i="11" s="1"/>
  <c r="D569" i="11"/>
  <c r="F569" i="11" s="1"/>
  <c r="D570" i="11"/>
  <c r="F570" i="11" s="1"/>
  <c r="D571" i="11"/>
  <c r="F571" i="11" s="1"/>
  <c r="D572" i="11"/>
  <c r="F572" i="11" s="1"/>
  <c r="D573" i="11"/>
  <c r="F573" i="11" s="1"/>
  <c r="D574" i="11"/>
  <c r="F574" i="11" s="1"/>
  <c r="D575" i="11"/>
  <c r="F575" i="11" s="1"/>
  <c r="D576" i="11"/>
  <c r="F576" i="11" s="1"/>
  <c r="D577" i="11"/>
  <c r="F577" i="11" s="1"/>
  <c r="D578" i="11"/>
  <c r="F578" i="11" s="1"/>
  <c r="D579" i="11"/>
  <c r="F579" i="11" s="1"/>
  <c r="D580" i="11"/>
  <c r="F580" i="11" s="1"/>
  <c r="D581" i="11"/>
  <c r="F581" i="11" s="1"/>
  <c r="D582" i="11"/>
  <c r="F582" i="11" s="1"/>
  <c r="D583" i="11"/>
  <c r="F583" i="11" s="1"/>
  <c r="D584" i="11"/>
  <c r="F584" i="11" s="1"/>
  <c r="D585" i="11"/>
  <c r="F585" i="11" s="1"/>
  <c r="D586" i="11"/>
  <c r="F586" i="11" s="1"/>
  <c r="D587" i="11"/>
  <c r="F587" i="11" s="1"/>
  <c r="D588" i="11"/>
  <c r="F588" i="11" s="1"/>
  <c r="D589" i="11"/>
  <c r="F589" i="11" s="1"/>
  <c r="D590" i="11"/>
  <c r="F590" i="11" s="1"/>
  <c r="D591" i="11"/>
  <c r="F591" i="11" s="1"/>
  <c r="D592" i="11"/>
  <c r="F592" i="11" s="1"/>
  <c r="D593" i="11"/>
  <c r="F593" i="11" s="1"/>
  <c r="D594" i="11"/>
  <c r="F594" i="11" s="1"/>
  <c r="D595" i="11"/>
  <c r="F595" i="11" s="1"/>
  <c r="D596" i="11"/>
  <c r="F596" i="11" s="1"/>
  <c r="D597" i="11"/>
  <c r="F597" i="11" s="1"/>
  <c r="D598" i="11"/>
  <c r="F598" i="11" s="1"/>
  <c r="D599" i="11"/>
  <c r="F599" i="11" s="1"/>
  <c r="D600" i="11"/>
  <c r="F600" i="11" s="1"/>
  <c r="D601" i="11"/>
  <c r="F601" i="11" s="1"/>
  <c r="D602" i="11"/>
  <c r="F602" i="11" s="1"/>
  <c r="D603" i="11"/>
  <c r="F603" i="11" s="1"/>
  <c r="D604" i="11"/>
  <c r="F604" i="11" s="1"/>
  <c r="D605" i="11"/>
  <c r="F605" i="11" s="1"/>
  <c r="D606" i="11"/>
  <c r="F606" i="11" s="1"/>
  <c r="D607" i="11"/>
  <c r="F607" i="11" s="1"/>
  <c r="D608" i="11"/>
  <c r="F608" i="11" s="1"/>
  <c r="D609" i="11"/>
  <c r="F609" i="11" s="1"/>
  <c r="D610" i="11"/>
  <c r="F610" i="11" s="1"/>
  <c r="D611" i="11"/>
  <c r="F611" i="11" s="1"/>
  <c r="D612" i="11"/>
  <c r="F612" i="11" s="1"/>
  <c r="D613" i="11"/>
  <c r="F613" i="11" s="1"/>
  <c r="D614" i="11"/>
  <c r="F614" i="11" s="1"/>
  <c r="D615" i="11"/>
  <c r="F615" i="11" s="1"/>
  <c r="D616" i="11"/>
  <c r="F616" i="11" s="1"/>
  <c r="D617" i="11"/>
  <c r="F617" i="11" s="1"/>
  <c r="D618" i="11"/>
  <c r="F618" i="11" s="1"/>
  <c r="D619" i="11"/>
  <c r="F619" i="11" s="1"/>
  <c r="D620" i="11"/>
  <c r="F620" i="11" s="1"/>
  <c r="D621" i="11"/>
  <c r="F621" i="11" s="1"/>
  <c r="D622" i="11"/>
  <c r="F622" i="11" s="1"/>
  <c r="D623" i="11"/>
  <c r="F623" i="11" s="1"/>
  <c r="D624" i="11"/>
  <c r="F624" i="11" s="1"/>
  <c r="D625" i="11"/>
  <c r="F625" i="11" s="1"/>
  <c r="D626" i="11"/>
  <c r="F626" i="11" s="1"/>
  <c r="D627" i="11"/>
  <c r="F627" i="11" s="1"/>
  <c r="D628" i="11"/>
  <c r="F628" i="11" s="1"/>
  <c r="D629" i="11"/>
  <c r="F629" i="11" s="1"/>
  <c r="D630" i="11"/>
  <c r="F630" i="11" s="1"/>
  <c r="D631" i="11"/>
  <c r="F631" i="11" s="1"/>
  <c r="D632" i="11"/>
  <c r="F632" i="11" s="1"/>
  <c r="D633" i="11"/>
  <c r="F633" i="11" s="1"/>
  <c r="D634" i="11"/>
  <c r="F634" i="11" s="1"/>
  <c r="D635" i="11"/>
  <c r="F635" i="11" s="1"/>
  <c r="D636" i="11"/>
  <c r="F636" i="11" s="1"/>
  <c r="D637" i="11"/>
  <c r="F637" i="11" s="1"/>
  <c r="D638" i="11"/>
  <c r="F638" i="11" s="1"/>
  <c r="D639" i="11"/>
  <c r="F639" i="11" s="1"/>
  <c r="D640" i="11"/>
  <c r="F640" i="11" s="1"/>
  <c r="D641" i="11"/>
  <c r="F641" i="11" s="1"/>
  <c r="D642" i="11"/>
  <c r="F642" i="11" s="1"/>
  <c r="D643" i="11"/>
  <c r="F643" i="11" s="1"/>
  <c r="D644" i="11"/>
  <c r="F644" i="11" s="1"/>
  <c r="D645" i="11"/>
  <c r="F645" i="11" s="1"/>
  <c r="D646" i="11"/>
  <c r="F646" i="11" s="1"/>
  <c r="D647" i="11"/>
  <c r="F647" i="11" s="1"/>
  <c r="D648" i="11"/>
  <c r="F648" i="11" s="1"/>
  <c r="D649" i="11"/>
  <c r="F649" i="11" s="1"/>
  <c r="D650" i="11"/>
  <c r="F650" i="11" s="1"/>
  <c r="D651" i="11"/>
  <c r="F651" i="11" s="1"/>
  <c r="D652" i="11"/>
  <c r="F652" i="11" s="1"/>
  <c r="D653" i="11"/>
  <c r="F653" i="11" s="1"/>
  <c r="D654" i="11"/>
  <c r="F654" i="11" s="1"/>
  <c r="D655" i="11"/>
  <c r="F655" i="11" s="1"/>
  <c r="D656" i="11"/>
  <c r="F656" i="11" s="1"/>
  <c r="D657" i="11"/>
  <c r="F657" i="11" s="1"/>
  <c r="D658" i="11"/>
  <c r="F658" i="11" s="1"/>
  <c r="D659" i="11"/>
  <c r="F659" i="11" s="1"/>
  <c r="D660" i="11"/>
  <c r="F660" i="11" s="1"/>
  <c r="D661" i="11"/>
  <c r="F661" i="11" s="1"/>
  <c r="D662" i="11"/>
  <c r="F662" i="11" s="1"/>
  <c r="D663" i="11"/>
  <c r="F663" i="11" s="1"/>
  <c r="D664" i="11"/>
  <c r="F664" i="11" s="1"/>
  <c r="D665" i="11"/>
  <c r="F665" i="11" s="1"/>
  <c r="D666" i="11"/>
  <c r="F666" i="11" s="1"/>
  <c r="D667" i="11"/>
  <c r="F667" i="11" s="1"/>
  <c r="D668" i="11"/>
  <c r="F668" i="11" s="1"/>
  <c r="D669" i="11"/>
  <c r="F669" i="11" s="1"/>
  <c r="D670" i="11"/>
  <c r="F670" i="11" s="1"/>
  <c r="D671" i="11"/>
  <c r="F671" i="11" s="1"/>
  <c r="D672" i="11"/>
  <c r="F672" i="11" s="1"/>
  <c r="D673" i="11"/>
  <c r="F673" i="11" s="1"/>
  <c r="D674" i="11"/>
  <c r="F674" i="11" s="1"/>
  <c r="D675" i="11"/>
  <c r="F675" i="11" s="1"/>
  <c r="D676" i="11"/>
  <c r="F676" i="11" s="1"/>
  <c r="D677" i="11"/>
  <c r="F677" i="11" s="1"/>
  <c r="D678" i="11"/>
  <c r="F678" i="11" s="1"/>
  <c r="D679" i="11"/>
  <c r="F679" i="11" s="1"/>
  <c r="D680" i="11"/>
  <c r="F680" i="11" s="1"/>
  <c r="D681" i="11"/>
  <c r="F681" i="11" s="1"/>
  <c r="D682" i="11"/>
  <c r="F682" i="11" s="1"/>
  <c r="D683" i="11"/>
  <c r="F683" i="11" s="1"/>
  <c r="D684" i="11"/>
  <c r="F684" i="11" s="1"/>
  <c r="D685" i="11"/>
  <c r="F685" i="11" s="1"/>
  <c r="D686" i="11"/>
  <c r="F686" i="11" s="1"/>
  <c r="D687" i="11"/>
  <c r="F687" i="11" s="1"/>
  <c r="D688" i="11"/>
  <c r="F688" i="11" s="1"/>
  <c r="D689" i="11"/>
  <c r="F689" i="11" s="1"/>
  <c r="D690" i="11"/>
  <c r="F690" i="11" s="1"/>
  <c r="D691" i="11"/>
  <c r="F691" i="11" s="1"/>
  <c r="D692" i="11"/>
  <c r="F692" i="11" s="1"/>
  <c r="D693" i="11"/>
  <c r="F693" i="11" s="1"/>
  <c r="D694" i="11"/>
  <c r="F694" i="11" s="1"/>
  <c r="D695" i="11"/>
  <c r="F695" i="11" s="1"/>
  <c r="D696" i="11"/>
  <c r="F696" i="11" s="1"/>
  <c r="D697" i="11"/>
  <c r="F697" i="11" s="1"/>
  <c r="D698" i="11"/>
  <c r="F698" i="11" s="1"/>
  <c r="D699" i="11"/>
  <c r="F699" i="11" s="1"/>
  <c r="D700" i="11"/>
  <c r="F700" i="11" s="1"/>
  <c r="D701" i="11"/>
  <c r="F701" i="11" s="1"/>
  <c r="D702" i="11"/>
  <c r="F702" i="11" s="1"/>
  <c r="D703" i="11"/>
  <c r="F703" i="11" s="1"/>
  <c r="D704" i="11"/>
  <c r="F704" i="11" s="1"/>
  <c r="D705" i="11"/>
  <c r="F705" i="11" s="1"/>
  <c r="D706" i="11"/>
  <c r="F706" i="11" s="1"/>
  <c r="D707" i="11"/>
  <c r="F707" i="11" s="1"/>
  <c r="D708" i="11"/>
  <c r="F708" i="11" s="1"/>
  <c r="D709" i="11"/>
  <c r="F709" i="11" s="1"/>
  <c r="D710" i="11"/>
  <c r="F710" i="11" s="1"/>
  <c r="D711" i="11"/>
  <c r="F711" i="11" s="1"/>
  <c r="D712" i="11"/>
  <c r="F712" i="11" s="1"/>
  <c r="D713" i="11"/>
  <c r="F713" i="11" s="1"/>
  <c r="D714" i="11"/>
  <c r="F714" i="11" s="1"/>
  <c r="D715" i="11"/>
  <c r="F715" i="11" s="1"/>
  <c r="D716" i="11"/>
  <c r="F716" i="11" s="1"/>
  <c r="D717" i="11"/>
  <c r="F717" i="11" s="1"/>
  <c r="D718" i="11"/>
  <c r="F718" i="11" s="1"/>
  <c r="D719" i="11"/>
  <c r="F719" i="11" s="1"/>
  <c r="D720" i="11"/>
  <c r="F720" i="11" s="1"/>
  <c r="D721" i="11"/>
  <c r="F721" i="11" s="1"/>
  <c r="D722" i="11"/>
  <c r="F722" i="11" s="1"/>
  <c r="D723" i="11"/>
  <c r="F723" i="11" s="1"/>
  <c r="D724" i="11"/>
  <c r="F724" i="11" s="1"/>
  <c r="D725" i="11"/>
  <c r="F725" i="11" s="1"/>
  <c r="D726" i="11"/>
  <c r="F726" i="11" s="1"/>
  <c r="D727" i="11"/>
  <c r="F727" i="11" s="1"/>
  <c r="D728" i="11"/>
  <c r="F728" i="11" s="1"/>
  <c r="D729" i="11"/>
  <c r="F729" i="11" s="1"/>
  <c r="D730" i="11"/>
  <c r="F730" i="11" s="1"/>
  <c r="D731" i="11"/>
  <c r="F731" i="11" s="1"/>
  <c r="D732" i="11"/>
  <c r="F732" i="11" s="1"/>
  <c r="D733" i="11"/>
  <c r="F733" i="11" s="1"/>
  <c r="D734" i="11"/>
  <c r="F734" i="11" s="1"/>
  <c r="D735" i="11"/>
  <c r="F735" i="11" s="1"/>
  <c r="D736" i="11"/>
  <c r="F736" i="11" s="1"/>
  <c r="D737" i="11"/>
  <c r="F737" i="11" s="1"/>
  <c r="D738" i="11"/>
  <c r="F738" i="11" s="1"/>
  <c r="D739" i="11"/>
  <c r="F739" i="11" s="1"/>
  <c r="D740" i="11"/>
  <c r="F740" i="11" s="1"/>
  <c r="D741" i="11"/>
  <c r="F741" i="11" s="1"/>
  <c r="D742" i="11"/>
  <c r="F742" i="11" s="1"/>
  <c r="D743" i="11"/>
  <c r="F743" i="11" s="1"/>
  <c r="D744" i="11"/>
  <c r="F744" i="11" s="1"/>
  <c r="D745" i="11"/>
  <c r="F745" i="11" s="1"/>
  <c r="D746" i="11"/>
  <c r="F746" i="11" s="1"/>
  <c r="D747" i="11"/>
  <c r="F747" i="11" s="1"/>
  <c r="D748" i="11"/>
  <c r="F748" i="11" s="1"/>
  <c r="D749" i="11"/>
  <c r="F749" i="11" s="1"/>
  <c r="D750" i="11"/>
  <c r="F750" i="11" s="1"/>
  <c r="D751" i="11"/>
  <c r="F751" i="11" s="1"/>
  <c r="D752" i="11"/>
  <c r="F752" i="11" s="1"/>
  <c r="D753" i="11"/>
  <c r="F753" i="11" s="1"/>
  <c r="D754" i="11"/>
  <c r="F754" i="11" s="1"/>
  <c r="D755" i="11"/>
  <c r="F755" i="11" s="1"/>
  <c r="D756" i="11"/>
  <c r="F756" i="11" s="1"/>
  <c r="D757" i="11"/>
  <c r="F757" i="11" s="1"/>
  <c r="D758" i="11"/>
  <c r="F758" i="11" s="1"/>
  <c r="D759" i="11"/>
  <c r="F759" i="11" s="1"/>
  <c r="D760" i="11"/>
  <c r="F760" i="11" s="1"/>
  <c r="D761" i="11"/>
  <c r="F761" i="11" s="1"/>
  <c r="D762" i="11"/>
  <c r="F762" i="11" s="1"/>
  <c r="D763" i="11"/>
  <c r="F763" i="11" s="1"/>
  <c r="D764" i="11"/>
  <c r="F764" i="11" s="1"/>
  <c r="D765" i="11"/>
  <c r="F765" i="11" s="1"/>
  <c r="D766" i="11"/>
  <c r="F766" i="11" s="1"/>
  <c r="D767" i="11"/>
  <c r="F767" i="11" s="1"/>
  <c r="D768" i="11"/>
  <c r="F768" i="11" s="1"/>
  <c r="D769" i="11"/>
  <c r="F769" i="11" s="1"/>
  <c r="D770" i="11"/>
  <c r="F770" i="11" s="1"/>
  <c r="D771" i="11"/>
  <c r="F771" i="11" s="1"/>
  <c r="D772" i="11"/>
  <c r="F772" i="11" s="1"/>
  <c r="D773" i="11"/>
  <c r="F773" i="11" s="1"/>
  <c r="D774" i="11"/>
  <c r="F774" i="11" s="1"/>
  <c r="D775" i="11"/>
  <c r="F775" i="11" s="1"/>
  <c r="D776" i="11"/>
  <c r="F776" i="11" s="1"/>
  <c r="D777" i="11"/>
  <c r="F777" i="11" s="1"/>
  <c r="D778" i="11"/>
  <c r="F778" i="11" s="1"/>
  <c r="D779" i="11"/>
  <c r="F779" i="11" s="1"/>
  <c r="D780" i="11"/>
  <c r="F780" i="11" s="1"/>
  <c r="D781" i="11"/>
  <c r="F781" i="11" s="1"/>
  <c r="D782" i="11"/>
  <c r="F782" i="11" s="1"/>
  <c r="D783" i="11"/>
  <c r="F783" i="11" s="1"/>
  <c r="D784" i="11"/>
  <c r="F784" i="11" s="1"/>
  <c r="D785" i="11"/>
  <c r="F785" i="11" s="1"/>
  <c r="D786" i="11"/>
  <c r="F786" i="11" s="1"/>
  <c r="D787" i="11"/>
  <c r="F787" i="11" s="1"/>
  <c r="D788" i="11"/>
  <c r="F788" i="11" s="1"/>
  <c r="D789" i="11"/>
  <c r="F789" i="11" s="1"/>
  <c r="D790" i="11"/>
  <c r="F790" i="11" s="1"/>
  <c r="D791" i="11"/>
  <c r="F791" i="11" s="1"/>
  <c r="D792" i="11"/>
  <c r="F792" i="11" s="1"/>
  <c r="D793" i="11"/>
  <c r="F793" i="11" s="1"/>
  <c r="D794" i="11"/>
  <c r="F794" i="11" s="1"/>
  <c r="D795" i="11"/>
  <c r="F795" i="11" s="1"/>
  <c r="D796" i="11"/>
  <c r="F796" i="11" s="1"/>
  <c r="D797" i="11"/>
  <c r="F797" i="11" s="1"/>
  <c r="D798" i="11"/>
  <c r="F798" i="11" s="1"/>
  <c r="D799" i="11"/>
  <c r="F799" i="11" s="1"/>
  <c r="D800" i="11"/>
  <c r="F800" i="11" s="1"/>
  <c r="D801" i="11"/>
  <c r="F801" i="11" s="1"/>
  <c r="D802" i="11"/>
  <c r="F802" i="11" s="1"/>
  <c r="D803" i="11"/>
  <c r="F803" i="11" s="1"/>
  <c r="D804" i="11"/>
  <c r="F804" i="11" s="1"/>
  <c r="D805" i="11"/>
  <c r="F805" i="11" s="1"/>
  <c r="D806" i="11"/>
  <c r="F806" i="11" s="1"/>
  <c r="D807" i="11"/>
  <c r="F807" i="11" s="1"/>
  <c r="D808" i="11"/>
  <c r="F808" i="11" s="1"/>
  <c r="D809" i="11"/>
  <c r="F809" i="11" s="1"/>
  <c r="D810" i="11"/>
  <c r="F810" i="11" s="1"/>
  <c r="D811" i="11"/>
  <c r="F811" i="11" s="1"/>
  <c r="D812" i="11"/>
  <c r="F812" i="11" s="1"/>
  <c r="D813" i="11"/>
  <c r="F813" i="11" s="1"/>
  <c r="D814" i="11"/>
  <c r="F814" i="11" s="1"/>
  <c r="D815" i="11"/>
  <c r="F815" i="11" s="1"/>
  <c r="D816" i="11"/>
  <c r="F816" i="11" s="1"/>
  <c r="D817" i="11"/>
  <c r="F817" i="11" s="1"/>
  <c r="D818" i="11"/>
  <c r="F818" i="11" s="1"/>
  <c r="D819" i="11"/>
  <c r="F819" i="11" s="1"/>
  <c r="D820" i="11"/>
  <c r="F820" i="11" s="1"/>
  <c r="D821" i="11"/>
  <c r="F821" i="11" s="1"/>
  <c r="D822" i="11"/>
  <c r="F822" i="11" s="1"/>
  <c r="D823" i="11"/>
  <c r="F823" i="11" s="1"/>
  <c r="D824" i="11"/>
  <c r="F824" i="11" s="1"/>
  <c r="D825" i="11"/>
  <c r="F825" i="11" s="1"/>
  <c r="D826" i="11"/>
  <c r="F826" i="11" s="1"/>
  <c r="D827" i="11"/>
  <c r="F827" i="11" s="1"/>
  <c r="D828" i="11"/>
  <c r="F828" i="11" s="1"/>
  <c r="D829" i="11"/>
  <c r="F829" i="11" s="1"/>
  <c r="D830" i="11"/>
  <c r="F830" i="11" s="1"/>
  <c r="D831" i="11"/>
  <c r="F831" i="11" s="1"/>
  <c r="D832" i="11"/>
  <c r="F832" i="11" s="1"/>
  <c r="D833" i="11"/>
  <c r="F833" i="11" s="1"/>
  <c r="D834" i="11"/>
  <c r="F834" i="11" s="1"/>
  <c r="D835" i="11"/>
  <c r="F835" i="11" s="1"/>
  <c r="D836" i="11"/>
  <c r="F836" i="11" s="1"/>
  <c r="D837" i="11"/>
  <c r="F837" i="11" s="1"/>
  <c r="D838" i="11"/>
  <c r="F838" i="11" s="1"/>
  <c r="D839" i="11"/>
  <c r="F839" i="11" s="1"/>
  <c r="D840" i="11"/>
  <c r="F840" i="11" s="1"/>
  <c r="D841" i="11"/>
  <c r="F841" i="11" s="1"/>
  <c r="D842" i="11"/>
  <c r="F842" i="11" s="1"/>
  <c r="D843" i="11"/>
  <c r="F843" i="11" s="1"/>
  <c r="D844" i="11"/>
  <c r="F844" i="11" s="1"/>
  <c r="D845" i="11"/>
  <c r="F845" i="11" s="1"/>
  <c r="D846" i="11"/>
  <c r="F846" i="11" s="1"/>
  <c r="D847" i="11"/>
  <c r="F847" i="11" s="1"/>
  <c r="D848" i="11"/>
  <c r="F848" i="11" s="1"/>
  <c r="D849" i="11"/>
  <c r="F849" i="11" s="1"/>
  <c r="D850" i="11"/>
  <c r="F850" i="11" s="1"/>
  <c r="D851" i="11"/>
  <c r="F851" i="11" s="1"/>
  <c r="D852" i="11"/>
  <c r="F852" i="11" s="1"/>
  <c r="D853" i="11"/>
  <c r="F853" i="11" s="1"/>
  <c r="D854" i="11"/>
  <c r="F854" i="11" s="1"/>
  <c r="D855" i="11"/>
  <c r="F855" i="11" s="1"/>
  <c r="D856" i="11"/>
  <c r="F856" i="11" s="1"/>
  <c r="D857" i="11"/>
  <c r="F857" i="11" s="1"/>
  <c r="D858" i="11"/>
  <c r="F858" i="11" s="1"/>
  <c r="D859" i="11"/>
  <c r="F859" i="11" s="1"/>
  <c r="D860" i="11"/>
  <c r="F860" i="11" s="1"/>
  <c r="D861" i="11"/>
  <c r="F861" i="11" s="1"/>
  <c r="D862" i="11"/>
  <c r="F862" i="11" s="1"/>
  <c r="D863" i="11"/>
  <c r="F863" i="11" s="1"/>
  <c r="D864" i="11"/>
  <c r="F864" i="11" s="1"/>
  <c r="D865" i="11"/>
  <c r="F865" i="11" s="1"/>
  <c r="D866" i="11"/>
  <c r="F866" i="11" s="1"/>
  <c r="D867" i="11"/>
  <c r="F867" i="11" s="1"/>
  <c r="D868" i="11"/>
  <c r="F868" i="11" s="1"/>
  <c r="D869" i="11"/>
  <c r="F869" i="11" s="1"/>
  <c r="D870" i="11"/>
  <c r="F870" i="11" s="1"/>
  <c r="D871" i="11"/>
  <c r="F871" i="11" s="1"/>
  <c r="D872" i="11"/>
  <c r="F872" i="11" s="1"/>
  <c r="D873" i="11"/>
  <c r="F873" i="11" s="1"/>
  <c r="D874" i="11"/>
  <c r="F874" i="11" s="1"/>
  <c r="D875" i="11"/>
  <c r="F875" i="11" s="1"/>
  <c r="D876" i="11"/>
  <c r="F876" i="11" s="1"/>
  <c r="D877" i="11"/>
  <c r="F877" i="11" s="1"/>
  <c r="D878" i="11"/>
  <c r="F878" i="11" s="1"/>
  <c r="D879" i="11"/>
  <c r="F879" i="11" s="1"/>
  <c r="D880" i="11"/>
  <c r="F880" i="11" s="1"/>
  <c r="D881" i="11"/>
  <c r="F881" i="11" s="1"/>
  <c r="D882" i="11"/>
  <c r="F882" i="11" s="1"/>
  <c r="D883" i="11"/>
  <c r="F883" i="11" s="1"/>
  <c r="D884" i="11"/>
  <c r="F884" i="11" s="1"/>
  <c r="D885" i="11"/>
  <c r="F885" i="11" s="1"/>
  <c r="D886" i="11"/>
  <c r="F886" i="11" s="1"/>
  <c r="D887" i="11"/>
  <c r="F887" i="11" s="1"/>
  <c r="D888" i="11"/>
  <c r="F888" i="11" s="1"/>
  <c r="D889" i="11"/>
  <c r="F889" i="11" s="1"/>
  <c r="D890" i="11"/>
  <c r="F890" i="11" s="1"/>
  <c r="D891" i="11"/>
  <c r="F891" i="11" s="1"/>
  <c r="D892" i="11"/>
  <c r="F892" i="11" s="1"/>
  <c r="D893" i="11"/>
  <c r="F893" i="11" s="1"/>
  <c r="D894" i="11"/>
  <c r="F894" i="11" s="1"/>
  <c r="D895" i="11"/>
  <c r="F895" i="11" s="1"/>
  <c r="D896" i="11"/>
  <c r="F896" i="11" s="1"/>
  <c r="D897" i="11"/>
  <c r="F897" i="11" s="1"/>
  <c r="D898" i="11"/>
  <c r="F898" i="11" s="1"/>
  <c r="D899" i="11"/>
  <c r="F899" i="11" s="1"/>
  <c r="D900" i="11"/>
  <c r="F900" i="11" s="1"/>
  <c r="D901" i="11"/>
  <c r="F901" i="11" s="1"/>
  <c r="D902" i="11"/>
  <c r="F902" i="11" s="1"/>
  <c r="D903" i="11"/>
  <c r="F903" i="11" s="1"/>
  <c r="D904" i="11"/>
  <c r="F904" i="11" s="1"/>
  <c r="D905" i="11"/>
  <c r="F905" i="11" s="1"/>
  <c r="D906" i="11"/>
  <c r="F906" i="11" s="1"/>
  <c r="D907" i="11"/>
  <c r="F907" i="11" s="1"/>
  <c r="D908" i="11"/>
  <c r="F908" i="11" s="1"/>
  <c r="D909" i="11"/>
  <c r="F909" i="11" s="1"/>
  <c r="D910" i="11"/>
  <c r="F910" i="11" s="1"/>
  <c r="D911" i="11"/>
  <c r="F911" i="11" s="1"/>
  <c r="D912" i="11"/>
  <c r="F912" i="11" s="1"/>
  <c r="D913" i="11"/>
  <c r="F913" i="11" s="1"/>
  <c r="D914" i="11"/>
  <c r="F914" i="11" s="1"/>
  <c r="D915" i="11"/>
  <c r="F915" i="11" s="1"/>
  <c r="D916" i="11"/>
  <c r="F916" i="11" s="1"/>
  <c r="D917" i="11"/>
  <c r="F917" i="11" s="1"/>
  <c r="D918" i="11"/>
  <c r="F918" i="11" s="1"/>
  <c r="D919" i="11"/>
  <c r="F919" i="11" s="1"/>
  <c r="D920" i="11"/>
  <c r="F920" i="11" s="1"/>
  <c r="D921" i="11"/>
  <c r="F921" i="11" s="1"/>
  <c r="D922" i="11"/>
  <c r="F922" i="11" s="1"/>
  <c r="D923" i="11"/>
  <c r="F923" i="11" s="1"/>
  <c r="D924" i="11"/>
  <c r="F924" i="11" s="1"/>
  <c r="D925" i="11"/>
  <c r="F925" i="11" s="1"/>
  <c r="D926" i="11"/>
  <c r="F926" i="11" s="1"/>
  <c r="D927" i="11"/>
  <c r="F927" i="11" s="1"/>
  <c r="D928" i="11"/>
  <c r="F928" i="11" s="1"/>
  <c r="D929" i="11"/>
  <c r="F929" i="11" s="1"/>
  <c r="D930" i="11"/>
  <c r="F930" i="11" s="1"/>
  <c r="D931" i="11"/>
  <c r="F931" i="11" s="1"/>
  <c r="D932" i="11"/>
  <c r="F932" i="11" s="1"/>
  <c r="D933" i="11"/>
  <c r="F933" i="11" s="1"/>
  <c r="D934" i="11"/>
  <c r="F934" i="11" s="1"/>
  <c r="D935" i="11"/>
  <c r="F935" i="11" s="1"/>
  <c r="D936" i="11"/>
  <c r="F936" i="11" s="1"/>
  <c r="D937" i="11"/>
  <c r="F937" i="11" s="1"/>
  <c r="D938" i="11"/>
  <c r="F938" i="11" s="1"/>
  <c r="D939" i="11"/>
  <c r="F939" i="11" s="1"/>
  <c r="D940" i="11"/>
  <c r="F940" i="11" s="1"/>
  <c r="D941" i="11"/>
  <c r="F941" i="11" s="1"/>
  <c r="D942" i="11"/>
  <c r="F942" i="11" s="1"/>
  <c r="D943" i="11"/>
  <c r="F943" i="11" s="1"/>
  <c r="D944" i="11"/>
  <c r="F944" i="11" s="1"/>
  <c r="D945" i="11"/>
  <c r="F945" i="11" s="1"/>
  <c r="D946" i="11"/>
  <c r="F946" i="11" s="1"/>
  <c r="D947" i="11"/>
  <c r="F947" i="11" s="1"/>
  <c r="D948" i="11"/>
  <c r="F948" i="11" s="1"/>
  <c r="D949" i="11"/>
  <c r="F949" i="11" s="1"/>
  <c r="D950" i="11"/>
  <c r="F950" i="11" s="1"/>
  <c r="D951" i="11"/>
  <c r="F951" i="11" s="1"/>
  <c r="D952" i="11"/>
  <c r="F952" i="11" s="1"/>
  <c r="D953" i="11"/>
  <c r="F953" i="11" s="1"/>
  <c r="D954" i="11"/>
  <c r="F954" i="11" s="1"/>
  <c r="D955" i="11"/>
  <c r="F955" i="11" s="1"/>
  <c r="D956" i="11"/>
  <c r="F956" i="11" s="1"/>
  <c r="D957" i="11"/>
  <c r="F957" i="11" s="1"/>
  <c r="D958" i="11"/>
  <c r="F958" i="11" s="1"/>
  <c r="D959" i="11"/>
  <c r="F959" i="11" s="1"/>
  <c r="D960" i="11"/>
  <c r="F960" i="11" s="1"/>
  <c r="D961" i="11"/>
  <c r="F961" i="11" s="1"/>
  <c r="D962" i="11"/>
  <c r="F962" i="11" s="1"/>
  <c r="D963" i="11"/>
  <c r="F963" i="11" s="1"/>
  <c r="D964" i="11"/>
  <c r="F964" i="11" s="1"/>
  <c r="D965" i="11"/>
  <c r="F965" i="11" s="1"/>
  <c r="D966" i="11"/>
  <c r="F966" i="11" s="1"/>
  <c r="D967" i="11"/>
  <c r="F967" i="11" s="1"/>
  <c r="D968" i="11"/>
  <c r="F968" i="11" s="1"/>
  <c r="D969" i="11"/>
  <c r="F969" i="11" s="1"/>
  <c r="D970" i="11"/>
  <c r="F970" i="11" s="1"/>
  <c r="D971" i="11"/>
  <c r="F971" i="11" s="1"/>
  <c r="D972" i="11"/>
  <c r="F972" i="11" s="1"/>
  <c r="D973" i="11"/>
  <c r="F973" i="11" s="1"/>
  <c r="D974" i="11"/>
  <c r="F974" i="11" s="1"/>
  <c r="D975" i="11"/>
  <c r="F975" i="11" s="1"/>
  <c r="D976" i="11"/>
  <c r="F976" i="11" s="1"/>
  <c r="D977" i="11"/>
  <c r="F977" i="11" s="1"/>
  <c r="D978" i="11"/>
  <c r="F978" i="11" s="1"/>
  <c r="D979" i="11"/>
  <c r="F979" i="11" s="1"/>
  <c r="D980" i="11"/>
  <c r="F980" i="11" s="1"/>
  <c r="D981" i="11"/>
  <c r="F981" i="11" s="1"/>
  <c r="D982" i="11"/>
  <c r="F982" i="11" s="1"/>
  <c r="D983" i="11"/>
  <c r="F983" i="11" s="1"/>
  <c r="D984" i="11"/>
  <c r="F984" i="11" s="1"/>
  <c r="D985" i="11"/>
  <c r="F985" i="11" s="1"/>
  <c r="D986" i="11"/>
  <c r="F986" i="11" s="1"/>
  <c r="D987" i="11"/>
  <c r="F987" i="11" s="1"/>
  <c r="D988" i="11"/>
  <c r="F988" i="11" s="1"/>
  <c r="D989" i="11"/>
  <c r="F989" i="11" s="1"/>
  <c r="D990" i="11"/>
  <c r="F990" i="11" s="1"/>
  <c r="D991" i="11"/>
  <c r="F991" i="11" s="1"/>
  <c r="D992" i="11"/>
  <c r="F992" i="11" s="1"/>
  <c r="D993" i="11"/>
  <c r="F993" i="11" s="1"/>
  <c r="D994" i="11"/>
  <c r="F994" i="11" s="1"/>
  <c r="D995" i="11"/>
  <c r="F995" i="11" s="1"/>
  <c r="D996" i="11"/>
  <c r="F996" i="11" s="1"/>
  <c r="D997" i="11"/>
  <c r="F997" i="11" s="1"/>
  <c r="D998" i="11"/>
  <c r="F998" i="11" s="1"/>
  <c r="D999" i="11"/>
  <c r="F999" i="11" s="1"/>
  <c r="D1000" i="11"/>
  <c r="F1000" i="11" s="1"/>
  <c r="D1001" i="11"/>
  <c r="F1001" i="11" s="1"/>
  <c r="D1002" i="11"/>
  <c r="F1002" i="11" s="1"/>
  <c r="D1003" i="11"/>
  <c r="F1003" i="11" s="1"/>
  <c r="D1004" i="11"/>
  <c r="F1004" i="11" s="1"/>
  <c r="D1005" i="11"/>
  <c r="F1005" i="11" s="1"/>
  <c r="D1006" i="11"/>
  <c r="F1006" i="11" s="1"/>
  <c r="D1007" i="11"/>
  <c r="F1007" i="11" s="1"/>
  <c r="D1008" i="11"/>
  <c r="F1008" i="11" s="1"/>
  <c r="D1009" i="11"/>
  <c r="F1009" i="11" s="1"/>
  <c r="D1010" i="11"/>
  <c r="F1010" i="11" s="1"/>
  <c r="D1011" i="11"/>
  <c r="F1011" i="11" s="1"/>
  <c r="D1012" i="11"/>
  <c r="F1012" i="11" s="1"/>
  <c r="D1013" i="11"/>
  <c r="F1013" i="11" s="1"/>
  <c r="D1014" i="11"/>
  <c r="F1014" i="11" s="1"/>
  <c r="D1015" i="11"/>
  <c r="F1015" i="11" s="1"/>
  <c r="D1016" i="11"/>
  <c r="F1016" i="11" s="1"/>
  <c r="D1017" i="11"/>
  <c r="F1017" i="11" s="1"/>
  <c r="D1018" i="11"/>
  <c r="F1018" i="11" s="1"/>
  <c r="D1019" i="11"/>
  <c r="F1019" i="11" s="1"/>
  <c r="D1020" i="11"/>
  <c r="F1020" i="11" s="1"/>
  <c r="D1021" i="11"/>
  <c r="F1021" i="11" s="1"/>
  <c r="D1022" i="11"/>
  <c r="F1022" i="11" s="1"/>
  <c r="D1023" i="11"/>
  <c r="F1023" i="11" s="1"/>
  <c r="D1024" i="11"/>
  <c r="F1024" i="11" s="1"/>
  <c r="D1025" i="11"/>
  <c r="F1025" i="11" s="1"/>
  <c r="D1026" i="11"/>
  <c r="F1026" i="11" s="1"/>
  <c r="D1027" i="11"/>
  <c r="F1027" i="11" s="1"/>
  <c r="D1028" i="11"/>
  <c r="F1028" i="11" s="1"/>
  <c r="D1029" i="11"/>
  <c r="F1029" i="11" s="1"/>
  <c r="D1030" i="11"/>
  <c r="F1030" i="11" s="1"/>
  <c r="D1031" i="11"/>
  <c r="F1031" i="11" s="1"/>
  <c r="D1032" i="11"/>
  <c r="F1032" i="11" s="1"/>
  <c r="D1033" i="11"/>
  <c r="F1033" i="11" s="1"/>
  <c r="D1034" i="11"/>
  <c r="F1034" i="11" s="1"/>
  <c r="D1035" i="11"/>
  <c r="F1035" i="11" s="1"/>
  <c r="D1036" i="11"/>
  <c r="F1036" i="11" s="1"/>
  <c r="D1037" i="11"/>
  <c r="F1037" i="11" s="1"/>
  <c r="D1038" i="11"/>
  <c r="F1038" i="11" s="1"/>
  <c r="D1039" i="11"/>
  <c r="F1039" i="11" s="1"/>
  <c r="D1040" i="11"/>
  <c r="F1040" i="11" s="1"/>
  <c r="D1041" i="11"/>
  <c r="F1041" i="11" s="1"/>
  <c r="D1042" i="11"/>
  <c r="F1042" i="11" s="1"/>
  <c r="D1043" i="11"/>
  <c r="F1043" i="11" s="1"/>
  <c r="D1044" i="11"/>
  <c r="F1044" i="11" s="1"/>
  <c r="D1045" i="11"/>
  <c r="F1045" i="11" s="1"/>
  <c r="D1046" i="11"/>
  <c r="F1046" i="11" s="1"/>
  <c r="D1047" i="11"/>
  <c r="F1047" i="11" s="1"/>
  <c r="D1048" i="11"/>
  <c r="F1048" i="11" s="1"/>
  <c r="D1049" i="11"/>
  <c r="F1049" i="11" s="1"/>
  <c r="D1050" i="11"/>
  <c r="F1050" i="11" s="1"/>
  <c r="D1051" i="11"/>
  <c r="F1051" i="11" s="1"/>
  <c r="D1052" i="11"/>
  <c r="F1052" i="11" s="1"/>
  <c r="D1053" i="11"/>
  <c r="F1053" i="11" s="1"/>
  <c r="D1054" i="11"/>
  <c r="F1054" i="11" s="1"/>
  <c r="D1055" i="11"/>
  <c r="F1055" i="11" s="1"/>
  <c r="D1056" i="11"/>
  <c r="F1056" i="11" s="1"/>
  <c r="D1057" i="11"/>
  <c r="F1057" i="11" s="1"/>
  <c r="D1058" i="11"/>
  <c r="F1058" i="11" s="1"/>
  <c r="D1059" i="11"/>
  <c r="F1059" i="11" s="1"/>
  <c r="D1060" i="11"/>
  <c r="F1060" i="11" s="1"/>
  <c r="D1061" i="11"/>
  <c r="F1061" i="11" s="1"/>
  <c r="D1062" i="11"/>
  <c r="F1062" i="11" s="1"/>
  <c r="D1063" i="11"/>
  <c r="F1063" i="11" s="1"/>
  <c r="D1064" i="11"/>
  <c r="F1064" i="11" s="1"/>
  <c r="D1065" i="11"/>
  <c r="F1065" i="11" s="1"/>
  <c r="D1066" i="11"/>
  <c r="F1066" i="11" s="1"/>
  <c r="D1067" i="11"/>
  <c r="F1067" i="11" s="1"/>
  <c r="D1068" i="11"/>
  <c r="F1068" i="11" s="1"/>
  <c r="D1069" i="11"/>
  <c r="F1069" i="11" s="1"/>
  <c r="D1070" i="11"/>
  <c r="F1070" i="11" s="1"/>
  <c r="D1071" i="11"/>
  <c r="F1071" i="11" s="1"/>
  <c r="D1072" i="11"/>
  <c r="F1072" i="11" s="1"/>
  <c r="D1073" i="11"/>
  <c r="F1073" i="11" s="1"/>
  <c r="D1074" i="11"/>
  <c r="F1074" i="11" s="1"/>
  <c r="D1075" i="11"/>
  <c r="F1075" i="11" s="1"/>
  <c r="D1076" i="11"/>
  <c r="F1076" i="11" s="1"/>
  <c r="D1077" i="11"/>
  <c r="F1077" i="11" s="1"/>
  <c r="D1078" i="11"/>
  <c r="F1078" i="11" s="1"/>
  <c r="D1079" i="11"/>
  <c r="F1079" i="11" s="1"/>
  <c r="D1080" i="11"/>
  <c r="F1080" i="11" s="1"/>
  <c r="D1081" i="11"/>
  <c r="F1081" i="11" s="1"/>
  <c r="D1082" i="11"/>
  <c r="F1082" i="11" s="1"/>
  <c r="D1083" i="11"/>
  <c r="F1083" i="11" s="1"/>
  <c r="D1084" i="11"/>
  <c r="F1084" i="11" s="1"/>
  <c r="D1085" i="11"/>
  <c r="F1085" i="11" s="1"/>
  <c r="D1086" i="11"/>
  <c r="F1086" i="11" s="1"/>
  <c r="D1087" i="11"/>
  <c r="F1087" i="11" s="1"/>
  <c r="D1088" i="11"/>
  <c r="F1088" i="11" s="1"/>
  <c r="D1089" i="11"/>
  <c r="F1089" i="11" s="1"/>
  <c r="D1090" i="11"/>
  <c r="F1090" i="11" s="1"/>
  <c r="D1091" i="11"/>
  <c r="F1091" i="11" s="1"/>
  <c r="D1092" i="11"/>
  <c r="F1092" i="11" s="1"/>
  <c r="D1093" i="11"/>
  <c r="F1093" i="11" s="1"/>
  <c r="D1094" i="11"/>
  <c r="F1094" i="11" s="1"/>
  <c r="D1095" i="11"/>
  <c r="F1095" i="11" s="1"/>
  <c r="D1096" i="11"/>
  <c r="F1096" i="11" s="1"/>
  <c r="D1097" i="11"/>
  <c r="F1097" i="11" s="1"/>
  <c r="D1098" i="11"/>
  <c r="F1098" i="11" s="1"/>
  <c r="D1099" i="11"/>
  <c r="F1099" i="11" s="1"/>
  <c r="D1100" i="11"/>
  <c r="F1100" i="11" s="1"/>
  <c r="D1101" i="11"/>
  <c r="F1101" i="11" s="1"/>
  <c r="D1102" i="11"/>
  <c r="F1102" i="11" s="1"/>
  <c r="D1103" i="11"/>
  <c r="F1103" i="11" s="1"/>
  <c r="D1104" i="11"/>
  <c r="F1104" i="11" s="1"/>
  <c r="D1105" i="11"/>
  <c r="F1105" i="11" s="1"/>
  <c r="D1106" i="11"/>
  <c r="F1106" i="11" s="1"/>
  <c r="D1107" i="11"/>
  <c r="F1107" i="11" s="1"/>
  <c r="D1108" i="11"/>
  <c r="F1108" i="11" s="1"/>
  <c r="D1109" i="11"/>
  <c r="F1109" i="11" s="1"/>
  <c r="D1110" i="11"/>
  <c r="F1110" i="11" s="1"/>
  <c r="D1111" i="11"/>
  <c r="F1111" i="11" s="1"/>
  <c r="D1112" i="11"/>
  <c r="F1112" i="11" s="1"/>
  <c r="D1113" i="11"/>
  <c r="F1113" i="11" s="1"/>
  <c r="D1114" i="11"/>
  <c r="F1114" i="11" s="1"/>
  <c r="D1115" i="11"/>
  <c r="F1115" i="11" s="1"/>
  <c r="D1116" i="11"/>
  <c r="F1116" i="11" s="1"/>
  <c r="D1117" i="11"/>
  <c r="F1117" i="11" s="1"/>
  <c r="D1118" i="11"/>
  <c r="F1118" i="11" s="1"/>
  <c r="D1119" i="11"/>
  <c r="F1119" i="11" s="1"/>
  <c r="D1120" i="11"/>
  <c r="F1120" i="11" s="1"/>
  <c r="D1121" i="11"/>
  <c r="F1121" i="11" s="1"/>
  <c r="D1122" i="11"/>
  <c r="F1122" i="11" s="1"/>
  <c r="D1123" i="11"/>
  <c r="F1123" i="11" s="1"/>
  <c r="D1124" i="11"/>
  <c r="F1124" i="11" s="1"/>
  <c r="D1125" i="11"/>
  <c r="F1125" i="11" s="1"/>
  <c r="D1126" i="11"/>
  <c r="F1126" i="11" s="1"/>
  <c r="D1127" i="11"/>
  <c r="F1127" i="11" s="1"/>
  <c r="D1128" i="11"/>
  <c r="F1128" i="11" s="1"/>
  <c r="D1129" i="11"/>
  <c r="F1129" i="11" s="1"/>
  <c r="D1130" i="11"/>
  <c r="F1130" i="11" s="1"/>
  <c r="D1131" i="11"/>
  <c r="F1131" i="11" s="1"/>
  <c r="D1132" i="11"/>
  <c r="F1132" i="11" s="1"/>
  <c r="D1133" i="11"/>
  <c r="F1133" i="11" s="1"/>
  <c r="D1134" i="11"/>
  <c r="F1134" i="11" s="1"/>
  <c r="D1135" i="11"/>
  <c r="F1135" i="11" s="1"/>
  <c r="D1136" i="11"/>
  <c r="F1136" i="11" s="1"/>
  <c r="D1137" i="11"/>
  <c r="F1137" i="11" s="1"/>
  <c r="D1138" i="11"/>
  <c r="F1138" i="11" s="1"/>
  <c r="D1139" i="11"/>
  <c r="F1139" i="11" s="1"/>
  <c r="D1140" i="11"/>
  <c r="F1140" i="11" s="1"/>
  <c r="D1141" i="11"/>
  <c r="F1141" i="11" s="1"/>
  <c r="D1142" i="11"/>
  <c r="F1142" i="11" s="1"/>
  <c r="D1143" i="11"/>
  <c r="F1143" i="11" s="1"/>
  <c r="D1144" i="11"/>
  <c r="F1144" i="11" s="1"/>
  <c r="D1145" i="11"/>
  <c r="F1145" i="11" s="1"/>
  <c r="D1146" i="11"/>
  <c r="F1146" i="11" s="1"/>
  <c r="D1147" i="11"/>
  <c r="F1147" i="11" s="1"/>
  <c r="D1148" i="11"/>
  <c r="F1148" i="11" s="1"/>
  <c r="D1149" i="11"/>
  <c r="F1149" i="11" s="1"/>
  <c r="D1150" i="11"/>
  <c r="F1150" i="11" s="1"/>
  <c r="D1151" i="11"/>
  <c r="F1151" i="11" s="1"/>
  <c r="D1152" i="11"/>
  <c r="F1152" i="11" s="1"/>
  <c r="D1153" i="11"/>
  <c r="F1153" i="11" s="1"/>
  <c r="D1154" i="11"/>
  <c r="F1154" i="11" s="1"/>
  <c r="D1155" i="11"/>
  <c r="F1155" i="11" s="1"/>
  <c r="D1156" i="11"/>
  <c r="F1156" i="11" s="1"/>
  <c r="D1157" i="11"/>
  <c r="F1157" i="11" s="1"/>
  <c r="D1158" i="11"/>
  <c r="F1158" i="11" s="1"/>
  <c r="D1159" i="11"/>
  <c r="F1159" i="11" s="1"/>
  <c r="D1160" i="11"/>
  <c r="F1160" i="11" s="1"/>
  <c r="D1161" i="11"/>
  <c r="F1161" i="11" s="1"/>
  <c r="D1162" i="11"/>
  <c r="F1162" i="11" s="1"/>
  <c r="D1163" i="11"/>
  <c r="F1163" i="11" s="1"/>
  <c r="D1164" i="11"/>
  <c r="F1164" i="11" s="1"/>
  <c r="D1165" i="11"/>
  <c r="F1165" i="11" s="1"/>
  <c r="D1166" i="11"/>
  <c r="F1166" i="11" s="1"/>
  <c r="D1167" i="11"/>
  <c r="F1167" i="11" s="1"/>
  <c r="D1168" i="11"/>
  <c r="F1168" i="11" s="1"/>
  <c r="D1169" i="11"/>
  <c r="F1169" i="11" s="1"/>
  <c r="D1170" i="11"/>
  <c r="F1170" i="11" s="1"/>
  <c r="D1171" i="11"/>
  <c r="F1171" i="11" s="1"/>
  <c r="D1172" i="11"/>
  <c r="F1172" i="11" s="1"/>
  <c r="D1173" i="11"/>
  <c r="F1173" i="11" s="1"/>
  <c r="D1174" i="11"/>
  <c r="F1174" i="11" s="1"/>
  <c r="D1175" i="11"/>
  <c r="F1175" i="11" s="1"/>
  <c r="D1176" i="11"/>
  <c r="F1176" i="11" s="1"/>
  <c r="D1177" i="11"/>
  <c r="F1177" i="11" s="1"/>
  <c r="D1178" i="11"/>
  <c r="F1178" i="11" s="1"/>
  <c r="D1179" i="11"/>
  <c r="F1179" i="11" s="1"/>
  <c r="D1180" i="11"/>
  <c r="F1180" i="11" s="1"/>
  <c r="D1181" i="11"/>
  <c r="F1181" i="11" s="1"/>
  <c r="D1182" i="11"/>
  <c r="F1182" i="11" s="1"/>
  <c r="D1183" i="11"/>
  <c r="F1183" i="11" s="1"/>
  <c r="D1184" i="11"/>
  <c r="F1184" i="11" s="1"/>
  <c r="D1185" i="11"/>
  <c r="F1185" i="11" s="1"/>
  <c r="D1186" i="11"/>
  <c r="F1186" i="11" s="1"/>
  <c r="D1187" i="11"/>
  <c r="F1187" i="11" s="1"/>
  <c r="D1188" i="11"/>
  <c r="F1188" i="11" s="1"/>
  <c r="D1189" i="11"/>
  <c r="F1189" i="11" s="1"/>
  <c r="D1190" i="11"/>
  <c r="F1190" i="11" s="1"/>
  <c r="D1191" i="11"/>
  <c r="F1191" i="11" s="1"/>
  <c r="D1192" i="11"/>
  <c r="F1192" i="11" s="1"/>
  <c r="D1193" i="11"/>
  <c r="F1193" i="11" s="1"/>
  <c r="D1194" i="11"/>
  <c r="F1194" i="11" s="1"/>
  <c r="D1195" i="11"/>
  <c r="F1195" i="11" s="1"/>
  <c r="D1196" i="11"/>
  <c r="F1196" i="11" s="1"/>
  <c r="D1197" i="11"/>
  <c r="F1197" i="11" s="1"/>
  <c r="D1198" i="11"/>
  <c r="F1198" i="11" s="1"/>
  <c r="D1199" i="11"/>
  <c r="F1199" i="11" s="1"/>
  <c r="D1200" i="11"/>
  <c r="F1200" i="11" s="1"/>
  <c r="D1201" i="11"/>
  <c r="F1201" i="11" s="1"/>
  <c r="D1202" i="11"/>
  <c r="F1202" i="11" s="1"/>
  <c r="D1203" i="11"/>
  <c r="F1203" i="11" s="1"/>
  <c r="D1204" i="11"/>
  <c r="F1204" i="11" s="1"/>
  <c r="D1205" i="11"/>
  <c r="F1205" i="11" s="1"/>
  <c r="D1206" i="11"/>
  <c r="F1206" i="11" s="1"/>
  <c r="D1207" i="11"/>
  <c r="F1207" i="11" s="1"/>
  <c r="D1208" i="11"/>
  <c r="F1208" i="11" s="1"/>
  <c r="D1209" i="11"/>
  <c r="F1209" i="11" s="1"/>
  <c r="D1210" i="11"/>
  <c r="F1210" i="11" s="1"/>
  <c r="D1211" i="11"/>
  <c r="F1211" i="11" s="1"/>
  <c r="D1212" i="11"/>
  <c r="F1212" i="11" s="1"/>
  <c r="D1213" i="11"/>
  <c r="F1213" i="11" s="1"/>
  <c r="D1214" i="11"/>
  <c r="F1214" i="11" s="1"/>
  <c r="D1215" i="11"/>
  <c r="F1215" i="11" s="1"/>
  <c r="D1216" i="11"/>
  <c r="F1216" i="11" s="1"/>
  <c r="D1217" i="11"/>
  <c r="F1217" i="11" s="1"/>
  <c r="D1218" i="11"/>
  <c r="F1218" i="11" s="1"/>
  <c r="D1219" i="11"/>
  <c r="F1219" i="11" s="1"/>
  <c r="D1220" i="11"/>
  <c r="F1220" i="11" s="1"/>
  <c r="D1221" i="11"/>
  <c r="F1221" i="11" s="1"/>
  <c r="D1222" i="11"/>
  <c r="F1222" i="11" s="1"/>
  <c r="D1223" i="11"/>
  <c r="F1223" i="11" s="1"/>
  <c r="D1224" i="11"/>
  <c r="F1224" i="11" s="1"/>
  <c r="D1225" i="11"/>
  <c r="F1225" i="11" s="1"/>
  <c r="D1226" i="11"/>
  <c r="F1226" i="11" s="1"/>
  <c r="D1227" i="11"/>
  <c r="F1227" i="11" s="1"/>
  <c r="D1228" i="11"/>
  <c r="F1228" i="11" s="1"/>
  <c r="D1229" i="11"/>
  <c r="F1229" i="11" s="1"/>
  <c r="D1230" i="11"/>
  <c r="F1230" i="11" s="1"/>
  <c r="D1231" i="11"/>
  <c r="F1231" i="11" s="1"/>
  <c r="D1232" i="11"/>
  <c r="F1232" i="11" s="1"/>
  <c r="D1233" i="11"/>
  <c r="F1233" i="11" s="1"/>
  <c r="D1234" i="11"/>
  <c r="F1234" i="11" s="1"/>
  <c r="D1235" i="11"/>
  <c r="F1235" i="11" s="1"/>
  <c r="D1236" i="11"/>
  <c r="F1236" i="11" s="1"/>
  <c r="D1237" i="11"/>
  <c r="F1237" i="11" s="1"/>
  <c r="D1238" i="11"/>
  <c r="F1238" i="11" s="1"/>
  <c r="D1239" i="11"/>
  <c r="F1239" i="11" s="1"/>
  <c r="D1240" i="11"/>
  <c r="F1240" i="11" s="1"/>
  <c r="D1241" i="11"/>
  <c r="F1241" i="11" s="1"/>
  <c r="D1242" i="11"/>
  <c r="F1242" i="11" s="1"/>
  <c r="D1243" i="11"/>
  <c r="F1243" i="11" s="1"/>
  <c r="D1244" i="11"/>
  <c r="F1244" i="11" s="1"/>
  <c r="D1245" i="11"/>
  <c r="F1245" i="11" s="1"/>
  <c r="D1246" i="11"/>
  <c r="F1246" i="11" s="1"/>
  <c r="D1247" i="11"/>
  <c r="F1247" i="11" s="1"/>
  <c r="D1248" i="11"/>
  <c r="F1248" i="11" s="1"/>
  <c r="D1249" i="11"/>
  <c r="F1249" i="11" s="1"/>
  <c r="D1250" i="11"/>
  <c r="F1250" i="11" s="1"/>
  <c r="D1251" i="11"/>
  <c r="F1251" i="11" s="1"/>
  <c r="D1252" i="11"/>
  <c r="F1252" i="11" s="1"/>
  <c r="D1253" i="11"/>
  <c r="F1253" i="11" s="1"/>
  <c r="D1254" i="11"/>
  <c r="F1254" i="11" s="1"/>
  <c r="D1255" i="11"/>
  <c r="F1255" i="11" s="1"/>
  <c r="D1256" i="11"/>
  <c r="F1256" i="11" s="1"/>
  <c r="D1257" i="11"/>
  <c r="F1257" i="11" s="1"/>
  <c r="D1258" i="11"/>
  <c r="F1258" i="11" s="1"/>
  <c r="D1259" i="11"/>
  <c r="F1259" i="11" s="1"/>
  <c r="D1260" i="11"/>
  <c r="F1260" i="11" s="1"/>
  <c r="D1261" i="11"/>
  <c r="F1261" i="11" s="1"/>
  <c r="D1262" i="11"/>
  <c r="F1262" i="11" s="1"/>
  <c r="D1263" i="11"/>
  <c r="F1263" i="11" s="1"/>
  <c r="D1264" i="11"/>
  <c r="F1264" i="11" s="1"/>
  <c r="D1265" i="11"/>
  <c r="F1265" i="11" s="1"/>
  <c r="D1266" i="11"/>
  <c r="F1266" i="11" s="1"/>
  <c r="D1267" i="11"/>
  <c r="F1267" i="11" s="1"/>
  <c r="D1268" i="11"/>
  <c r="F1268" i="11" s="1"/>
  <c r="D1269" i="11"/>
  <c r="F1269" i="11" s="1"/>
  <c r="D1270" i="11"/>
  <c r="F1270" i="11" s="1"/>
  <c r="D1271" i="11"/>
  <c r="F1271" i="11" s="1"/>
  <c r="D1272" i="11"/>
  <c r="F1272" i="11" s="1"/>
  <c r="D1273" i="11"/>
  <c r="F1273" i="11" s="1"/>
  <c r="D1274" i="11"/>
  <c r="F1274" i="11" s="1"/>
  <c r="D1275" i="11"/>
  <c r="F1275" i="11" s="1"/>
  <c r="D1276" i="11"/>
  <c r="F1276" i="11" s="1"/>
  <c r="D1277" i="11"/>
  <c r="F1277" i="11" s="1"/>
  <c r="D1278" i="11"/>
  <c r="F1278" i="11" s="1"/>
  <c r="D1279" i="11"/>
  <c r="F1279" i="11" s="1"/>
  <c r="D1280" i="11"/>
  <c r="F1280" i="11" s="1"/>
  <c r="D1281" i="11"/>
  <c r="F1281" i="11" s="1"/>
  <c r="D1282" i="11"/>
  <c r="F1282" i="11" s="1"/>
  <c r="D1283" i="11"/>
  <c r="F1283" i="11" s="1"/>
  <c r="D1284" i="11"/>
  <c r="F1284" i="11" s="1"/>
  <c r="D1285" i="11"/>
  <c r="F1285" i="11" s="1"/>
  <c r="D1286" i="11"/>
  <c r="F1286" i="11" s="1"/>
  <c r="D1287" i="11"/>
  <c r="F1287" i="11" s="1"/>
  <c r="D1288" i="11"/>
  <c r="F1288" i="11" s="1"/>
  <c r="D1289" i="11"/>
  <c r="F1289" i="11" s="1"/>
  <c r="D1290" i="11"/>
  <c r="F1290" i="11" s="1"/>
  <c r="D1291" i="11"/>
  <c r="F1291" i="11" s="1"/>
  <c r="D1292" i="11"/>
  <c r="F1292" i="11" s="1"/>
  <c r="D1293" i="11"/>
  <c r="F1293" i="11" s="1"/>
  <c r="D1294" i="11"/>
  <c r="F1294" i="11" s="1"/>
  <c r="D1295" i="11"/>
  <c r="F1295" i="11" s="1"/>
  <c r="D1296" i="11"/>
  <c r="F1296" i="11" s="1"/>
  <c r="D1297" i="11"/>
  <c r="F1297" i="11" s="1"/>
  <c r="D1298" i="11"/>
  <c r="F1298" i="11" s="1"/>
  <c r="D1299" i="11"/>
  <c r="F1299" i="11" s="1"/>
  <c r="D1300" i="11"/>
  <c r="F1300" i="11" s="1"/>
  <c r="D1301" i="11"/>
  <c r="F1301" i="11" s="1"/>
  <c r="D1302" i="11"/>
  <c r="F1302" i="11" s="1"/>
  <c r="D1303" i="11"/>
  <c r="F1303" i="11" s="1"/>
  <c r="D1304" i="11"/>
  <c r="F1304" i="11" s="1"/>
  <c r="D1305" i="11"/>
  <c r="F1305" i="11" s="1"/>
  <c r="D1306" i="11"/>
  <c r="F1306" i="11" s="1"/>
  <c r="D1307" i="11"/>
  <c r="F1307" i="11" s="1"/>
  <c r="D1308" i="11"/>
  <c r="F1308" i="11" s="1"/>
  <c r="D1309" i="11"/>
  <c r="F1309" i="11" s="1"/>
  <c r="D1310" i="11"/>
  <c r="F1310" i="11" s="1"/>
  <c r="D1311" i="11"/>
  <c r="F1311" i="11" s="1"/>
  <c r="D1312" i="11"/>
  <c r="F1312" i="11" s="1"/>
  <c r="D1313" i="11"/>
  <c r="F1313" i="11" s="1"/>
  <c r="D1314" i="11"/>
  <c r="F1314" i="11" s="1"/>
  <c r="D1315" i="11"/>
  <c r="F1315" i="11" s="1"/>
  <c r="D1316" i="11"/>
  <c r="F1316" i="11" s="1"/>
  <c r="D1317" i="11"/>
  <c r="F1317" i="11" s="1"/>
  <c r="D1318" i="11"/>
  <c r="F1318" i="11" s="1"/>
  <c r="D1319" i="11"/>
  <c r="F1319" i="11" s="1"/>
  <c r="D1320" i="11"/>
  <c r="F1320" i="11" s="1"/>
  <c r="D1321" i="11"/>
  <c r="F1321" i="11" s="1"/>
  <c r="D1322" i="11"/>
  <c r="F1322" i="11" s="1"/>
  <c r="D1323" i="11"/>
  <c r="F1323" i="11" s="1"/>
  <c r="D1324" i="11"/>
  <c r="F1324" i="11" s="1"/>
  <c r="D1325" i="11"/>
  <c r="F1325" i="11" s="1"/>
  <c r="D1326" i="11"/>
  <c r="F1326" i="11" s="1"/>
  <c r="D1327" i="11"/>
  <c r="F1327" i="11" s="1"/>
  <c r="D1328" i="11"/>
  <c r="F1328" i="11" s="1"/>
  <c r="D1329" i="11"/>
  <c r="F1329" i="11" s="1"/>
  <c r="D1330" i="11"/>
  <c r="F1330" i="11" s="1"/>
  <c r="D1331" i="11"/>
  <c r="F1331" i="11" s="1"/>
  <c r="D1332" i="11"/>
  <c r="F1332" i="11" s="1"/>
  <c r="D1333" i="11"/>
  <c r="F1333" i="11" s="1"/>
  <c r="D1334" i="11"/>
  <c r="F1334" i="11" s="1"/>
  <c r="D1335" i="11"/>
  <c r="F1335" i="11" s="1"/>
  <c r="D1336" i="11"/>
  <c r="F1336" i="11" s="1"/>
  <c r="D1337" i="11"/>
  <c r="F1337" i="11" s="1"/>
  <c r="D1338" i="11"/>
  <c r="F1338" i="11" s="1"/>
  <c r="D1339" i="11"/>
  <c r="F1339" i="11" s="1"/>
  <c r="D1340" i="11"/>
  <c r="F1340" i="11" s="1"/>
  <c r="D1341" i="11"/>
  <c r="F1341" i="11" s="1"/>
  <c r="D1342" i="11"/>
  <c r="F1342" i="11" s="1"/>
  <c r="D1343" i="11"/>
  <c r="F1343" i="11" s="1"/>
  <c r="D1344" i="11"/>
  <c r="F1344" i="11" s="1"/>
  <c r="D1345" i="11"/>
  <c r="F1345" i="11" s="1"/>
  <c r="D1346" i="11"/>
  <c r="F1346" i="11" s="1"/>
  <c r="D1347" i="11"/>
  <c r="F1347" i="11" s="1"/>
  <c r="D1348" i="11"/>
  <c r="F1348" i="11" s="1"/>
  <c r="D1349" i="11"/>
  <c r="F1349" i="11" s="1"/>
  <c r="D1350" i="11"/>
  <c r="F1350" i="11" s="1"/>
  <c r="D1351" i="11"/>
  <c r="F1351" i="11" s="1"/>
  <c r="D1352" i="11"/>
  <c r="F1352" i="11" s="1"/>
  <c r="D1353" i="11"/>
  <c r="F1353" i="11" s="1"/>
  <c r="D1354" i="11"/>
  <c r="F1354" i="11" s="1"/>
  <c r="D1355" i="11"/>
  <c r="F1355" i="11" s="1"/>
  <c r="D1356" i="11"/>
  <c r="F1356" i="11" s="1"/>
  <c r="D1357" i="11"/>
  <c r="F1357" i="11" s="1"/>
  <c r="D1358" i="11"/>
  <c r="F1358" i="11" s="1"/>
  <c r="D1359" i="11"/>
  <c r="F1359" i="11" s="1"/>
  <c r="D1360" i="11"/>
  <c r="F1360" i="11" s="1"/>
  <c r="D1361" i="11"/>
  <c r="F1361" i="11" s="1"/>
  <c r="D1362" i="11"/>
  <c r="F1362" i="11" s="1"/>
  <c r="D1363" i="11"/>
  <c r="F1363" i="11" s="1"/>
  <c r="D1364" i="11"/>
  <c r="F1364" i="11" s="1"/>
  <c r="D1365" i="11"/>
  <c r="F1365" i="11" s="1"/>
  <c r="D1366" i="11"/>
  <c r="F1366" i="11" s="1"/>
  <c r="D1367" i="11"/>
  <c r="F1367" i="11" s="1"/>
  <c r="D1368" i="11"/>
  <c r="F1368" i="11" s="1"/>
  <c r="D1369" i="11"/>
  <c r="F1369" i="11" s="1"/>
  <c r="D1370" i="11"/>
  <c r="F1370" i="11" s="1"/>
  <c r="D1371" i="11"/>
  <c r="F1371" i="11" s="1"/>
  <c r="D1372" i="11"/>
  <c r="F1372" i="11" s="1"/>
  <c r="D1373" i="11"/>
  <c r="F1373" i="11" s="1"/>
  <c r="D1374" i="11"/>
  <c r="F1374" i="11" s="1"/>
  <c r="D1375" i="11"/>
  <c r="F1375" i="11" s="1"/>
  <c r="D1376" i="11"/>
  <c r="F1376" i="11" s="1"/>
  <c r="D1377" i="11"/>
  <c r="F1377" i="11" s="1"/>
  <c r="D1378" i="11"/>
  <c r="F1378" i="11" s="1"/>
  <c r="D1379" i="11"/>
  <c r="F1379" i="11" s="1"/>
  <c r="D1380" i="11"/>
  <c r="F1380" i="11" s="1"/>
  <c r="D1381" i="11"/>
  <c r="F1381" i="11" s="1"/>
  <c r="D1382" i="11"/>
  <c r="F1382" i="11" s="1"/>
  <c r="D1383" i="11"/>
  <c r="F1383" i="11" s="1"/>
  <c r="D1384" i="11"/>
  <c r="F1384" i="11" s="1"/>
  <c r="D1385" i="11"/>
  <c r="F1385" i="11" s="1"/>
  <c r="D1386" i="11"/>
  <c r="F1386" i="11" s="1"/>
  <c r="D1387" i="11"/>
  <c r="F1387" i="11" s="1"/>
  <c r="D1388" i="11"/>
  <c r="F1388" i="11" s="1"/>
  <c r="D1389" i="11"/>
  <c r="F1389" i="11" s="1"/>
  <c r="D1390" i="11"/>
  <c r="F1390" i="11" s="1"/>
  <c r="D1391" i="11"/>
  <c r="F1391" i="11" s="1"/>
  <c r="D1392" i="11"/>
  <c r="F1392" i="11" s="1"/>
  <c r="D1393" i="11"/>
  <c r="F1393" i="11" s="1"/>
  <c r="D1394" i="11"/>
  <c r="F1394" i="11" s="1"/>
  <c r="D1395" i="11"/>
  <c r="F1395" i="11" s="1"/>
  <c r="D1396" i="11"/>
  <c r="F1396" i="11" s="1"/>
  <c r="D1397" i="11"/>
  <c r="F1397" i="11" s="1"/>
  <c r="D1398" i="11"/>
  <c r="F1398" i="11" s="1"/>
  <c r="D1399" i="11"/>
  <c r="F1399" i="11" s="1"/>
  <c r="D1400" i="11"/>
  <c r="F1400" i="11" s="1"/>
  <c r="D1401" i="11"/>
  <c r="F1401" i="11" s="1"/>
  <c r="D1402" i="11"/>
  <c r="F1402" i="11" s="1"/>
  <c r="D1403" i="11"/>
  <c r="F1403" i="11" s="1"/>
  <c r="D1404" i="11"/>
  <c r="F1404" i="11" s="1"/>
  <c r="D1405" i="11"/>
  <c r="F1405" i="11" s="1"/>
  <c r="D1406" i="11"/>
  <c r="F1406" i="11" s="1"/>
  <c r="D1407" i="11"/>
  <c r="F1407" i="11" s="1"/>
  <c r="D1408" i="11"/>
  <c r="F1408" i="11" s="1"/>
  <c r="D1409" i="11"/>
  <c r="F1409" i="11" s="1"/>
  <c r="D1410" i="11"/>
  <c r="F1410" i="11" s="1"/>
  <c r="D1411" i="11"/>
  <c r="F1411" i="11" s="1"/>
  <c r="D1412" i="11"/>
  <c r="F1412" i="11" s="1"/>
  <c r="D1413" i="11"/>
  <c r="F1413" i="11" s="1"/>
  <c r="D1414" i="11"/>
  <c r="F1414" i="11" s="1"/>
  <c r="D1415" i="11"/>
  <c r="F1415" i="11" s="1"/>
  <c r="D1416" i="11"/>
  <c r="F1416" i="11" s="1"/>
  <c r="D1417" i="11"/>
  <c r="F1417" i="11" s="1"/>
  <c r="D1418" i="11"/>
  <c r="F1418" i="11" s="1"/>
  <c r="D1419" i="11"/>
  <c r="F1419" i="11" s="1"/>
  <c r="D1420" i="11"/>
  <c r="F1420" i="11" s="1"/>
  <c r="D1421" i="11"/>
  <c r="F1421" i="11" s="1"/>
  <c r="D1422" i="11"/>
  <c r="F1422" i="11" s="1"/>
  <c r="D1423" i="11"/>
  <c r="F1423" i="11" s="1"/>
  <c r="D1424" i="11"/>
  <c r="F1424" i="11" s="1"/>
  <c r="D1425" i="11"/>
  <c r="F1425" i="11" s="1"/>
  <c r="D1426" i="11"/>
  <c r="F1426" i="11" s="1"/>
  <c r="D1427" i="11"/>
  <c r="F1427" i="11" s="1"/>
  <c r="D1428" i="11"/>
  <c r="F1428" i="11" s="1"/>
  <c r="D1429" i="11"/>
  <c r="F1429" i="11" s="1"/>
  <c r="D1430" i="11"/>
  <c r="F1430" i="11" s="1"/>
  <c r="D1431" i="11"/>
  <c r="F1431" i="11" s="1"/>
  <c r="D1432" i="11"/>
  <c r="F1432" i="11" s="1"/>
  <c r="D1433" i="11"/>
  <c r="F1433" i="11" s="1"/>
  <c r="D1434" i="11"/>
  <c r="F1434" i="11" s="1"/>
  <c r="D1435" i="11"/>
  <c r="F1435" i="11" s="1"/>
  <c r="D1436" i="11"/>
  <c r="F1436" i="11" s="1"/>
  <c r="D1437" i="11"/>
  <c r="F1437" i="11" s="1"/>
  <c r="D1438" i="11"/>
  <c r="F1438" i="11" s="1"/>
  <c r="D1439" i="11"/>
  <c r="F1439" i="11" s="1"/>
  <c r="D1440" i="11"/>
  <c r="F1440" i="11" s="1"/>
  <c r="D1441" i="11"/>
  <c r="F1441" i="11" s="1"/>
  <c r="D1442" i="11"/>
  <c r="F1442" i="11" s="1"/>
  <c r="D1443" i="11"/>
  <c r="F1443" i="11" s="1"/>
  <c r="D1444" i="11"/>
  <c r="F1444" i="11" s="1"/>
  <c r="D1445" i="11"/>
  <c r="F1445" i="11" s="1"/>
  <c r="D1446" i="11"/>
  <c r="F1446" i="11" s="1"/>
  <c r="D1447" i="11"/>
  <c r="F1447" i="11" s="1"/>
  <c r="D1448" i="11"/>
  <c r="F1448" i="11" s="1"/>
  <c r="D1449" i="11"/>
  <c r="F1449" i="11" s="1"/>
  <c r="D1450" i="11"/>
  <c r="F1450" i="11" s="1"/>
  <c r="D1451" i="11"/>
  <c r="F1451" i="11" s="1"/>
  <c r="D1452" i="11"/>
  <c r="F1452" i="11" s="1"/>
  <c r="D1453" i="11"/>
  <c r="F1453" i="11" s="1"/>
  <c r="D1454" i="11"/>
  <c r="F1454" i="11" s="1"/>
  <c r="D1455" i="11"/>
  <c r="F1455" i="11" s="1"/>
  <c r="D1456" i="11"/>
  <c r="F1456" i="11" s="1"/>
  <c r="D1457" i="11"/>
  <c r="F1457" i="11" s="1"/>
  <c r="D1458" i="11"/>
  <c r="F1458" i="11" s="1"/>
  <c r="D1459" i="11"/>
  <c r="F1459" i="11" s="1"/>
  <c r="D1460" i="11"/>
  <c r="F1460" i="11" s="1"/>
  <c r="D1461" i="11"/>
  <c r="F1461" i="11" s="1"/>
  <c r="D1462" i="11"/>
  <c r="F1462" i="11" s="1"/>
  <c r="D1463" i="11"/>
  <c r="F1463" i="11" s="1"/>
  <c r="D1464" i="11"/>
  <c r="F1464" i="11" s="1"/>
  <c r="D1465" i="11"/>
  <c r="F1465" i="11" s="1"/>
  <c r="D1466" i="11"/>
  <c r="F1466" i="11" s="1"/>
  <c r="D1467" i="11"/>
  <c r="F1467" i="11" s="1"/>
  <c r="D1468" i="11"/>
  <c r="F1468" i="11" s="1"/>
  <c r="D1469" i="11"/>
  <c r="F1469" i="11" s="1"/>
  <c r="D1470" i="11"/>
  <c r="F1470" i="11" s="1"/>
  <c r="D1471" i="11"/>
  <c r="F1471" i="11" s="1"/>
  <c r="D1472" i="11"/>
  <c r="F1472" i="11" s="1"/>
  <c r="D1473" i="11"/>
  <c r="F1473" i="11" s="1"/>
  <c r="D1474" i="11"/>
  <c r="F1474" i="11" s="1"/>
  <c r="D1475" i="11"/>
  <c r="F1475" i="11" s="1"/>
  <c r="D1476" i="11"/>
  <c r="F1476" i="11" s="1"/>
  <c r="D1477" i="11"/>
  <c r="F1477" i="11" s="1"/>
  <c r="D1478" i="11"/>
  <c r="F1478" i="11" s="1"/>
  <c r="D1479" i="11"/>
  <c r="F1479" i="11" s="1"/>
  <c r="D1480" i="11"/>
  <c r="F1480" i="11" s="1"/>
  <c r="D1481" i="11"/>
  <c r="F1481" i="11" s="1"/>
  <c r="D1482" i="11"/>
  <c r="F1482" i="11" s="1"/>
  <c r="D1483" i="11"/>
  <c r="F1483" i="11" s="1"/>
  <c r="D1484" i="11"/>
  <c r="F1484" i="11" s="1"/>
  <c r="D1485" i="11"/>
  <c r="F1485" i="11" s="1"/>
  <c r="D1486" i="11"/>
  <c r="F1486" i="11" s="1"/>
  <c r="D1487" i="11"/>
  <c r="F1487" i="11" s="1"/>
  <c r="D1488" i="11"/>
  <c r="F1488" i="11" s="1"/>
  <c r="D1489" i="11"/>
  <c r="F1489" i="11" s="1"/>
  <c r="D1490" i="11"/>
  <c r="F1490" i="11" s="1"/>
  <c r="D1491" i="11"/>
  <c r="F1491" i="11" s="1"/>
  <c r="D1492" i="11"/>
  <c r="F1492" i="11" s="1"/>
  <c r="D1493" i="11"/>
  <c r="F1493" i="11" s="1"/>
  <c r="D1494" i="11"/>
  <c r="F1494" i="11" s="1"/>
  <c r="D1495" i="11"/>
  <c r="F1495" i="11" s="1"/>
  <c r="D1496" i="11"/>
  <c r="F1496" i="11" s="1"/>
  <c r="D1497" i="11"/>
  <c r="F1497" i="11" s="1"/>
  <c r="D1498" i="11"/>
  <c r="F1498" i="11" s="1"/>
  <c r="D1499" i="11"/>
  <c r="F1499" i="11" s="1"/>
  <c r="D1500" i="11"/>
  <c r="F1500" i="11" s="1"/>
  <c r="B1001" i="11" l="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8" i="11" l="1"/>
  <c r="B19" i="11"/>
  <c r="B20" i="11"/>
  <c r="B21" i="11"/>
  <c r="B22" i="11"/>
  <c r="B23" i="11"/>
  <c r="B24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52" i="11"/>
  <c r="B53" i="11"/>
  <c r="B54" i="11"/>
  <c r="B55" i="11"/>
  <c r="B56" i="11"/>
  <c r="B51" i="11"/>
  <c r="G50" i="11" l="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6" i="11"/>
  <c r="G15" i="11"/>
  <c r="G14" i="11"/>
  <c r="G13" i="11"/>
  <c r="G12" i="11"/>
  <c r="G11" i="11"/>
  <c r="G10" i="11"/>
  <c r="G9" i="11"/>
  <c r="G8" i="11"/>
  <c r="G7" i="11"/>
  <c r="G6" i="11"/>
  <c r="G5" i="11"/>
  <c r="D1213" i="9"/>
  <c r="C1213" i="9"/>
  <c r="B1213" i="9"/>
  <c r="D1212" i="9"/>
  <c r="C1212" i="9"/>
  <c r="B1212" i="9"/>
  <c r="D1211" i="9"/>
  <c r="C1211" i="9"/>
  <c r="B1211" i="9"/>
  <c r="D1210" i="9"/>
  <c r="C1210" i="9"/>
  <c r="B1210" i="9"/>
  <c r="D1209" i="9"/>
  <c r="C1209" i="9"/>
  <c r="B1209" i="9"/>
  <c r="D1208" i="9"/>
  <c r="C1208" i="9"/>
  <c r="B1208" i="9"/>
  <c r="D1207" i="9"/>
  <c r="C1207" i="9"/>
  <c r="B1207" i="9"/>
  <c r="D1206" i="9"/>
  <c r="C1206" i="9"/>
  <c r="B1206" i="9"/>
  <c r="D1205" i="9"/>
  <c r="C1205" i="9"/>
  <c r="B1205" i="9"/>
  <c r="D1204" i="9"/>
  <c r="C1204" i="9"/>
  <c r="B1204" i="9"/>
  <c r="D1203" i="9"/>
  <c r="C1203" i="9"/>
  <c r="B1203" i="9"/>
  <c r="D1202" i="9"/>
  <c r="C1202" i="9"/>
  <c r="B1202" i="9"/>
  <c r="D1201" i="9"/>
  <c r="C1201" i="9"/>
  <c r="B1201" i="9"/>
  <c r="D1200" i="9"/>
  <c r="C1200" i="9"/>
  <c r="B1200" i="9"/>
  <c r="D1199" i="9"/>
  <c r="C1199" i="9"/>
  <c r="B1199" i="9"/>
  <c r="D1198" i="9"/>
  <c r="C1198" i="9"/>
  <c r="B1198" i="9"/>
  <c r="D1197" i="9"/>
  <c r="C1197" i="9"/>
  <c r="B1197" i="9"/>
  <c r="D1196" i="9"/>
  <c r="C1196" i="9"/>
  <c r="B1196" i="9"/>
  <c r="D1195" i="9"/>
  <c r="C1195" i="9"/>
  <c r="B1195" i="9"/>
  <c r="D1194" i="9"/>
  <c r="C1194" i="9"/>
  <c r="B1194" i="9"/>
  <c r="D1193" i="9"/>
  <c r="C1193" i="9"/>
  <c r="B1193" i="9"/>
  <c r="D1192" i="9"/>
  <c r="C1192" i="9"/>
  <c r="B1192" i="9"/>
  <c r="D1191" i="9"/>
  <c r="C1191" i="9"/>
  <c r="B1191" i="9"/>
  <c r="D1190" i="9"/>
  <c r="C1190" i="9"/>
  <c r="B1190" i="9"/>
  <c r="D1189" i="9"/>
  <c r="C1189" i="9"/>
  <c r="B1189" i="9"/>
  <c r="D1188" i="9"/>
  <c r="C1188" i="9"/>
  <c r="B1188" i="9"/>
  <c r="D1187" i="9"/>
  <c r="C1187" i="9"/>
  <c r="B1187" i="9"/>
  <c r="D1186" i="9"/>
  <c r="C1186" i="9"/>
  <c r="B1186" i="9"/>
  <c r="D1185" i="9"/>
  <c r="C1185" i="9"/>
  <c r="B1185" i="9"/>
  <c r="D1184" i="9"/>
  <c r="C1184" i="9"/>
  <c r="B1184" i="9"/>
  <c r="D1183" i="9"/>
  <c r="C1183" i="9"/>
  <c r="B1183" i="9"/>
  <c r="D1182" i="9"/>
  <c r="C1182" i="9"/>
  <c r="B1182" i="9"/>
  <c r="D1181" i="9"/>
  <c r="C1181" i="9"/>
  <c r="B1181" i="9"/>
  <c r="D1180" i="9"/>
  <c r="C1180" i="9"/>
  <c r="B1180" i="9"/>
  <c r="D1179" i="9"/>
  <c r="C1179" i="9"/>
  <c r="B1179" i="9"/>
  <c r="D1178" i="9"/>
  <c r="C1178" i="9"/>
  <c r="B1178" i="9"/>
  <c r="D1177" i="9"/>
  <c r="C1177" i="9"/>
  <c r="B1177" i="9"/>
  <c r="D1176" i="9"/>
  <c r="C1176" i="9"/>
  <c r="B1176" i="9"/>
  <c r="D1175" i="9"/>
  <c r="C1175" i="9"/>
  <c r="B1175" i="9"/>
  <c r="D1174" i="9"/>
  <c r="C1174" i="9"/>
  <c r="B1174" i="9"/>
  <c r="D1173" i="9"/>
  <c r="C1173" i="9"/>
  <c r="B1173" i="9"/>
  <c r="D1172" i="9"/>
  <c r="C1172" i="9"/>
  <c r="B1172" i="9"/>
  <c r="D1171" i="9"/>
  <c r="C1171" i="9"/>
  <c r="B1171" i="9"/>
  <c r="D1170" i="9"/>
  <c r="C1170" i="9"/>
  <c r="B1170" i="9"/>
  <c r="D1169" i="9"/>
  <c r="C1169" i="9"/>
  <c r="B1169" i="9"/>
  <c r="D1168" i="9"/>
  <c r="C1168" i="9"/>
  <c r="B1168" i="9"/>
  <c r="D1167" i="9"/>
  <c r="C1167" i="9"/>
  <c r="B1167" i="9"/>
  <c r="D1166" i="9"/>
  <c r="C1166" i="9"/>
  <c r="B1166" i="9"/>
  <c r="D1165" i="9"/>
  <c r="C1165" i="9"/>
  <c r="B1165" i="9"/>
  <c r="D1164" i="9"/>
  <c r="C1164" i="9"/>
  <c r="B1164" i="9"/>
  <c r="D1163" i="9"/>
  <c r="C1163" i="9"/>
  <c r="B1163" i="9"/>
  <c r="D1162" i="9"/>
  <c r="C1162" i="9"/>
  <c r="B1162" i="9"/>
  <c r="D1161" i="9"/>
  <c r="C1161" i="9"/>
  <c r="B1161" i="9"/>
  <c r="D1160" i="9"/>
  <c r="C1160" i="9"/>
  <c r="B1160" i="9"/>
  <c r="D1159" i="9"/>
  <c r="C1159" i="9"/>
  <c r="B1159" i="9"/>
  <c r="D1158" i="9"/>
  <c r="C1158" i="9"/>
  <c r="B1158" i="9"/>
  <c r="D1157" i="9"/>
  <c r="C1157" i="9"/>
  <c r="B1157" i="9"/>
  <c r="D1156" i="9"/>
  <c r="C1156" i="9"/>
  <c r="B1156" i="9"/>
  <c r="D1155" i="9"/>
  <c r="C1155" i="9"/>
  <c r="B1155" i="9"/>
  <c r="D1154" i="9"/>
  <c r="C1154" i="9"/>
  <c r="B1154" i="9"/>
  <c r="D1153" i="9"/>
  <c r="C1153" i="9"/>
  <c r="B1153" i="9"/>
  <c r="D1152" i="9"/>
  <c r="C1152" i="9"/>
  <c r="B1152" i="9"/>
  <c r="D1151" i="9"/>
  <c r="C1151" i="9"/>
  <c r="B1151" i="9"/>
  <c r="D1150" i="9"/>
  <c r="C1150" i="9"/>
  <c r="B1150" i="9"/>
  <c r="D1149" i="9"/>
  <c r="C1149" i="9"/>
  <c r="B1149" i="9"/>
  <c r="D1148" i="9"/>
  <c r="C1148" i="9"/>
  <c r="B1148" i="9"/>
  <c r="D1147" i="9"/>
  <c r="C1147" i="9"/>
  <c r="B1147" i="9"/>
  <c r="D1146" i="9"/>
  <c r="C1146" i="9"/>
  <c r="B1146" i="9"/>
  <c r="D1145" i="9"/>
  <c r="C1145" i="9"/>
  <c r="B1145" i="9"/>
  <c r="D1144" i="9"/>
  <c r="C1144" i="9"/>
  <c r="B1144" i="9"/>
  <c r="D1143" i="9"/>
  <c r="C1143" i="9"/>
  <c r="B1143" i="9"/>
  <c r="D1142" i="9"/>
  <c r="C1142" i="9"/>
  <c r="B1142" i="9"/>
  <c r="D1141" i="9"/>
  <c r="C1141" i="9"/>
  <c r="B1141" i="9"/>
  <c r="D1140" i="9"/>
  <c r="C1140" i="9"/>
  <c r="B1140" i="9"/>
  <c r="D1139" i="9"/>
  <c r="C1139" i="9"/>
  <c r="B1139" i="9"/>
  <c r="D1138" i="9"/>
  <c r="C1138" i="9"/>
  <c r="B1138" i="9"/>
  <c r="D1137" i="9"/>
  <c r="C1137" i="9"/>
  <c r="B1137" i="9"/>
  <c r="D1136" i="9"/>
  <c r="C1136" i="9"/>
  <c r="B1136" i="9"/>
  <c r="D1135" i="9"/>
  <c r="C1135" i="9"/>
  <c r="B1135" i="9"/>
  <c r="D1134" i="9"/>
  <c r="C1134" i="9"/>
  <c r="B1134" i="9"/>
  <c r="D1133" i="9"/>
  <c r="C1133" i="9"/>
  <c r="B1133" i="9"/>
  <c r="D1132" i="9"/>
  <c r="C1132" i="9"/>
  <c r="B1132" i="9"/>
  <c r="D1131" i="9"/>
  <c r="C1131" i="9"/>
  <c r="B1131" i="9"/>
  <c r="D1130" i="9"/>
  <c r="C1130" i="9"/>
  <c r="B1130" i="9"/>
  <c r="D1129" i="9"/>
  <c r="C1129" i="9"/>
  <c r="B1129" i="9"/>
  <c r="D1128" i="9"/>
  <c r="C1128" i="9"/>
  <c r="B1128" i="9"/>
  <c r="D1127" i="9"/>
  <c r="C1127" i="9"/>
  <c r="B1127" i="9"/>
  <c r="D1126" i="9"/>
  <c r="C1126" i="9"/>
  <c r="B1126" i="9"/>
  <c r="D1125" i="9"/>
  <c r="C1125" i="9"/>
  <c r="B1125" i="9"/>
  <c r="D1124" i="9"/>
  <c r="C1124" i="9"/>
  <c r="B1124" i="9"/>
  <c r="D1123" i="9"/>
  <c r="C1123" i="9"/>
  <c r="B1123" i="9"/>
  <c r="D1122" i="9"/>
  <c r="C1122" i="9"/>
  <c r="B1122" i="9"/>
  <c r="D1121" i="9"/>
  <c r="C1121" i="9"/>
  <c r="B1121" i="9"/>
  <c r="D1120" i="9"/>
  <c r="C1120" i="9"/>
  <c r="B1120" i="9"/>
  <c r="D1119" i="9"/>
  <c r="C1119" i="9"/>
  <c r="B1119" i="9"/>
  <c r="D1118" i="9"/>
  <c r="C1118" i="9"/>
  <c r="B1118" i="9"/>
  <c r="D1117" i="9"/>
  <c r="C1117" i="9"/>
  <c r="B1117" i="9"/>
  <c r="D1116" i="9"/>
  <c r="C1116" i="9"/>
  <c r="B1116" i="9"/>
  <c r="D1115" i="9"/>
  <c r="C1115" i="9"/>
  <c r="B1115" i="9"/>
  <c r="D1114" i="9"/>
  <c r="C1114" i="9"/>
  <c r="B1114" i="9"/>
  <c r="D1113" i="9"/>
  <c r="C1113" i="9"/>
  <c r="B1113" i="9"/>
  <c r="D1112" i="9"/>
  <c r="C1112" i="9"/>
  <c r="B1112" i="9"/>
  <c r="D1111" i="9"/>
  <c r="C1111" i="9"/>
  <c r="B1111" i="9"/>
  <c r="D1110" i="9"/>
  <c r="C1110" i="9"/>
  <c r="B1110" i="9"/>
  <c r="D1109" i="9"/>
  <c r="C1109" i="9"/>
  <c r="B1109" i="9"/>
  <c r="D1108" i="9"/>
  <c r="C1108" i="9"/>
  <c r="B1108" i="9"/>
  <c r="D1107" i="9"/>
  <c r="C1107" i="9"/>
  <c r="B1107" i="9"/>
  <c r="D1106" i="9"/>
  <c r="C1106" i="9"/>
  <c r="B1106" i="9"/>
  <c r="D1105" i="9"/>
  <c r="C1105" i="9"/>
  <c r="B1105" i="9"/>
  <c r="D1104" i="9"/>
  <c r="C1104" i="9"/>
  <c r="B1104" i="9"/>
  <c r="D1103" i="9"/>
  <c r="C1103" i="9"/>
  <c r="B1103" i="9"/>
  <c r="D1102" i="9"/>
  <c r="C1102" i="9"/>
  <c r="B1102" i="9"/>
  <c r="D1101" i="9"/>
  <c r="C1101" i="9"/>
  <c r="B1101" i="9"/>
  <c r="D1100" i="9"/>
  <c r="C1100" i="9"/>
  <c r="B1100" i="9"/>
  <c r="D1099" i="9"/>
  <c r="C1099" i="9"/>
  <c r="B1099" i="9"/>
  <c r="D1098" i="9"/>
  <c r="C1098" i="9"/>
  <c r="B1098" i="9"/>
  <c r="D1097" i="9"/>
  <c r="C1097" i="9"/>
  <c r="B1097" i="9"/>
  <c r="D1096" i="9"/>
  <c r="C1096" i="9"/>
  <c r="B1096" i="9"/>
  <c r="D1095" i="9"/>
  <c r="C1095" i="9"/>
  <c r="B1095" i="9"/>
  <c r="D1084" i="9"/>
  <c r="D1092" i="9"/>
  <c r="D1091" i="9"/>
  <c r="D1090" i="9"/>
  <c r="D1089" i="9"/>
  <c r="D1088" i="9"/>
  <c r="D1087" i="9"/>
  <c r="D1086" i="9"/>
  <c r="D1085" i="9"/>
  <c r="D1083" i="9"/>
  <c r="D1082" i="9"/>
  <c r="D1081" i="9"/>
  <c r="D1080" i="9"/>
  <c r="D1079" i="9"/>
  <c r="D1078" i="9"/>
  <c r="D1077" i="9"/>
  <c r="D1076" i="9"/>
  <c r="D1075" i="9"/>
  <c r="D1074" i="9"/>
  <c r="D1073" i="9"/>
  <c r="D1072" i="9"/>
  <c r="D1071" i="9"/>
  <c r="D1070" i="9"/>
  <c r="D1069" i="9"/>
  <c r="D1068" i="9"/>
  <c r="D1067" i="9"/>
  <c r="D1066" i="9"/>
  <c r="D1065" i="9"/>
  <c r="D1062" i="9"/>
  <c r="D1061" i="9"/>
  <c r="D1060" i="9"/>
  <c r="D1059" i="9"/>
  <c r="D1058" i="9"/>
  <c r="D1057" i="9"/>
  <c r="D1056" i="9"/>
  <c r="D1055" i="9"/>
  <c r="D1054" i="9"/>
  <c r="D1053" i="9"/>
  <c r="D1052" i="9"/>
  <c r="D1051" i="9"/>
  <c r="D1050" i="9"/>
  <c r="D1049" i="9"/>
  <c r="D1048" i="9"/>
  <c r="D1047" i="9"/>
  <c r="D1046" i="9"/>
  <c r="D1045" i="9"/>
  <c r="D1042" i="9"/>
  <c r="D1041" i="9"/>
  <c r="D1040" i="9"/>
  <c r="D1039" i="9"/>
  <c r="D1038" i="9"/>
  <c r="D1037" i="9"/>
  <c r="D1036" i="9"/>
  <c r="D1035" i="9"/>
  <c r="D1034" i="9"/>
  <c r="D1033" i="9"/>
  <c r="D1032" i="9"/>
  <c r="D1031" i="9"/>
  <c r="D1030" i="9"/>
  <c r="D1029" i="9"/>
  <c r="D1028" i="9"/>
  <c r="D1027" i="9"/>
  <c r="D1026" i="9"/>
  <c r="D1025" i="9"/>
  <c r="D1024" i="9"/>
  <c r="D1023" i="9"/>
  <c r="D1020" i="9"/>
  <c r="D1019" i="9"/>
  <c r="D1018" i="9"/>
  <c r="D1017" i="9"/>
  <c r="D1016" i="9"/>
  <c r="D1015" i="9"/>
  <c r="D1014" i="9"/>
  <c r="D1013" i="9"/>
  <c r="D1012" i="9"/>
  <c r="D1011" i="9"/>
  <c r="D1010" i="9"/>
  <c r="D1009" i="9"/>
  <c r="D1008" i="9"/>
  <c r="D1007" i="9"/>
  <c r="D1006" i="9"/>
  <c r="D1005" i="9"/>
  <c r="D1004" i="9"/>
  <c r="D1003" i="9"/>
  <c r="D1002" i="9"/>
  <c r="D1001" i="9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B1092" i="9"/>
  <c r="B1091" i="9"/>
  <c r="B1090" i="9"/>
  <c r="B1089" i="9"/>
  <c r="B1088" i="9"/>
  <c r="B1087" i="9"/>
  <c r="B1086" i="9"/>
  <c r="B1085" i="9"/>
  <c r="B1084" i="9"/>
  <c r="B1083" i="9"/>
  <c r="B1082" i="9"/>
  <c r="B1081" i="9"/>
  <c r="B1080" i="9"/>
  <c r="B1079" i="9"/>
  <c r="B1078" i="9"/>
  <c r="B1077" i="9"/>
  <c r="B1076" i="9"/>
  <c r="B1075" i="9"/>
  <c r="B1074" i="9"/>
  <c r="B1073" i="9"/>
  <c r="B1072" i="9"/>
  <c r="B1071" i="9"/>
  <c r="B1070" i="9"/>
  <c r="B1069" i="9"/>
  <c r="B1068" i="9"/>
  <c r="B1067" i="9"/>
  <c r="B1066" i="9"/>
  <c r="B1065" i="9"/>
  <c r="B1062" i="9"/>
  <c r="B1061" i="9"/>
  <c r="B1060" i="9"/>
  <c r="B1059" i="9"/>
  <c r="B1058" i="9"/>
  <c r="B1057" i="9"/>
  <c r="B1056" i="9"/>
  <c r="B1055" i="9"/>
  <c r="B1054" i="9"/>
  <c r="B1053" i="9"/>
  <c r="B1052" i="9"/>
  <c r="B1051" i="9"/>
  <c r="B1050" i="9"/>
  <c r="B1049" i="9"/>
  <c r="B1048" i="9"/>
  <c r="B1047" i="9"/>
  <c r="B1046" i="9"/>
  <c r="B1045" i="9"/>
  <c r="B1042" i="9"/>
  <c r="B1041" i="9"/>
  <c r="B1040" i="9"/>
  <c r="B1039" i="9"/>
  <c r="B1038" i="9"/>
  <c r="B1037" i="9"/>
  <c r="B1036" i="9"/>
  <c r="B1035" i="9"/>
  <c r="B1034" i="9"/>
  <c r="B1033" i="9"/>
  <c r="B1032" i="9"/>
  <c r="B1031" i="9"/>
  <c r="B1030" i="9"/>
  <c r="B1029" i="9"/>
  <c r="B1028" i="9"/>
  <c r="B1027" i="9"/>
  <c r="B1026" i="9"/>
  <c r="B1025" i="9"/>
  <c r="B1024" i="9"/>
  <c r="B1023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C1065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B47" i="11"/>
  <c r="B31" i="11"/>
  <c r="B48" i="11"/>
  <c r="B32" i="11"/>
  <c r="B41" i="11"/>
  <c r="B25" i="11"/>
  <c r="B27" i="11"/>
  <c r="B36" i="11"/>
  <c r="B37" i="11"/>
  <c r="B50" i="11"/>
  <c r="B42" i="11"/>
  <c r="B34" i="11"/>
  <c r="B26" i="11"/>
  <c r="B35" i="11"/>
  <c r="B39" i="11"/>
  <c r="B44" i="11"/>
  <c r="B28" i="11"/>
  <c r="B45" i="11"/>
  <c r="B29" i="11"/>
  <c r="B46" i="11"/>
  <c r="B38" i="11"/>
  <c r="B30" i="11"/>
  <c r="B43" i="11"/>
  <c r="B40" i="11"/>
  <c r="B49" i="11"/>
  <c r="B33" i="11"/>
  <c r="G4" i="11" l="1"/>
  <c r="I2" i="11"/>
  <c r="G17" i="11"/>
</calcChain>
</file>

<file path=xl/sharedStrings.xml><?xml version="1.0" encoding="utf-8"?>
<sst xmlns="http://schemas.openxmlformats.org/spreadsheetml/2006/main" count="20474" uniqueCount="7000">
  <si>
    <t>ZG032</t>
  </si>
  <si>
    <t>ZG033</t>
  </si>
  <si>
    <t>ZG034</t>
  </si>
  <si>
    <t>WY028</t>
  </si>
  <si>
    <t>FCR</t>
  </si>
  <si>
    <t>FCR001</t>
  </si>
  <si>
    <t>YX176</t>
  </si>
  <si>
    <t>YX177</t>
  </si>
  <si>
    <t>YX178</t>
  </si>
  <si>
    <t>YX179</t>
  </si>
  <si>
    <t>YX183</t>
  </si>
  <si>
    <t>YX185</t>
  </si>
  <si>
    <t>MCV001</t>
  </si>
  <si>
    <t>MCV002</t>
  </si>
  <si>
    <t>MCV003</t>
  </si>
  <si>
    <t>MCV004</t>
  </si>
  <si>
    <t>MCV006</t>
  </si>
  <si>
    <t>MCV007</t>
  </si>
  <si>
    <t>MCV008</t>
  </si>
  <si>
    <t>ZV527</t>
  </si>
  <si>
    <t>ZW166</t>
  </si>
  <si>
    <t>ZZ156</t>
  </si>
  <si>
    <t>ZW038</t>
  </si>
  <si>
    <t>WCF52</t>
  </si>
  <si>
    <t>WCE41</t>
  </si>
  <si>
    <t>WCA53</t>
  </si>
  <si>
    <t>WCA54</t>
  </si>
  <si>
    <t>WCV36</t>
  </si>
  <si>
    <t>ZA044</t>
  </si>
  <si>
    <t>ZA048</t>
  </si>
  <si>
    <t>ZA046</t>
  </si>
  <si>
    <t>ZA043</t>
  </si>
  <si>
    <t>ZA045</t>
  </si>
  <si>
    <t>ZA049</t>
  </si>
  <si>
    <t>ZA047</t>
  </si>
  <si>
    <t>SM010</t>
  </si>
  <si>
    <t>SM012</t>
  </si>
  <si>
    <t>SM014</t>
  </si>
  <si>
    <t>SM011</t>
  </si>
  <si>
    <t>SM013</t>
  </si>
  <si>
    <t>ZL029</t>
  </si>
  <si>
    <t>ZL032</t>
  </si>
  <si>
    <t>ZL031</t>
  </si>
  <si>
    <t>ZG035</t>
  </si>
  <si>
    <t>ZG036</t>
  </si>
  <si>
    <t>ZG037</t>
  </si>
  <si>
    <t>PC008</t>
  </si>
  <si>
    <t>PC009</t>
  </si>
  <si>
    <t>CD009</t>
  </si>
  <si>
    <t>CD010</t>
  </si>
  <si>
    <t>CHG06</t>
  </si>
  <si>
    <t>EC010</t>
  </si>
  <si>
    <t>EC012</t>
  </si>
  <si>
    <t>CHP09</t>
  </si>
  <si>
    <t>CHP10</t>
  </si>
  <si>
    <t>CHP11</t>
  </si>
  <si>
    <t>GA008</t>
  </si>
  <si>
    <t>GA009</t>
  </si>
  <si>
    <t>GA010</t>
  </si>
  <si>
    <t>GA011</t>
  </si>
  <si>
    <t>GA012</t>
  </si>
  <si>
    <t>ZM013</t>
  </si>
  <si>
    <t>ZE056</t>
  </si>
  <si>
    <t>ZE057</t>
  </si>
  <si>
    <t>ZE058</t>
  </si>
  <si>
    <t>ZE059</t>
  </si>
  <si>
    <t>ZW069N</t>
  </si>
  <si>
    <t>ZW069P</t>
  </si>
  <si>
    <t>ZW069R</t>
  </si>
  <si>
    <t>WY120B</t>
  </si>
  <si>
    <t>PF011</t>
  </si>
  <si>
    <t>PF012</t>
  </si>
  <si>
    <t>ZJ113</t>
  </si>
  <si>
    <t>ZJ114</t>
  </si>
  <si>
    <t>ZJ115</t>
  </si>
  <si>
    <t>ZJ235</t>
  </si>
  <si>
    <t>ZJ236</t>
  </si>
  <si>
    <t>ZJ237</t>
  </si>
  <si>
    <t>ZM011</t>
  </si>
  <si>
    <t>ZM012</t>
  </si>
  <si>
    <t>ZZ009</t>
  </si>
  <si>
    <t>ZV200AM</t>
  </si>
  <si>
    <t>ZV200AZ</t>
  </si>
  <si>
    <t>ZV200NE</t>
  </si>
  <si>
    <t>ZV300</t>
  </si>
  <si>
    <t>ZV320</t>
  </si>
  <si>
    <t>ZV504</t>
  </si>
  <si>
    <t>ZV505</t>
  </si>
  <si>
    <t>ZV507</t>
  </si>
  <si>
    <t>ZV223P</t>
  </si>
  <si>
    <t>CRX22</t>
  </si>
  <si>
    <t>CHQ03</t>
  </si>
  <si>
    <t>TT002</t>
  </si>
  <si>
    <t>TT003</t>
  </si>
  <si>
    <t>TT005</t>
  </si>
  <si>
    <t>TT006</t>
  </si>
  <si>
    <t>TCR01</t>
  </si>
  <si>
    <t>YC01</t>
  </si>
  <si>
    <t>YC02</t>
  </si>
  <si>
    <t>YC03</t>
  </si>
  <si>
    <t>YC04</t>
  </si>
  <si>
    <t>YC05</t>
  </si>
  <si>
    <t>YC06</t>
  </si>
  <si>
    <t>YC07</t>
  </si>
  <si>
    <t>YC08</t>
  </si>
  <si>
    <t>YC09</t>
  </si>
  <si>
    <t>ZE034</t>
  </si>
  <si>
    <t>ZE035</t>
  </si>
  <si>
    <t>ZE042</t>
  </si>
  <si>
    <t>ZE043</t>
  </si>
  <si>
    <t>ZE044</t>
  </si>
  <si>
    <t>ZE045</t>
  </si>
  <si>
    <t>ZE046</t>
  </si>
  <si>
    <t>ZE033</t>
  </si>
  <si>
    <t>ZE053</t>
  </si>
  <si>
    <t>ZE054</t>
  </si>
  <si>
    <t>WCE37</t>
  </si>
  <si>
    <t>WCE38</t>
  </si>
  <si>
    <t>WCE39</t>
  </si>
  <si>
    <t>ES001</t>
  </si>
  <si>
    <t>ES003</t>
  </si>
  <si>
    <t>ZW042</t>
  </si>
  <si>
    <t>ZW126</t>
  </si>
  <si>
    <t>ZW013B</t>
  </si>
  <si>
    <t>ZW013L</t>
  </si>
  <si>
    <t>ZW013R</t>
  </si>
  <si>
    <t>ZW013S</t>
  </si>
  <si>
    <t>ZW143</t>
  </si>
  <si>
    <t>ZW014B</t>
  </si>
  <si>
    <t>ZW014L</t>
  </si>
  <si>
    <t>ZW014R</t>
  </si>
  <si>
    <t>ZW014S</t>
  </si>
  <si>
    <t>VI603</t>
  </si>
  <si>
    <t>VI510</t>
  </si>
  <si>
    <t>CPB02</t>
  </si>
  <si>
    <t>CPH11</t>
  </si>
  <si>
    <t>CPH12</t>
  </si>
  <si>
    <t>CPH13</t>
  </si>
  <si>
    <t>ZX006</t>
  </si>
  <si>
    <t>OD001</t>
  </si>
  <si>
    <t>CHG04</t>
  </si>
  <si>
    <t>CHG05</t>
  </si>
  <si>
    <t>FR001</t>
  </si>
  <si>
    <t>AF001</t>
  </si>
  <si>
    <t>ZZ109</t>
  </si>
  <si>
    <t>WCC04</t>
  </si>
  <si>
    <t>WCC03</t>
  </si>
  <si>
    <t>WCC08</t>
  </si>
  <si>
    <t>WCE03</t>
  </si>
  <si>
    <t>WCE14</t>
  </si>
  <si>
    <t>WCE06</t>
  </si>
  <si>
    <t>WCE33</t>
  </si>
  <si>
    <t>ZV073</t>
  </si>
  <si>
    <t>ZV074</t>
  </si>
  <si>
    <t>ZV075</t>
  </si>
  <si>
    <t>ZV076</t>
  </si>
  <si>
    <t>ZV077</t>
  </si>
  <si>
    <t>ZV078</t>
  </si>
  <si>
    <t>ZV079</t>
  </si>
  <si>
    <t>ZV080</t>
  </si>
  <si>
    <t>ZV081</t>
  </si>
  <si>
    <t>CHP17</t>
  </si>
  <si>
    <t>CHV05</t>
  </si>
  <si>
    <t>CHV02</t>
  </si>
  <si>
    <t>CHV03</t>
  </si>
  <si>
    <t>CHV01</t>
  </si>
  <si>
    <t>CHV06</t>
  </si>
  <si>
    <t>CHV07</t>
  </si>
  <si>
    <t>CHV08</t>
  </si>
  <si>
    <t>CHV09</t>
  </si>
  <si>
    <t>CHV04</t>
  </si>
  <si>
    <t>CHV12</t>
  </si>
  <si>
    <t>LA036</t>
  </si>
  <si>
    <t>CPH31</t>
  </si>
  <si>
    <t>ZZ007</t>
  </si>
  <si>
    <t>ZZ071</t>
  </si>
  <si>
    <t>ZZ072</t>
  </si>
  <si>
    <t>ZZ083</t>
  </si>
  <si>
    <t>ZZ119</t>
  </si>
  <si>
    <t>ZZ121</t>
  </si>
  <si>
    <t>ZZ006</t>
  </si>
  <si>
    <t>ZZ013</t>
  </si>
  <si>
    <t xml:space="preserve"> </t>
  </si>
  <si>
    <t>ZZ030</t>
  </si>
  <si>
    <t>ZE040</t>
  </si>
  <si>
    <t>ZE041</t>
  </si>
  <si>
    <t>ZE048</t>
  </si>
  <si>
    <t>ZE007</t>
  </si>
  <si>
    <t>ZE005</t>
  </si>
  <si>
    <t>ZE031</t>
  </si>
  <si>
    <t>ZT005B</t>
  </si>
  <si>
    <t>ZT005S</t>
  </si>
  <si>
    <t>ZT005R</t>
  </si>
  <si>
    <t>WF01AZ</t>
  </si>
  <si>
    <t>WF01NE</t>
  </si>
  <si>
    <t>WF01PL</t>
  </si>
  <si>
    <t>WF01RO</t>
  </si>
  <si>
    <t>ZW112B</t>
  </si>
  <si>
    <t>DE006</t>
  </si>
  <si>
    <t>DE007</t>
  </si>
  <si>
    <t>DE008</t>
  </si>
  <si>
    <t>DE005</t>
  </si>
  <si>
    <t>CHT55</t>
  </si>
  <si>
    <t>CHT56</t>
  </si>
  <si>
    <t>CHT51</t>
  </si>
  <si>
    <t>CHT66</t>
  </si>
  <si>
    <t>WCV19</t>
  </si>
  <si>
    <t>WCV08</t>
  </si>
  <si>
    <t>WCV09</t>
  </si>
  <si>
    <t>WCV01</t>
  </si>
  <si>
    <t>WCV02</t>
  </si>
  <si>
    <t>WCV03</t>
  </si>
  <si>
    <t>WCV17</t>
  </si>
  <si>
    <t>WCV20</t>
  </si>
  <si>
    <t>WCV06</t>
  </si>
  <si>
    <t>CPJ12</t>
  </si>
  <si>
    <t>ZZ038</t>
  </si>
  <si>
    <t>FT016</t>
  </si>
  <si>
    <t>FT017</t>
  </si>
  <si>
    <t>FT018</t>
  </si>
  <si>
    <t>FT019</t>
  </si>
  <si>
    <t>FT020</t>
  </si>
  <si>
    <t>FT021</t>
  </si>
  <si>
    <t>FT022</t>
  </si>
  <si>
    <t>FT023</t>
  </si>
  <si>
    <t>FT024</t>
  </si>
  <si>
    <t>ZM001</t>
  </si>
  <si>
    <t>ZM006</t>
  </si>
  <si>
    <t>ZM002</t>
  </si>
  <si>
    <t>ZM005</t>
  </si>
  <si>
    <t>ZM007</t>
  </si>
  <si>
    <t>ZM010</t>
  </si>
  <si>
    <t>ZM003</t>
  </si>
  <si>
    <t>HH09</t>
  </si>
  <si>
    <t>HH10</t>
  </si>
  <si>
    <t>HH11</t>
  </si>
  <si>
    <t>HH12</t>
  </si>
  <si>
    <t>HH13</t>
  </si>
  <si>
    <t>HU01</t>
  </si>
  <si>
    <t>HU02</t>
  </si>
  <si>
    <t>HU03</t>
  </si>
  <si>
    <t>HU04</t>
  </si>
  <si>
    <t>HU05</t>
  </si>
  <si>
    <t>HH14</t>
  </si>
  <si>
    <t>HH15</t>
  </si>
  <si>
    <t>HH16</t>
  </si>
  <si>
    <t>HH17</t>
  </si>
  <si>
    <t>HH18</t>
  </si>
  <si>
    <t>HH19</t>
  </si>
  <si>
    <t>HH20</t>
  </si>
  <si>
    <t>HH21</t>
  </si>
  <si>
    <t>HH22</t>
  </si>
  <si>
    <t>HH23</t>
  </si>
  <si>
    <t>HU06</t>
  </si>
  <si>
    <t>HU07</t>
  </si>
  <si>
    <t>HH24</t>
  </si>
  <si>
    <t>HH25</t>
  </si>
  <si>
    <t>HU08</t>
  </si>
  <si>
    <t>CPRK7</t>
  </si>
  <si>
    <t>CRX12</t>
  </si>
  <si>
    <t>ZA018</t>
  </si>
  <si>
    <t>ZA021</t>
  </si>
  <si>
    <t>ZA022</t>
  </si>
  <si>
    <t>ZA023</t>
  </si>
  <si>
    <t>ZA026</t>
  </si>
  <si>
    <t>ZA030</t>
  </si>
  <si>
    <t>ZA032</t>
  </si>
  <si>
    <t>ZA037</t>
  </si>
  <si>
    <t>ZA038</t>
  </si>
  <si>
    <t>ZA039</t>
  </si>
  <si>
    <t>ZA040</t>
  </si>
  <si>
    <t>ZA041</t>
  </si>
  <si>
    <t>BDV32</t>
  </si>
  <si>
    <t>BDV34</t>
  </si>
  <si>
    <t>CHB02</t>
  </si>
  <si>
    <t>BL001</t>
  </si>
  <si>
    <t>BL002</t>
  </si>
  <si>
    <t>BL003</t>
  </si>
  <si>
    <t>BL004</t>
  </si>
  <si>
    <t>BL005</t>
  </si>
  <si>
    <t>BL006</t>
  </si>
  <si>
    <t>CHT69</t>
  </si>
  <si>
    <t>ML001</t>
  </si>
  <si>
    <t>WCA35</t>
  </si>
  <si>
    <t>WCA33</t>
  </si>
  <si>
    <t>WCA03</t>
  </si>
  <si>
    <t>WCA30</t>
  </si>
  <si>
    <t>WCA05</t>
  </si>
  <si>
    <t>WCA19</t>
  </si>
  <si>
    <t>PC001</t>
  </si>
  <si>
    <t>PC002</t>
  </si>
  <si>
    <t>PC003</t>
  </si>
  <si>
    <t>PC004</t>
  </si>
  <si>
    <t>PC006</t>
  </si>
  <si>
    <t>PC007</t>
  </si>
  <si>
    <t>SLH010</t>
  </si>
  <si>
    <t>ZW112S</t>
  </si>
  <si>
    <t>ZW113B</t>
  </si>
  <si>
    <t>ZW113L</t>
  </si>
  <si>
    <t>ZW113R</t>
  </si>
  <si>
    <t>ZW113S</t>
  </si>
  <si>
    <t>ZW128</t>
  </si>
  <si>
    <t>ZW134</t>
  </si>
  <si>
    <t>HD01</t>
  </si>
  <si>
    <t>HD02</t>
  </si>
  <si>
    <t>HD03</t>
  </si>
  <si>
    <t>HD04</t>
  </si>
  <si>
    <t>HD05</t>
  </si>
  <si>
    <t>HD06</t>
  </si>
  <si>
    <t>HD07</t>
  </si>
  <si>
    <t>HD08</t>
  </si>
  <si>
    <t>HD09</t>
  </si>
  <si>
    <t>HD10</t>
  </si>
  <si>
    <t>HD11</t>
  </si>
  <si>
    <t>HD12</t>
  </si>
  <si>
    <t>AM001</t>
  </si>
  <si>
    <t>AM002</t>
  </si>
  <si>
    <t>AM003</t>
  </si>
  <si>
    <t>AM004</t>
  </si>
  <si>
    <t>AM007</t>
  </si>
  <si>
    <t>AM009</t>
  </si>
  <si>
    <t>ZX002</t>
  </si>
  <si>
    <t>ZX003</t>
  </si>
  <si>
    <t>ZX007</t>
  </si>
  <si>
    <t>FIF03</t>
  </si>
  <si>
    <t>FIF06</t>
  </si>
  <si>
    <t>CHF01</t>
  </si>
  <si>
    <t>CHT65</t>
  </si>
  <si>
    <t>CHA01</t>
  </si>
  <si>
    <t>CHB19</t>
  </si>
  <si>
    <t>CHT68</t>
  </si>
  <si>
    <t>CHT67</t>
  </si>
  <si>
    <t>BI003</t>
  </si>
  <si>
    <t>BI004</t>
  </si>
  <si>
    <t>BI006</t>
  </si>
  <si>
    <t>BI007</t>
  </si>
  <si>
    <t>BDV03</t>
  </si>
  <si>
    <t>BDV15</t>
  </si>
  <si>
    <t>BDV19</t>
  </si>
  <si>
    <t>BDV20</t>
  </si>
  <si>
    <t>BDV21</t>
  </si>
  <si>
    <t>BDV22</t>
  </si>
  <si>
    <t>BDV28</t>
  </si>
  <si>
    <t>BDV30</t>
  </si>
  <si>
    <t>CHT03</t>
  </si>
  <si>
    <t>WY122</t>
  </si>
  <si>
    <t>WY123</t>
  </si>
  <si>
    <t>WY071</t>
  </si>
  <si>
    <t>WY121AZ</t>
  </si>
  <si>
    <t>WY121NE</t>
  </si>
  <si>
    <t>WY121RO</t>
  </si>
  <si>
    <t>WY121PL</t>
  </si>
  <si>
    <t>WY003RO</t>
  </si>
  <si>
    <t>WY003NE</t>
  </si>
  <si>
    <t>WY003AZ</t>
  </si>
  <si>
    <t>WY003PL</t>
  </si>
  <si>
    <t>WY005AZ</t>
  </si>
  <si>
    <t>WY005PL</t>
  </si>
  <si>
    <t>WY005RO</t>
  </si>
  <si>
    <t>WY005NE</t>
  </si>
  <si>
    <t>WY004RO</t>
  </si>
  <si>
    <t>WY004NE</t>
  </si>
  <si>
    <t>WY004AZ</t>
  </si>
  <si>
    <t>WY004PL</t>
  </si>
  <si>
    <t>WY001</t>
  </si>
  <si>
    <t>ZZ102</t>
  </si>
  <si>
    <t>WY082</t>
  </si>
  <si>
    <t>FUP22</t>
  </si>
  <si>
    <t>FUP32</t>
  </si>
  <si>
    <t>YXC022</t>
  </si>
  <si>
    <t>Código</t>
  </si>
  <si>
    <t>U$S</t>
  </si>
  <si>
    <t>ZR015</t>
  </si>
  <si>
    <t>ZR010</t>
  </si>
  <si>
    <t>ZR008</t>
  </si>
  <si>
    <t>ZR018</t>
  </si>
  <si>
    <t>ZR039</t>
  </si>
  <si>
    <t>ZR040</t>
  </si>
  <si>
    <t>ZR041</t>
  </si>
  <si>
    <t>ZR042</t>
  </si>
  <si>
    <t>ZR016</t>
  </si>
  <si>
    <t>ZR007</t>
  </si>
  <si>
    <t>ZR020</t>
  </si>
  <si>
    <t>ZR005</t>
  </si>
  <si>
    <t>ZR024</t>
  </si>
  <si>
    <t>WH05</t>
  </si>
  <si>
    <t>ZV501</t>
  </si>
  <si>
    <t>ZJ045</t>
  </si>
  <si>
    <t>ZJ013</t>
  </si>
  <si>
    <t>ZJ014</t>
  </si>
  <si>
    <t>ZJ036</t>
  </si>
  <si>
    <t>CHR11</t>
  </si>
  <si>
    <t>EJ002</t>
  </si>
  <si>
    <t>EJ003</t>
  </si>
  <si>
    <t>EJ004</t>
  </si>
  <si>
    <t>WCF05</t>
  </si>
  <si>
    <t>WCF14</t>
  </si>
  <si>
    <t>WCF11</t>
  </si>
  <si>
    <t>WCF20</t>
  </si>
  <si>
    <t>WCF34</t>
  </si>
  <si>
    <t>WCF35</t>
  </si>
  <si>
    <t>WCF01</t>
  </si>
  <si>
    <t>WCF02</t>
  </si>
  <si>
    <t>WCF32</t>
  </si>
  <si>
    <t>WCF16</t>
  </si>
  <si>
    <t>WCF25</t>
  </si>
  <si>
    <t>WCF08</t>
  </si>
  <si>
    <t>WCF09</t>
  </si>
  <si>
    <t>WCF47</t>
  </si>
  <si>
    <t>WCF48</t>
  </si>
  <si>
    <t>WCF49</t>
  </si>
  <si>
    <t>WCF50</t>
  </si>
  <si>
    <t>WCF51</t>
  </si>
  <si>
    <t>WCV21</t>
  </si>
  <si>
    <t>WCV04</t>
  </si>
  <si>
    <t>WCV18</t>
  </si>
  <si>
    <t>WCV26</t>
  </si>
  <si>
    <t>WCV05</t>
  </si>
  <si>
    <t>WCV10</t>
  </si>
  <si>
    <t>WCV24</t>
  </si>
  <si>
    <t>WCV28</t>
  </si>
  <si>
    <t>WCV07</t>
  </si>
  <si>
    <t>ZZ046</t>
  </si>
  <si>
    <t>ZZ048</t>
  </si>
  <si>
    <t>ZV509</t>
  </si>
  <si>
    <t>ZW112L</t>
  </si>
  <si>
    <t>ZW112R</t>
  </si>
  <si>
    <t>ZV202</t>
  </si>
  <si>
    <t>ZV204</t>
  </si>
  <si>
    <t>ZV205</t>
  </si>
  <si>
    <t>ZV206</t>
  </si>
  <si>
    <t>ZV207</t>
  </si>
  <si>
    <t>ZV208</t>
  </si>
  <si>
    <t>ZV209</t>
  </si>
  <si>
    <t>ZV211</t>
  </si>
  <si>
    <t>ZT001B</t>
  </si>
  <si>
    <t>ZT001S</t>
  </si>
  <si>
    <t>ZT001R</t>
  </si>
  <si>
    <t>ZT002B</t>
  </si>
  <si>
    <t>ZT002G</t>
  </si>
  <si>
    <t>ZT002R</t>
  </si>
  <si>
    <t>ZT002L</t>
  </si>
  <si>
    <t>ZT003B</t>
  </si>
  <si>
    <t>ZT004B</t>
  </si>
  <si>
    <t>AT002</t>
  </si>
  <si>
    <t>ZL002</t>
  </si>
  <si>
    <t>ZL013</t>
  </si>
  <si>
    <t>ZL014</t>
  </si>
  <si>
    <t>ZL021</t>
  </si>
  <si>
    <t>ZL008</t>
  </si>
  <si>
    <t>ZL006</t>
  </si>
  <si>
    <t>ZL004</t>
  </si>
  <si>
    <t>ZL017</t>
  </si>
  <si>
    <t>ZL020</t>
  </si>
  <si>
    <t>ZL009</t>
  </si>
  <si>
    <t>ZL001</t>
  </si>
  <si>
    <t>ZL010</t>
  </si>
  <si>
    <t>ZL025</t>
  </si>
  <si>
    <t>ZL015</t>
  </si>
  <si>
    <t>ZL018</t>
  </si>
  <si>
    <t>ZL005</t>
  </si>
  <si>
    <t>ZL007</t>
  </si>
  <si>
    <t>ZL022</t>
  </si>
  <si>
    <t>ZL023</t>
  </si>
  <si>
    <t>ZA033</t>
  </si>
  <si>
    <t>ZA034</t>
  </si>
  <si>
    <t>ZA035</t>
  </si>
  <si>
    <t>ZA036</t>
  </si>
  <si>
    <t>ZA001</t>
  </si>
  <si>
    <t>ZA003</t>
  </si>
  <si>
    <t>ZA005</t>
  </si>
  <si>
    <t>ZA006</t>
  </si>
  <si>
    <t>ZA007</t>
  </si>
  <si>
    <t>ZA009</t>
  </si>
  <si>
    <t>ZA011</t>
  </si>
  <si>
    <t>ZA013</t>
  </si>
  <si>
    <t>ZA014</t>
  </si>
  <si>
    <t>ZA015</t>
  </si>
  <si>
    <t>ZA016</t>
  </si>
  <si>
    <t>ZY001</t>
  </si>
  <si>
    <t>ZY002</t>
  </si>
  <si>
    <t>ZY003</t>
  </si>
  <si>
    <t>ZY004</t>
  </si>
  <si>
    <t>ZY005</t>
  </si>
  <si>
    <t>ZY006</t>
  </si>
  <si>
    <t>ZY007</t>
  </si>
  <si>
    <t>ZY008</t>
  </si>
  <si>
    <t>ZY009</t>
  </si>
  <si>
    <t>ZY010</t>
  </si>
  <si>
    <t>ZY011</t>
  </si>
  <si>
    <t>ZZ017</t>
  </si>
  <si>
    <t>ZZ016</t>
  </si>
  <si>
    <t>ZZ065</t>
  </si>
  <si>
    <t>ZV510</t>
  </si>
  <si>
    <t>ZZ116</t>
  </si>
  <si>
    <t>ZX004</t>
  </si>
  <si>
    <t>WCA52</t>
  </si>
  <si>
    <t>WCC02</t>
  </si>
  <si>
    <t>WCC05</t>
  </si>
  <si>
    <t>WCC01</t>
  </si>
  <si>
    <t>CHP18</t>
  </si>
  <si>
    <t>CHP13</t>
  </si>
  <si>
    <t>CHP14</t>
  </si>
  <si>
    <t>CHP15</t>
  </si>
  <si>
    <t>CHP16</t>
  </si>
  <si>
    <t>CHP19</t>
  </si>
  <si>
    <t>WR01</t>
  </si>
  <si>
    <t>ZV176</t>
  </si>
  <si>
    <t>ZV178</t>
  </si>
  <si>
    <t>ZR011</t>
  </si>
  <si>
    <t>ZR001</t>
  </si>
  <si>
    <t>ZR012</t>
  </si>
  <si>
    <t>ZR003</t>
  </si>
  <si>
    <t>ZR033</t>
  </si>
  <si>
    <t>ZR022</t>
  </si>
  <si>
    <t>ZR031</t>
  </si>
  <si>
    <t>ZT008R</t>
  </si>
  <si>
    <t>ZT009B</t>
  </si>
  <si>
    <t>ZT009R</t>
  </si>
  <si>
    <t>ZT009L</t>
  </si>
  <si>
    <t>ZT010B</t>
  </si>
  <si>
    <t>ZT010S</t>
  </si>
  <si>
    <t>ZT010R</t>
  </si>
  <si>
    <t>ZT011B</t>
  </si>
  <si>
    <t>ZT011S</t>
  </si>
  <si>
    <t>ZV146</t>
  </si>
  <si>
    <t>ZV147</t>
  </si>
  <si>
    <t>ZV148</t>
  </si>
  <si>
    <t>ZV151</t>
  </si>
  <si>
    <t>ZV153</t>
  </si>
  <si>
    <t>ZV160</t>
  </si>
  <si>
    <t>ZW162</t>
  </si>
  <si>
    <t>ZV167</t>
  </si>
  <si>
    <t>ZV171</t>
  </si>
  <si>
    <t>ZV172</t>
  </si>
  <si>
    <t>ZZ122</t>
  </si>
  <si>
    <t>ZZ123</t>
  </si>
  <si>
    <t>ZZ124</t>
  </si>
  <si>
    <t>ZZ125</t>
  </si>
  <si>
    <t>ZZ129</t>
  </si>
  <si>
    <t>ZZ131</t>
  </si>
  <si>
    <t>ZZ134</t>
  </si>
  <si>
    <t>ZZ136</t>
  </si>
  <si>
    <t>ZZ137</t>
  </si>
  <si>
    <t>HK012</t>
  </si>
  <si>
    <t>HK015</t>
  </si>
  <si>
    <t>ES004</t>
  </si>
  <si>
    <t>ES005</t>
  </si>
  <si>
    <t>EC001</t>
  </si>
  <si>
    <t>EC003</t>
  </si>
  <si>
    <t>EC004</t>
  </si>
  <si>
    <t>EC005</t>
  </si>
  <si>
    <t>EC006</t>
  </si>
  <si>
    <t>EC007</t>
  </si>
  <si>
    <t>EC008</t>
  </si>
  <si>
    <t>TC002</t>
  </si>
  <si>
    <t>TC001</t>
  </si>
  <si>
    <t>WF01AM</t>
  </si>
  <si>
    <t>CHG01</t>
  </si>
  <si>
    <t>CHG02</t>
  </si>
  <si>
    <t>OD002</t>
  </si>
  <si>
    <t>TY112</t>
  </si>
  <si>
    <t>TY113</t>
  </si>
  <si>
    <t>TY715</t>
  </si>
  <si>
    <t>ZW004</t>
  </si>
  <si>
    <t>Descripción</t>
  </si>
  <si>
    <t>YX01</t>
  </si>
  <si>
    <t>YX08</t>
  </si>
  <si>
    <t>YX11</t>
  </si>
  <si>
    <t>YX16</t>
  </si>
  <si>
    <t>YX21</t>
  </si>
  <si>
    <t>YX24</t>
  </si>
  <si>
    <t>YX25</t>
  </si>
  <si>
    <t>YX26</t>
  </si>
  <si>
    <t>YX33</t>
  </si>
  <si>
    <t>YX36</t>
  </si>
  <si>
    <t>YX46</t>
  </si>
  <si>
    <t>CD001</t>
  </si>
  <si>
    <t>CD002</t>
  </si>
  <si>
    <t>CD003</t>
  </si>
  <si>
    <t>CD004</t>
  </si>
  <si>
    <t>CD005</t>
  </si>
  <si>
    <t>CD006</t>
  </si>
  <si>
    <t>CD007</t>
  </si>
  <si>
    <t>CHB09</t>
  </si>
  <si>
    <t>CHR01</t>
  </si>
  <si>
    <t>CHT24</t>
  </si>
  <si>
    <t>CHR10</t>
  </si>
  <si>
    <t>NPC01</t>
  </si>
  <si>
    <t>HK016</t>
  </si>
  <si>
    <t>HK017</t>
  </si>
  <si>
    <t>HK018</t>
  </si>
  <si>
    <t>HK019</t>
  </si>
  <si>
    <t>HK020</t>
  </si>
  <si>
    <t>HK021</t>
  </si>
  <si>
    <t>CPH32</t>
  </si>
  <si>
    <t>CPH33</t>
  </si>
  <si>
    <t>CPH41</t>
  </si>
  <si>
    <t>ZW165B</t>
  </si>
  <si>
    <t>ZW165L</t>
  </si>
  <si>
    <t>ZW165R</t>
  </si>
  <si>
    <t>ZW165S</t>
  </si>
  <si>
    <t>ZW001</t>
  </si>
  <si>
    <t>ZW002</t>
  </si>
  <si>
    <t>ZW005</t>
  </si>
  <si>
    <t>ZW006</t>
  </si>
  <si>
    <t>ZW007</t>
  </si>
  <si>
    <t>ZW011</t>
  </si>
  <si>
    <t>ZW012</t>
  </si>
  <si>
    <t>ZW015</t>
  </si>
  <si>
    <t>ZW016</t>
  </si>
  <si>
    <t>ZW017</t>
  </si>
  <si>
    <t>ZW018</t>
  </si>
  <si>
    <t>ZW019</t>
  </si>
  <si>
    <t>ZW020</t>
  </si>
  <si>
    <t>ZW022</t>
  </si>
  <si>
    <t>ZW024</t>
  </si>
  <si>
    <t>ZW025</t>
  </si>
  <si>
    <t>ZW029</t>
  </si>
  <si>
    <t>ZW030</t>
  </si>
  <si>
    <t>ZW031</t>
  </si>
  <si>
    <t>ZW032</t>
  </si>
  <si>
    <t>ZW036</t>
  </si>
  <si>
    <t>CPH42</t>
  </si>
  <si>
    <t>WR07</t>
  </si>
  <si>
    <t>WR08</t>
  </si>
  <si>
    <t>WR09</t>
  </si>
  <si>
    <t>WR10</t>
  </si>
  <si>
    <t>WT31</t>
  </si>
  <si>
    <t>RS001</t>
  </si>
  <si>
    <t>RS002</t>
  </si>
  <si>
    <t>RS003</t>
  </si>
  <si>
    <t>RS004</t>
  </si>
  <si>
    <t>RS005</t>
  </si>
  <si>
    <t>RS006</t>
  </si>
  <si>
    <t>RS007</t>
  </si>
  <si>
    <t>RS008</t>
  </si>
  <si>
    <t>ZV503</t>
  </si>
  <si>
    <t>ZV006</t>
  </si>
  <si>
    <t>WCE05</t>
  </si>
  <si>
    <t>WCE35</t>
  </si>
  <si>
    <t>WCE30</t>
  </si>
  <si>
    <t>WCE01</t>
  </si>
  <si>
    <t>WCE02</t>
  </si>
  <si>
    <t>WCE07</t>
  </si>
  <si>
    <t>WCE08</t>
  </si>
  <si>
    <t>WCE32</t>
  </si>
  <si>
    <t>WCE04</t>
  </si>
  <si>
    <t>WCE23</t>
  </si>
  <si>
    <t>WCE25</t>
  </si>
  <si>
    <t>WCE29</t>
  </si>
  <si>
    <t>TY302</t>
  </si>
  <si>
    <t>TY460</t>
  </si>
  <si>
    <t>TY204</t>
  </si>
  <si>
    <t>WCV23</t>
  </si>
  <si>
    <t>WCV33</t>
  </si>
  <si>
    <t>WCV34</t>
  </si>
  <si>
    <t>WCV35</t>
  </si>
  <si>
    <t>WCV30</t>
  </si>
  <si>
    <t>HH01</t>
  </si>
  <si>
    <t>HH02</t>
  </si>
  <si>
    <t>HH03</t>
  </si>
  <si>
    <t>HH04</t>
  </si>
  <si>
    <t>HH05</t>
  </si>
  <si>
    <t>HH06</t>
  </si>
  <si>
    <t>HH07</t>
  </si>
  <si>
    <t>HH08</t>
  </si>
  <si>
    <t>MD607RO</t>
  </si>
  <si>
    <t>MD607PL</t>
  </si>
  <si>
    <t>MD607AZ</t>
  </si>
  <si>
    <t>MD607NE</t>
  </si>
  <si>
    <t>MD700</t>
  </si>
  <si>
    <t>MD701</t>
  </si>
  <si>
    <t>MD702</t>
  </si>
  <si>
    <t>AL002</t>
  </si>
  <si>
    <t>AL003</t>
  </si>
  <si>
    <t>AL004</t>
  </si>
  <si>
    <t>ZW163</t>
  </si>
  <si>
    <t>ZW003</t>
  </si>
  <si>
    <t>ZW010</t>
  </si>
  <si>
    <t>ZV064</t>
  </si>
  <si>
    <t>ZW077</t>
  </si>
  <si>
    <t>ZV040</t>
  </si>
  <si>
    <t>ZV041</t>
  </si>
  <si>
    <t>ZV042</t>
  </si>
  <si>
    <t>ZV043</t>
  </si>
  <si>
    <t>ZV044</t>
  </si>
  <si>
    <t>ZV045</t>
  </si>
  <si>
    <t>ZV046</t>
  </si>
  <si>
    <t>ZV047</t>
  </si>
  <si>
    <t>ZV048</t>
  </si>
  <si>
    <t>ZV049</t>
  </si>
  <si>
    <t>ZV050</t>
  </si>
  <si>
    <t>ZV051</t>
  </si>
  <si>
    <t>ZV052</t>
  </si>
  <si>
    <t>ZV053</t>
  </si>
  <si>
    <t>ZV055</t>
  </si>
  <si>
    <t>ZV056</t>
  </si>
  <si>
    <t>ZV057</t>
  </si>
  <si>
    <t>ZV058</t>
  </si>
  <si>
    <t>ZV059</t>
  </si>
  <si>
    <t>ZV060</t>
  </si>
  <si>
    <t>ZV062</t>
  </si>
  <si>
    <t>ZV065</t>
  </si>
  <si>
    <t>ZV066</t>
  </si>
  <si>
    <t>ZV067</t>
  </si>
  <si>
    <t>ZV068</t>
  </si>
  <si>
    <t>ZV069</t>
  </si>
  <si>
    <t>ZV070</t>
  </si>
  <si>
    <t>ZV071</t>
  </si>
  <si>
    <t>WT30</t>
  </si>
  <si>
    <t>YT105</t>
  </si>
  <si>
    <t>YT106</t>
  </si>
  <si>
    <t>YT107</t>
  </si>
  <si>
    <t>YT108</t>
  </si>
  <si>
    <t>YT109</t>
  </si>
  <si>
    <t>ZV004</t>
  </si>
  <si>
    <t>ZV007</t>
  </si>
  <si>
    <t>ZV010</t>
  </si>
  <si>
    <t>ZV014</t>
  </si>
  <si>
    <t>ZV002</t>
  </si>
  <si>
    <t>ZV026</t>
  </si>
  <si>
    <t>ZV027</t>
  </si>
  <si>
    <t>EJ005</t>
  </si>
  <si>
    <t>EJ006</t>
  </si>
  <si>
    <t>EJ007</t>
  </si>
  <si>
    <t>AF002</t>
  </si>
  <si>
    <t>ZZ062</t>
  </si>
  <si>
    <t>ZZ059</t>
  </si>
  <si>
    <t>ZZ012</t>
  </si>
  <si>
    <t>ZZ033</t>
  </si>
  <si>
    <t>ZZ105</t>
  </si>
  <si>
    <t>ZJ008</t>
  </si>
  <si>
    <t>ZJ001</t>
  </si>
  <si>
    <t>ZJ055</t>
  </si>
  <si>
    <t>ZJ056</t>
  </si>
  <si>
    <t>ZJ057</t>
  </si>
  <si>
    <t>ZJ031</t>
  </si>
  <si>
    <t>ZJ212</t>
  </si>
  <si>
    <t>ZJ204</t>
  </si>
  <si>
    <t>ZJ216</t>
  </si>
  <si>
    <t>ZJ207</t>
  </si>
  <si>
    <t>ZJ225</t>
  </si>
  <si>
    <t>ZJ226</t>
  </si>
  <si>
    <t>ZJ228</t>
  </si>
  <si>
    <t>ZJ229</t>
  </si>
  <si>
    <t>ZJ230</t>
  </si>
  <si>
    <t>ZJ231</t>
  </si>
  <si>
    <t>ZJ232</t>
  </si>
  <si>
    <t>ZJ201</t>
  </si>
  <si>
    <t>ZJ202</t>
  </si>
  <si>
    <t>ZJ211</t>
  </si>
  <si>
    <t>ZJ217</t>
  </si>
  <si>
    <t>ZANELLA RX150</t>
  </si>
  <si>
    <t>ZZ130</t>
  </si>
  <si>
    <t>ZZ010</t>
  </si>
  <si>
    <t>ZZ149</t>
  </si>
  <si>
    <t>ZZ148</t>
  </si>
  <si>
    <t>ZZ150</t>
  </si>
  <si>
    <t>ZZ049</t>
  </si>
  <si>
    <t>ZZ035</t>
  </si>
  <si>
    <t>ZZ087</t>
  </si>
  <si>
    <t>ZZ068</t>
  </si>
  <si>
    <t>ZZ067</t>
  </si>
  <si>
    <t>ZZ069</t>
  </si>
  <si>
    <t>ZZ018</t>
  </si>
  <si>
    <t>ZZ045</t>
  </si>
  <si>
    <t>ZZ115</t>
  </si>
  <si>
    <t>ZZ023</t>
  </si>
  <si>
    <t>ZZ055</t>
  </si>
  <si>
    <t>ZZ056</t>
  </si>
  <si>
    <t>ZZ019</t>
  </si>
  <si>
    <t>ZZ103</t>
  </si>
  <si>
    <t>ZZ104</t>
  </si>
  <si>
    <t>ZZ086</t>
  </si>
  <si>
    <t>ZZ005</t>
  </si>
  <si>
    <t>ZZ093</t>
  </si>
  <si>
    <t>ZZ081</t>
  </si>
  <si>
    <t>ZZ082</t>
  </si>
  <si>
    <t>ZZ120</t>
  </si>
  <si>
    <t>ZZ052</t>
  </si>
  <si>
    <t>ZZ004</t>
  </si>
  <si>
    <t>ZZ094</t>
  </si>
  <si>
    <t>ZZ047</t>
  </si>
  <si>
    <t>ZZ074</t>
  </si>
  <si>
    <t>ZZ073</t>
  </si>
  <si>
    <t>ZZ101</t>
  </si>
  <si>
    <t>ZZ078</t>
  </si>
  <si>
    <t>ZZ077</t>
  </si>
  <si>
    <t>ZZ088</t>
  </si>
  <si>
    <t>ZZ043</t>
  </si>
  <si>
    <t>ZZ084</t>
  </si>
  <si>
    <t>ZZ014</t>
  </si>
  <si>
    <t>ZZ112</t>
  </si>
  <si>
    <t>ZZ113</t>
  </si>
  <si>
    <t>ZZ127</t>
  </si>
  <si>
    <t>ZZ064</t>
  </si>
  <si>
    <t>ZZ153</t>
  </si>
  <si>
    <t>ZZ092</t>
  </si>
  <si>
    <t>ZZ089</t>
  </si>
  <si>
    <t>ZZ022</t>
  </si>
  <si>
    <t>ZZ091</t>
  </si>
  <si>
    <t>ZZ090</t>
  </si>
  <si>
    <t>ZZ003</t>
  </si>
  <si>
    <t>ZZ080</t>
  </si>
  <si>
    <t>ZZ079</t>
  </si>
  <si>
    <t>ZZ143</t>
  </si>
  <si>
    <t>ZZ144</t>
  </si>
  <si>
    <t>ZZ110</t>
  </si>
  <si>
    <t>ZZ111</t>
  </si>
  <si>
    <t>ZZ108</t>
  </si>
  <si>
    <t>ZZ053</t>
  </si>
  <si>
    <t>ZZ132</t>
  </si>
  <si>
    <t>ZZ041</t>
  </si>
  <si>
    <t>ZZ040</t>
  </si>
  <si>
    <t>CHT25</t>
  </si>
  <si>
    <t>WE01</t>
  </si>
  <si>
    <t>WE02</t>
  </si>
  <si>
    <t>WE03</t>
  </si>
  <si>
    <t>WE04</t>
  </si>
  <si>
    <t>WE05</t>
  </si>
  <si>
    <t>WE06</t>
  </si>
  <si>
    <t>WE07</t>
  </si>
  <si>
    <t>WE08</t>
  </si>
  <si>
    <t>WE09</t>
  </si>
  <si>
    <t>WE10</t>
  </si>
  <si>
    <t>WE11</t>
  </si>
  <si>
    <t>WE12</t>
  </si>
  <si>
    <t>FT015</t>
  </si>
  <si>
    <t>CHP08</t>
  </si>
  <si>
    <t>CHP04</t>
  </si>
  <si>
    <t>CHP03</t>
  </si>
  <si>
    <t>CHP02</t>
  </si>
  <si>
    <t>CHP06</t>
  </si>
  <si>
    <t>CHP07</t>
  </si>
  <si>
    <t>VI340</t>
  </si>
  <si>
    <t>VKIDS</t>
  </si>
  <si>
    <t>VCHAL</t>
  </si>
  <si>
    <t>ZY012</t>
  </si>
  <si>
    <t>ZY013</t>
  </si>
  <si>
    <t>ZY014</t>
  </si>
  <si>
    <t>ZY015</t>
  </si>
  <si>
    <t>ZY016</t>
  </si>
  <si>
    <t>ZY017</t>
  </si>
  <si>
    <t>ZY018</t>
  </si>
  <si>
    <t>ZY019</t>
  </si>
  <si>
    <t>ZV223N</t>
  </si>
  <si>
    <t>ZV500</t>
  </si>
  <si>
    <t>ZV502</t>
  </si>
  <si>
    <t>ZV506</t>
  </si>
  <si>
    <t>ZV001</t>
  </si>
  <si>
    <t>ZG030</t>
  </si>
  <si>
    <t>ZG031</t>
  </si>
  <si>
    <t>ZV008</t>
  </si>
  <si>
    <t>ZV009</t>
  </si>
  <si>
    <t>ZV003</t>
  </si>
  <si>
    <t>WCA04</t>
  </si>
  <si>
    <t>WCA40</t>
  </si>
  <si>
    <t>WCA09</t>
  </si>
  <si>
    <t>WCA06</t>
  </si>
  <si>
    <t>WCA27</t>
  </si>
  <si>
    <t>WCA01</t>
  </si>
  <si>
    <t>WCA02</t>
  </si>
  <si>
    <t>WCA08</t>
  </si>
  <si>
    <t>WCA31</t>
  </si>
  <si>
    <t>WCA32</t>
  </si>
  <si>
    <t>WCA21</t>
  </si>
  <si>
    <t>WCA38</t>
  </si>
  <si>
    <t>WCA42</t>
  </si>
  <si>
    <t>WCA22</t>
  </si>
  <si>
    <t>WCA15</t>
  </si>
  <si>
    <t>WCA49</t>
  </si>
  <si>
    <t>WCA43</t>
  </si>
  <si>
    <t>WCA45</t>
  </si>
  <si>
    <t>WCA46</t>
  </si>
  <si>
    <t>WCA48</t>
  </si>
  <si>
    <t>HONDA TITAN</t>
  </si>
  <si>
    <t>HONDA TITAN 150</t>
  </si>
  <si>
    <t>SMASH - BIT Y 110'CC</t>
  </si>
  <si>
    <t>HONDA BIZ</t>
  </si>
  <si>
    <t>HONDA WAVE</t>
  </si>
  <si>
    <t>ZZ057</t>
  </si>
  <si>
    <t>ZZ085</t>
  </si>
  <si>
    <t>ZZ107</t>
  </si>
  <si>
    <t>ZZ118</t>
  </si>
  <si>
    <t>ZW110B</t>
  </si>
  <si>
    <t>ZW110L</t>
  </si>
  <si>
    <t>ZW110R</t>
  </si>
  <si>
    <t>ZW110S</t>
  </si>
  <si>
    <t>ZW111B</t>
  </si>
  <si>
    <t>ZW111L</t>
  </si>
  <si>
    <t>ZW111R</t>
  </si>
  <si>
    <t>ZW111S</t>
  </si>
  <si>
    <t>ZV086</t>
  </si>
  <si>
    <t>ZV087</t>
  </si>
  <si>
    <t>ZV088</t>
  </si>
  <si>
    <t>ZV089</t>
  </si>
  <si>
    <t>ZV090</t>
  </si>
  <si>
    <t>ZV091</t>
  </si>
  <si>
    <t>YC10</t>
  </si>
  <si>
    <t>YC11</t>
  </si>
  <si>
    <t>YC12</t>
  </si>
  <si>
    <t>YC13</t>
  </si>
  <si>
    <t>YC14</t>
  </si>
  <si>
    <t>YC15</t>
  </si>
  <si>
    <t>YT01AM</t>
  </si>
  <si>
    <t>YT01AZ</t>
  </si>
  <si>
    <t>YT01NE</t>
  </si>
  <si>
    <t>HK022</t>
  </si>
  <si>
    <t>HK023</t>
  </si>
  <si>
    <t>HK024</t>
  </si>
  <si>
    <t>HK025</t>
  </si>
  <si>
    <t>HK029</t>
  </si>
  <si>
    <t>HK037</t>
  </si>
  <si>
    <t>HK038</t>
  </si>
  <si>
    <t>HK039</t>
  </si>
  <si>
    <t>ZV301</t>
  </si>
  <si>
    <t>ZV302</t>
  </si>
  <si>
    <t>WF02</t>
  </si>
  <si>
    <t>WF03</t>
  </si>
  <si>
    <t>WF04</t>
  </si>
  <si>
    <t>WB01</t>
  </si>
  <si>
    <t>WB02</t>
  </si>
  <si>
    <t>WB03</t>
  </si>
  <si>
    <t>WB04</t>
  </si>
  <si>
    <t>WB05</t>
  </si>
  <si>
    <t>CL001</t>
  </si>
  <si>
    <t>YE003</t>
  </si>
  <si>
    <t>YE004</t>
  </si>
  <si>
    <t>YE005</t>
  </si>
  <si>
    <t>ZE006</t>
  </si>
  <si>
    <t>BA006</t>
  </si>
  <si>
    <t>BA001</t>
  </si>
  <si>
    <t>BA003</t>
  </si>
  <si>
    <t>BA004</t>
  </si>
  <si>
    <t>BA005</t>
  </si>
  <si>
    <t>BA007</t>
  </si>
  <si>
    <t>BA008</t>
  </si>
  <si>
    <t>CHB08</t>
  </si>
  <si>
    <t>CHT21</t>
  </si>
  <si>
    <t>BI002</t>
  </si>
  <si>
    <t>ZR002</t>
  </si>
  <si>
    <t>AF011</t>
  </si>
  <si>
    <t>FA001</t>
  </si>
  <si>
    <t>ZX001</t>
  </si>
  <si>
    <t>WCE40</t>
  </si>
  <si>
    <t>WCF15</t>
  </si>
  <si>
    <t>WCF03</t>
  </si>
  <si>
    <t>WCF33</t>
  </si>
  <si>
    <t>WCF18</t>
  </si>
  <si>
    <t>WCF17</t>
  </si>
  <si>
    <t>WCF04</t>
  </si>
  <si>
    <t>WCF19</t>
  </si>
  <si>
    <t>ZV082</t>
  </si>
  <si>
    <t>ZV083</t>
  </si>
  <si>
    <t>ZV085</t>
  </si>
  <si>
    <t>NITRO</t>
  </si>
  <si>
    <t>OTROS</t>
  </si>
  <si>
    <t>CDI</t>
  </si>
  <si>
    <t>WH15</t>
  </si>
  <si>
    <t>WY054</t>
  </si>
  <si>
    <t>WY079</t>
  </si>
  <si>
    <t>WY034</t>
  </si>
  <si>
    <t>ZZ095</t>
  </si>
  <si>
    <t>ZZ151</t>
  </si>
  <si>
    <t>YXC001</t>
  </si>
  <si>
    <t>YXC002</t>
  </si>
  <si>
    <t>YXC004</t>
  </si>
  <si>
    <t>YXC006</t>
  </si>
  <si>
    <t>YXC007</t>
  </si>
  <si>
    <t>YXC008</t>
  </si>
  <si>
    <t>YXC009</t>
  </si>
  <si>
    <t>YXC013</t>
  </si>
  <si>
    <t>YXC014</t>
  </si>
  <si>
    <t>YXC016</t>
  </si>
  <si>
    <t>YXC020</t>
  </si>
  <si>
    <t>ZW092</t>
  </si>
  <si>
    <t>ZW093</t>
  </si>
  <si>
    <t>ZW096</t>
  </si>
  <si>
    <t>ZW105</t>
  </si>
  <si>
    <t>ZW114</t>
  </si>
  <si>
    <t>ZW115</t>
  </si>
  <si>
    <t>ZW119</t>
  </si>
  <si>
    <t>ZW123</t>
  </si>
  <si>
    <t>ZW124</t>
  </si>
  <si>
    <t>ZW127</t>
  </si>
  <si>
    <t>ZW131</t>
  </si>
  <si>
    <t>ZW132</t>
  </si>
  <si>
    <t>ZW140</t>
  </si>
  <si>
    <t>ZW142</t>
  </si>
  <si>
    <t>ZW145</t>
  </si>
  <si>
    <t>ZW148</t>
  </si>
  <si>
    <t>ZW151</t>
  </si>
  <si>
    <t>ZW161</t>
  </si>
  <si>
    <t>ZT006B</t>
  </si>
  <si>
    <t>ZT006S</t>
  </si>
  <si>
    <t>ZT006R</t>
  </si>
  <si>
    <t>ZT007B</t>
  </si>
  <si>
    <t>ZT007S</t>
  </si>
  <si>
    <t>ZT007R</t>
  </si>
  <si>
    <t>ZT008B</t>
  </si>
  <si>
    <t>ZT008S</t>
  </si>
  <si>
    <t>CHT19</t>
  </si>
  <si>
    <t>CHT20</t>
  </si>
  <si>
    <t>ZZ135</t>
  </si>
  <si>
    <t>ZZ138</t>
  </si>
  <si>
    <t>ZW091</t>
  </si>
  <si>
    <t>CHT63</t>
  </si>
  <si>
    <t>CHT12</t>
  </si>
  <si>
    <t>HT001</t>
  </si>
  <si>
    <t>HT002</t>
  </si>
  <si>
    <t>ZH100</t>
  </si>
  <si>
    <t>ZH101</t>
  </si>
  <si>
    <t>ZH102</t>
  </si>
  <si>
    <t>ZH103</t>
  </si>
  <si>
    <t>ZI001</t>
  </si>
  <si>
    <t>ZI003</t>
  </si>
  <si>
    <t>ZI002</t>
  </si>
  <si>
    <t>ZI004</t>
  </si>
  <si>
    <t>ZR006</t>
  </si>
  <si>
    <t>ZT012B</t>
  </si>
  <si>
    <t>TY229</t>
  </si>
  <si>
    <t>TY715P</t>
  </si>
  <si>
    <t>TY418P</t>
  </si>
  <si>
    <t>TY307</t>
  </si>
  <si>
    <t>CHL01</t>
  </si>
  <si>
    <t>CHL02</t>
  </si>
  <si>
    <t>CHL03</t>
  </si>
  <si>
    <t>CHL04</t>
  </si>
  <si>
    <t>CHL05</t>
  </si>
  <si>
    <t>CHL06</t>
  </si>
  <si>
    <t>CHL08</t>
  </si>
  <si>
    <t>CHL11</t>
  </si>
  <si>
    <t>CHL12</t>
  </si>
  <si>
    <t>ZL012</t>
  </si>
  <si>
    <t>ZL003</t>
  </si>
  <si>
    <t>ZL027</t>
  </si>
  <si>
    <t>ZL019</t>
  </si>
  <si>
    <t>ZV098</t>
  </si>
  <si>
    <t>ZV128</t>
  </si>
  <si>
    <t>ZV129</t>
  </si>
  <si>
    <t>ZV131</t>
  </si>
  <si>
    <t>ZV132</t>
  </si>
  <si>
    <t>ZV133</t>
  </si>
  <si>
    <t>ZV134</t>
  </si>
  <si>
    <t>ZV135</t>
  </si>
  <si>
    <t>ZV136</t>
  </si>
  <si>
    <t>ZV137</t>
  </si>
  <si>
    <t>ZV139</t>
  </si>
  <si>
    <t>ZV140</t>
  </si>
  <si>
    <t>ZV141</t>
  </si>
  <si>
    <t>ZV142</t>
  </si>
  <si>
    <t>ZV143</t>
  </si>
  <si>
    <t>ZV144</t>
  </si>
  <si>
    <t>ZV212</t>
  </si>
  <si>
    <t>ZV213</t>
  </si>
  <si>
    <t>ZV214</t>
  </si>
  <si>
    <t>ZV215</t>
  </si>
  <si>
    <t>ZV217</t>
  </si>
  <si>
    <t>ZV218</t>
  </si>
  <si>
    <t>ZV219</t>
  </si>
  <si>
    <t>ZV220</t>
  </si>
  <si>
    <t>ZV221</t>
  </si>
  <si>
    <t>ZV222</t>
  </si>
  <si>
    <t>HK004</t>
  </si>
  <si>
    <t>HK005</t>
  </si>
  <si>
    <t>HK008</t>
  </si>
  <si>
    <t>HK011</t>
  </si>
  <si>
    <t>ZZ070</t>
  </si>
  <si>
    <t>ZZ060</t>
  </si>
  <si>
    <t>ZZ042</t>
  </si>
  <si>
    <t>POR01</t>
  </si>
  <si>
    <t>POR02</t>
  </si>
  <si>
    <t>POZ01</t>
  </si>
  <si>
    <t>POZ02</t>
  </si>
  <si>
    <t>POZ04</t>
  </si>
  <si>
    <t>POZ05</t>
  </si>
  <si>
    <t>J014</t>
  </si>
  <si>
    <t>J033</t>
  </si>
  <si>
    <t>J042</t>
  </si>
  <si>
    <t>J093</t>
  </si>
  <si>
    <t>J106</t>
  </si>
  <si>
    <t>J089</t>
  </si>
  <si>
    <t>J090</t>
  </si>
  <si>
    <t>J091</t>
  </si>
  <si>
    <t>J092</t>
  </si>
  <si>
    <t>J095</t>
  </si>
  <si>
    <t>J096</t>
  </si>
  <si>
    <t>J097</t>
  </si>
  <si>
    <t>J098</t>
  </si>
  <si>
    <t>J100</t>
  </si>
  <si>
    <t>J101</t>
  </si>
  <si>
    <t>J102</t>
  </si>
  <si>
    <t>J103</t>
  </si>
  <si>
    <t>J104</t>
  </si>
  <si>
    <t>PANEC</t>
  </si>
  <si>
    <t>PARX1</t>
  </si>
  <si>
    <t>ZV029</t>
  </si>
  <si>
    <t>ZV030</t>
  </si>
  <si>
    <t>ZV031</t>
  </si>
  <si>
    <t>ZV032</t>
  </si>
  <si>
    <t>ZV033</t>
  </si>
  <si>
    <t>ZV034</t>
  </si>
  <si>
    <t>ZV035</t>
  </si>
  <si>
    <t>ZV036</t>
  </si>
  <si>
    <t>ZV037</t>
  </si>
  <si>
    <t>ZV038</t>
  </si>
  <si>
    <t>ZV039</t>
  </si>
  <si>
    <t>ZW045</t>
  </si>
  <si>
    <t>ZW046</t>
  </si>
  <si>
    <t>ZW048</t>
  </si>
  <si>
    <t>ZW050</t>
  </si>
  <si>
    <t>ZW051</t>
  </si>
  <si>
    <t>ZW052</t>
  </si>
  <si>
    <t>ZW053</t>
  </si>
  <si>
    <t>ZW054</t>
  </si>
  <si>
    <t>ZW056</t>
  </si>
  <si>
    <t>ZW057</t>
  </si>
  <si>
    <t>ZW058</t>
  </si>
  <si>
    <t>ZW064</t>
  </si>
  <si>
    <t>ZW065</t>
  </si>
  <si>
    <t>ZW067</t>
  </si>
  <si>
    <t>ZW069</t>
  </si>
  <si>
    <t>ZW075</t>
  </si>
  <si>
    <t>ZW083</t>
  </si>
  <si>
    <t>ZW084</t>
  </si>
  <si>
    <t>ZW087</t>
  </si>
  <si>
    <t>ZW088</t>
  </si>
  <si>
    <t>ZW090</t>
  </si>
  <si>
    <t>WR02</t>
  </si>
  <si>
    <t>WR03</t>
  </si>
  <si>
    <t>WR04</t>
  </si>
  <si>
    <t>WR05</t>
  </si>
  <si>
    <t>WR06</t>
  </si>
  <si>
    <t>POR MOTO</t>
  </si>
  <si>
    <t>CPH43</t>
  </si>
  <si>
    <t>ZW008</t>
  </si>
  <si>
    <t>ZW120</t>
  </si>
  <si>
    <t>ZW037</t>
  </si>
  <si>
    <t>ZW060</t>
  </si>
  <si>
    <t>GA001</t>
  </si>
  <si>
    <t>GA003</t>
  </si>
  <si>
    <t>GA004</t>
  </si>
  <si>
    <t>GA007</t>
  </si>
  <si>
    <t>ZG002</t>
  </si>
  <si>
    <t>ZG001</t>
  </si>
  <si>
    <t>ZG013</t>
  </si>
  <si>
    <t>ZG014</t>
  </si>
  <si>
    <t>MD025</t>
  </si>
  <si>
    <t>HD17</t>
  </si>
  <si>
    <t>HD18</t>
  </si>
  <si>
    <t>HD19</t>
  </si>
  <si>
    <t>ZV508</t>
  </si>
  <si>
    <t>CPH21</t>
  </si>
  <si>
    <t>CPH22</t>
  </si>
  <si>
    <t>CPH23</t>
  </si>
  <si>
    <t>YT01PL</t>
  </si>
  <si>
    <t>YT01RO</t>
  </si>
  <si>
    <t>WT23</t>
  </si>
  <si>
    <t>WT24</t>
  </si>
  <si>
    <t>WT25</t>
  </si>
  <si>
    <t>WT28</t>
  </si>
  <si>
    <t>ZV092</t>
  </si>
  <si>
    <t>ZV093</t>
  </si>
  <si>
    <t>ZV094</t>
  </si>
  <si>
    <t>ZV095</t>
  </si>
  <si>
    <t>ZV096</t>
  </si>
  <si>
    <t>ZV099</t>
  </si>
  <si>
    <t>ZV100</t>
  </si>
  <si>
    <t>ZV102</t>
  </si>
  <si>
    <t>ZV105</t>
  </si>
  <si>
    <t>ZV106</t>
  </si>
  <si>
    <t>ZV107</t>
  </si>
  <si>
    <t>ZV108</t>
  </si>
  <si>
    <t>ZV109</t>
  </si>
  <si>
    <t>ZV110</t>
  </si>
  <si>
    <t>ZV113</t>
  </si>
  <si>
    <t>ZV119</t>
  </si>
  <si>
    <t>ZV120</t>
  </si>
  <si>
    <t>ZV150</t>
  </si>
  <si>
    <t>ZV152</t>
  </si>
  <si>
    <t>ZV154</t>
  </si>
  <si>
    <t>ZV155</t>
  </si>
  <si>
    <t>ZV156</t>
  </si>
  <si>
    <t>ZV157</t>
  </si>
  <si>
    <t>ZV158</t>
  </si>
  <si>
    <t>ZV159</t>
  </si>
  <si>
    <t>ZV161</t>
  </si>
  <si>
    <t>ZV162</t>
  </si>
  <si>
    <t>NPC06</t>
  </si>
  <si>
    <t>AOP01</t>
  </si>
  <si>
    <t>AOP02</t>
  </si>
  <si>
    <t>ZZ139</t>
  </si>
  <si>
    <t>ZZ140</t>
  </si>
  <si>
    <t>ZZ141</t>
  </si>
  <si>
    <t>ZZ142</t>
  </si>
  <si>
    <t>ZZ147</t>
  </si>
  <si>
    <t>WY017</t>
  </si>
  <si>
    <t>WY015</t>
  </si>
  <si>
    <t>WY044</t>
  </si>
  <si>
    <t>WY051</t>
  </si>
  <si>
    <t>WY086</t>
  </si>
  <si>
    <t>WY046</t>
  </si>
  <si>
    <t>WY043</t>
  </si>
  <si>
    <t>WY083</t>
  </si>
  <si>
    <t>WY055</t>
  </si>
  <si>
    <t>ZJ234</t>
  </si>
  <si>
    <t>ZZ155</t>
  </si>
  <si>
    <t>ZZ002</t>
  </si>
  <si>
    <t>YX132</t>
  </si>
  <si>
    <t>YX135</t>
  </si>
  <si>
    <t>YX35</t>
  </si>
  <si>
    <t>YX147</t>
  </si>
  <si>
    <t>YX31</t>
  </si>
  <si>
    <t>YX117</t>
  </si>
  <si>
    <t>YX113</t>
  </si>
  <si>
    <t>WR11</t>
  </si>
  <si>
    <t>ZZ031</t>
  </si>
  <si>
    <t>ZZ054</t>
  </si>
  <si>
    <t>VI370</t>
  </si>
  <si>
    <t>WY006AZ</t>
  </si>
  <si>
    <t>WY006NE</t>
  </si>
  <si>
    <t>WY006PL</t>
  </si>
  <si>
    <t>WY006RO</t>
  </si>
  <si>
    <t>WY060</t>
  </si>
  <si>
    <t>WY105</t>
  </si>
  <si>
    <t>WY110</t>
  </si>
  <si>
    <t>WY111</t>
  </si>
  <si>
    <t>WY033</t>
  </si>
  <si>
    <t>VI210</t>
  </si>
  <si>
    <t>WY084</t>
  </si>
  <si>
    <t>WY113</t>
  </si>
  <si>
    <t>ZZ032</t>
  </si>
  <si>
    <t>ZV176C</t>
  </si>
  <si>
    <t>ZV177C</t>
  </si>
  <si>
    <t>ZV072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</si>
  <si>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</si>
  <si>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</si>
  <si>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</si>
  <si>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</si>
  <si>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</si>
  <si>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</si>
  <si>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</si>
  <si>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</si>
  <si>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WH01</t>
  </si>
  <si>
    <t>WH12</t>
  </si>
  <si>
    <t>WH02</t>
  </si>
  <si>
    <t>WH03</t>
  </si>
  <si>
    <t>WH04</t>
  </si>
  <si>
    <t>WH06</t>
  </si>
  <si>
    <t>WH07</t>
  </si>
  <si>
    <t>WH10</t>
  </si>
  <si>
    <t>WH11</t>
  </si>
  <si>
    <t>PF009</t>
  </si>
  <si>
    <t>PF001</t>
  </si>
  <si>
    <t>PF002</t>
  </si>
  <si>
    <t>PF003</t>
  </si>
  <si>
    <t>PF004</t>
  </si>
  <si>
    <t>PF005</t>
  </si>
  <si>
    <t>PF006</t>
  </si>
  <si>
    <t>PF007</t>
  </si>
  <si>
    <t>PF008</t>
  </si>
  <si>
    <t>PF010</t>
  </si>
  <si>
    <t>WT22</t>
  </si>
  <si>
    <t>WT26</t>
  </si>
  <si>
    <t>WT27</t>
  </si>
  <si>
    <t>WT29</t>
  </si>
  <si>
    <t>AF003</t>
  </si>
  <si>
    <t>AF004</t>
  </si>
  <si>
    <t>AF005</t>
  </si>
  <si>
    <t>AF006</t>
  </si>
  <si>
    <t>AF007</t>
  </si>
  <si>
    <t>AF008</t>
  </si>
  <si>
    <t>AF009</t>
  </si>
  <si>
    <t>ZR004</t>
  </si>
  <si>
    <t>ZT012G</t>
  </si>
  <si>
    <t>ZT012R</t>
  </si>
  <si>
    <t>ZT012L</t>
  </si>
  <si>
    <t>ZR021</t>
  </si>
  <si>
    <t>ZR023</t>
  </si>
  <si>
    <t>ZJ033</t>
  </si>
  <si>
    <t>ZJ100</t>
  </si>
  <si>
    <t>ZJ101</t>
  </si>
  <si>
    <t>ZJ102</t>
  </si>
  <si>
    <t>ZJ105</t>
  </si>
  <si>
    <t>ZJ107</t>
  </si>
  <si>
    <t>ZJ108</t>
  </si>
  <si>
    <t>ZJ109</t>
  </si>
  <si>
    <t>ZJ111</t>
  </si>
  <si>
    <t>ZJ112</t>
  </si>
  <si>
    <t>ZJ060</t>
  </si>
  <si>
    <t>ZJ058</t>
  </si>
  <si>
    <t>CHA02</t>
  </si>
  <si>
    <t>CHA03</t>
  </si>
  <si>
    <t>CPRK5</t>
  </si>
  <si>
    <t>WCA50</t>
  </si>
  <si>
    <t>WCA51</t>
  </si>
  <si>
    <t>SM001</t>
  </si>
  <si>
    <t>SM002</t>
  </si>
  <si>
    <t>SM003</t>
  </si>
  <si>
    <t>SM005</t>
  </si>
  <si>
    <t>SM006</t>
  </si>
  <si>
    <t>SM009</t>
  </si>
  <si>
    <t>SM007</t>
  </si>
  <si>
    <t>SM008</t>
  </si>
  <si>
    <t>CHB22</t>
  </si>
  <si>
    <t>MD001</t>
  </si>
  <si>
    <t>MD002</t>
  </si>
  <si>
    <t>MD003</t>
  </si>
  <si>
    <t>MD007</t>
  </si>
  <si>
    <t>CHB18</t>
  </si>
  <si>
    <t>MD008</t>
  </si>
  <si>
    <t>MD004</t>
  </si>
  <si>
    <t>MD005</t>
  </si>
  <si>
    <t>MD006</t>
  </si>
  <si>
    <t>MD009</t>
  </si>
  <si>
    <t>CHX07</t>
  </si>
  <si>
    <t>CHX08</t>
  </si>
  <si>
    <t>CHX03</t>
  </si>
  <si>
    <t>ZW099</t>
  </si>
  <si>
    <t>ZW100</t>
  </si>
  <si>
    <t>ZW102</t>
  </si>
  <si>
    <t>ZW104B</t>
  </si>
  <si>
    <t>ZW104L</t>
  </si>
  <si>
    <t>ZW104R</t>
  </si>
  <si>
    <t>ZW104S</t>
  </si>
  <si>
    <t>ZW106B</t>
  </si>
  <si>
    <t>ZW106L</t>
  </si>
  <si>
    <t>ZW106R</t>
  </si>
  <si>
    <t>ZW106S</t>
  </si>
  <si>
    <t>ZW109B</t>
  </si>
  <si>
    <t>ZW109L</t>
  </si>
  <si>
    <t>ZW109R</t>
  </si>
  <si>
    <t>ZW109S</t>
  </si>
  <si>
    <t>ZV163</t>
  </si>
  <si>
    <t>ZV164</t>
  </si>
  <si>
    <t>ZV165</t>
  </si>
  <si>
    <t>ZV166</t>
  </si>
  <si>
    <t>ZV168</t>
  </si>
  <si>
    <t>ZV169</t>
  </si>
  <si>
    <t>ZV170</t>
  </si>
  <si>
    <t>ZV173</t>
  </si>
  <si>
    <t>ZV177</t>
  </si>
  <si>
    <t>ZV179</t>
  </si>
  <si>
    <t>ZV180</t>
  </si>
  <si>
    <t>ZV181</t>
  </si>
  <si>
    <t>ZV200</t>
  </si>
  <si>
    <t>ZV201</t>
  </si>
  <si>
    <t>PATIT</t>
  </si>
  <si>
    <t>PAYBR</t>
  </si>
  <si>
    <t>PAAXC</t>
  </si>
  <si>
    <t>PACDC</t>
  </si>
  <si>
    <t>PAC9C</t>
  </si>
  <si>
    <t>PADTN</t>
  </si>
  <si>
    <t>PAJON</t>
  </si>
  <si>
    <t>YE001</t>
  </si>
  <si>
    <t>YE002</t>
  </si>
  <si>
    <t>ZZ039</t>
  </si>
  <si>
    <t>ZZ025</t>
  </si>
  <si>
    <t>ZZ001</t>
  </si>
  <si>
    <t>ZZ027</t>
  </si>
  <si>
    <t>ZZ044</t>
  </si>
  <si>
    <t>ZV511</t>
  </si>
  <si>
    <t>ZV512</t>
  </si>
  <si>
    <t>ZV513</t>
  </si>
  <si>
    <t>ZV514</t>
  </si>
  <si>
    <t>ZV515</t>
  </si>
  <si>
    <t>ZZ063</t>
  </si>
  <si>
    <t>J109</t>
  </si>
  <si>
    <t>J112</t>
  </si>
  <si>
    <t>J110</t>
  </si>
  <si>
    <t>J107</t>
  </si>
  <si>
    <t>J111</t>
  </si>
  <si>
    <t>J108</t>
  </si>
  <si>
    <t>ZZ133</t>
  </si>
  <si>
    <t>ZZ126</t>
  </si>
  <si>
    <t>ZW118</t>
  </si>
  <si>
    <t>POZ03</t>
  </si>
  <si>
    <t>ZZ050</t>
  </si>
  <si>
    <t>ZZ097</t>
  </si>
  <si>
    <t>ZZ114</t>
  </si>
  <si>
    <t>ZZ154</t>
  </si>
  <si>
    <t>WT33</t>
  </si>
  <si>
    <t>ZZ096</t>
  </si>
  <si>
    <t>MD703</t>
  </si>
  <si>
    <t>MD704</t>
  </si>
  <si>
    <t>ZV525</t>
  </si>
  <si>
    <t>ZV526</t>
  </si>
  <si>
    <t>ZV523</t>
  </si>
  <si>
    <t>ZV524</t>
  </si>
  <si>
    <t>ZV522</t>
  </si>
  <si>
    <t>ZV519</t>
  </si>
  <si>
    <t>ZV520</t>
  </si>
  <si>
    <t>ZV521</t>
  </si>
  <si>
    <t>WH16</t>
  </si>
  <si>
    <t>WH14</t>
  </si>
  <si>
    <t>ZA042</t>
  </si>
  <si>
    <t>ZV518</t>
  </si>
  <si>
    <t>YAMAHA -YBR125</t>
  </si>
  <si>
    <t>WY007</t>
  </si>
  <si>
    <t>WY008</t>
  </si>
  <si>
    <t>WY009</t>
  </si>
  <si>
    <t>WY010</t>
  </si>
  <si>
    <t>WY011</t>
  </si>
  <si>
    <t>WY012</t>
  </si>
  <si>
    <t>WY013</t>
  </si>
  <si>
    <t>WY014</t>
  </si>
  <si>
    <t>WY016</t>
  </si>
  <si>
    <t>WY018</t>
  </si>
  <si>
    <t>WY019</t>
  </si>
  <si>
    <t>WY020</t>
  </si>
  <si>
    <t>WY021</t>
  </si>
  <si>
    <t>WY022</t>
  </si>
  <si>
    <t>WY023</t>
  </si>
  <si>
    <t>WY024</t>
  </si>
  <si>
    <t>WY025</t>
  </si>
  <si>
    <t>WY026</t>
  </si>
  <si>
    <t>WY027</t>
  </si>
  <si>
    <t>WY031</t>
  </si>
  <si>
    <t>WY032</t>
  </si>
  <si>
    <t>WY035</t>
  </si>
  <si>
    <t>WY036</t>
  </si>
  <si>
    <t>WY037</t>
  </si>
  <si>
    <t>WY038</t>
  </si>
  <si>
    <t>WY039</t>
  </si>
  <si>
    <t>WY040</t>
  </si>
  <si>
    <t>WY042</t>
  </si>
  <si>
    <t>WY045</t>
  </si>
  <si>
    <t>WY047</t>
  </si>
  <si>
    <t>WY048</t>
  </si>
  <si>
    <t>WY049</t>
  </si>
  <si>
    <t>WY050</t>
  </si>
  <si>
    <t>WY052</t>
  </si>
  <si>
    <t>WY053</t>
  </si>
  <si>
    <t>WY056</t>
  </si>
  <si>
    <t>WY057</t>
  </si>
  <si>
    <t>WY058</t>
  </si>
  <si>
    <t>WY059</t>
  </si>
  <si>
    <t>WY061</t>
  </si>
  <si>
    <t>WY062</t>
  </si>
  <si>
    <t>WY063</t>
  </si>
  <si>
    <t>WY064</t>
  </si>
  <si>
    <t>WY065</t>
  </si>
  <si>
    <t>WY066</t>
  </si>
  <si>
    <t>WY067</t>
  </si>
  <si>
    <t>WY068</t>
  </si>
  <si>
    <t>WY069</t>
  </si>
  <si>
    <t>WY070</t>
  </si>
  <si>
    <t>WY072</t>
  </si>
  <si>
    <t>WY073</t>
  </si>
  <si>
    <t>WY074</t>
  </si>
  <si>
    <t>WY075</t>
  </si>
  <si>
    <t>WY076</t>
  </si>
  <si>
    <t>WY077</t>
  </si>
  <si>
    <t>WY078</t>
  </si>
  <si>
    <t>WY081</t>
  </si>
  <si>
    <t>WY085</t>
  </si>
  <si>
    <t>WY087</t>
  </si>
  <si>
    <t>WY088</t>
  </si>
  <si>
    <t>WY089</t>
  </si>
  <si>
    <t>WY090</t>
  </si>
  <si>
    <t>WY091</t>
  </si>
  <si>
    <t>WY092</t>
  </si>
  <si>
    <t>WY093</t>
  </si>
  <si>
    <t>WY094</t>
  </si>
  <si>
    <t>WY095</t>
  </si>
  <si>
    <t>WY096</t>
  </si>
  <si>
    <t>WY097</t>
  </si>
  <si>
    <t>WY099</t>
  </si>
  <si>
    <t>WY100</t>
  </si>
  <si>
    <t>WY101</t>
  </si>
  <si>
    <t>WY102</t>
  </si>
  <si>
    <t>WY103</t>
  </si>
  <si>
    <t>WY106</t>
  </si>
  <si>
    <t>WY107</t>
  </si>
  <si>
    <t>WY108</t>
  </si>
  <si>
    <t>WY109</t>
  </si>
  <si>
    <t>WY112</t>
  </si>
  <si>
    <t>WY115</t>
  </si>
  <si>
    <t>WY116</t>
  </si>
  <si>
    <t>WY117</t>
  </si>
  <si>
    <t>WY120</t>
  </si>
  <si>
    <t>ZZ008</t>
  </si>
  <si>
    <t>ZZ098</t>
  </si>
  <si>
    <t>ZZ015</t>
  </si>
  <si>
    <t>ZZ076</t>
  </si>
  <si>
    <t>ZZ075</t>
  </si>
  <si>
    <t>WY029</t>
  </si>
  <si>
    <t>WY030</t>
  </si>
  <si>
    <t>ZZ034</t>
  </si>
  <si>
    <t>ZZ029</t>
  </si>
  <si>
    <t>ZZ058</t>
  </si>
  <si>
    <t>ZZ036</t>
  </si>
  <si>
    <t>ZZ037</t>
  </si>
  <si>
    <t>ZZ024</t>
  </si>
  <si>
    <t>ZW167</t>
  </si>
  <si>
    <t>YX180</t>
  </si>
  <si>
    <t>ZL030</t>
  </si>
  <si>
    <t>BDV38</t>
  </si>
  <si>
    <t>BDV39</t>
  </si>
  <si>
    <t>BDV35</t>
  </si>
  <si>
    <t>ZV528</t>
  </si>
  <si>
    <t>ZE032</t>
  </si>
  <si>
    <t>ZZ157</t>
  </si>
  <si>
    <t>SLH011</t>
  </si>
  <si>
    <t>SLH012</t>
  </si>
  <si>
    <t>SLH013</t>
  </si>
  <si>
    <t>SLH015</t>
  </si>
  <si>
    <t>WY124</t>
  </si>
  <si>
    <t>ZZ061</t>
  </si>
  <si>
    <t>ZJ238</t>
  </si>
  <si>
    <t>ZV027R</t>
  </si>
  <si>
    <t>ZA050</t>
  </si>
  <si>
    <t>HH37</t>
  </si>
  <si>
    <t>CHT50</t>
  </si>
  <si>
    <t>WY125</t>
  </si>
  <si>
    <t>CG125</t>
  </si>
  <si>
    <t>BDV40</t>
  </si>
  <si>
    <t>FCR001A</t>
  </si>
  <si>
    <t>HK040</t>
  </si>
  <si>
    <t>HK041</t>
  </si>
  <si>
    <t>HK042</t>
  </si>
  <si>
    <t>HK043</t>
  </si>
  <si>
    <t>WY114</t>
  </si>
  <si>
    <t>FT025</t>
  </si>
  <si>
    <t>FT026</t>
  </si>
  <si>
    <t>FT027</t>
  </si>
  <si>
    <t>FT028</t>
  </si>
  <si>
    <t>FT029</t>
  </si>
  <si>
    <t>TR001</t>
  </si>
  <si>
    <t>TR002</t>
  </si>
  <si>
    <t>TR003</t>
  </si>
  <si>
    <t>TR004</t>
  </si>
  <si>
    <t>TR005</t>
  </si>
  <si>
    <t>TR006</t>
  </si>
  <si>
    <t>TR007</t>
  </si>
  <si>
    <t>TR008</t>
  </si>
  <si>
    <t>TR009</t>
  </si>
  <si>
    <t>TR010</t>
  </si>
  <si>
    <t>TR011</t>
  </si>
  <si>
    <t>TR013</t>
  </si>
  <si>
    <t>TR014</t>
  </si>
  <si>
    <t>TR015</t>
  </si>
  <si>
    <t>TR016</t>
  </si>
  <si>
    <t>TR017</t>
  </si>
  <si>
    <t>TR018</t>
  </si>
  <si>
    <t>TR019</t>
  </si>
  <si>
    <t>TR020</t>
  </si>
  <si>
    <t>TR022</t>
  </si>
  <si>
    <t>TR023</t>
  </si>
  <si>
    <t>TR024</t>
  </si>
  <si>
    <t>TR030</t>
  </si>
  <si>
    <t>TR031</t>
  </si>
  <si>
    <t>TR032</t>
  </si>
  <si>
    <t>TR033</t>
  </si>
  <si>
    <t>TR034</t>
  </si>
  <si>
    <t>TR035</t>
  </si>
  <si>
    <t>TR044</t>
  </si>
  <si>
    <t>HONDA TITAN CG 150</t>
  </si>
  <si>
    <t>HT007</t>
  </si>
  <si>
    <t>HT009</t>
  </si>
  <si>
    <t>HT011B</t>
  </si>
  <si>
    <t>HT011R</t>
  </si>
  <si>
    <t>HT011L</t>
  </si>
  <si>
    <t>HT012B</t>
  </si>
  <si>
    <t>HT012R</t>
  </si>
  <si>
    <t>HT012L</t>
  </si>
  <si>
    <t>HT013B</t>
  </si>
  <si>
    <t>HT013R</t>
  </si>
  <si>
    <t>HT013L</t>
  </si>
  <si>
    <t>HT014B</t>
  </si>
  <si>
    <t>HT014R</t>
  </si>
  <si>
    <t>HT014L</t>
  </si>
  <si>
    <t>HT016</t>
  </si>
  <si>
    <t>HT017B</t>
  </si>
  <si>
    <t>HT017R</t>
  </si>
  <si>
    <t>HT017L</t>
  </si>
  <si>
    <t>HT024</t>
  </si>
  <si>
    <t>HT025</t>
  </si>
  <si>
    <t>HT028</t>
  </si>
  <si>
    <t>HT029</t>
  </si>
  <si>
    <t>HT030</t>
  </si>
  <si>
    <t>HT031</t>
  </si>
  <si>
    <t>HT033</t>
  </si>
  <si>
    <t>HT035</t>
  </si>
  <si>
    <t>HT037</t>
  </si>
  <si>
    <t>HT038</t>
  </si>
  <si>
    <t>HT041</t>
  </si>
  <si>
    <t>HT043</t>
  </si>
  <si>
    <t>HT044</t>
  </si>
  <si>
    <t>HT045</t>
  </si>
  <si>
    <t>HT046</t>
  </si>
  <si>
    <t>HT047</t>
  </si>
  <si>
    <t>HT048</t>
  </si>
  <si>
    <t>HT051</t>
  </si>
  <si>
    <t>HT052</t>
  </si>
  <si>
    <t>HT056</t>
  </si>
  <si>
    <t>HT057</t>
  </si>
  <si>
    <t>HT058</t>
  </si>
  <si>
    <t>HT061</t>
  </si>
  <si>
    <t>HT064</t>
  </si>
  <si>
    <t>HT065</t>
  </si>
  <si>
    <t>HT067</t>
  </si>
  <si>
    <t>HT068</t>
  </si>
  <si>
    <t>HT069</t>
  </si>
  <si>
    <t>HT070</t>
  </si>
  <si>
    <t>HT071</t>
  </si>
  <si>
    <t>HT072</t>
  </si>
  <si>
    <t>HT074</t>
  </si>
  <si>
    <t>HT075</t>
  </si>
  <si>
    <t>HT078</t>
  </si>
  <si>
    <t>HT079</t>
  </si>
  <si>
    <t>HT080</t>
  </si>
  <si>
    <t>HT081</t>
  </si>
  <si>
    <t>HT082</t>
  </si>
  <si>
    <t>HT083</t>
  </si>
  <si>
    <t>HT086</t>
  </si>
  <si>
    <t>HT098</t>
  </si>
  <si>
    <t>HT103</t>
  </si>
  <si>
    <t>HT110</t>
  </si>
  <si>
    <t>HT111</t>
  </si>
  <si>
    <t>HT116</t>
  </si>
  <si>
    <t>HT117</t>
  </si>
  <si>
    <t>HT118</t>
  </si>
  <si>
    <t>HT120</t>
  </si>
  <si>
    <t>HT121</t>
  </si>
  <si>
    <t>HT122</t>
  </si>
  <si>
    <t>HT123</t>
  </si>
  <si>
    <t>HT124</t>
  </si>
  <si>
    <t>HT125</t>
  </si>
  <si>
    <t>HT127</t>
  </si>
  <si>
    <t>HT128</t>
  </si>
  <si>
    <t>HT131</t>
  </si>
  <si>
    <t>HT132</t>
  </si>
  <si>
    <t>HT133</t>
  </si>
  <si>
    <t>HT134</t>
  </si>
  <si>
    <t>HT135</t>
  </si>
  <si>
    <t>HT136</t>
  </si>
  <si>
    <t>CPRK13</t>
  </si>
  <si>
    <t>CPRK15</t>
  </si>
  <si>
    <t>YX189</t>
  </si>
  <si>
    <t>YX192</t>
  </si>
  <si>
    <t>YX193</t>
  </si>
  <si>
    <t>FUM12</t>
  </si>
  <si>
    <t>FUM22</t>
  </si>
  <si>
    <t>FUM32</t>
  </si>
  <si>
    <t>FUM42</t>
  </si>
  <si>
    <t>HT004</t>
  </si>
  <si>
    <t>HT005</t>
  </si>
  <si>
    <t>HT006</t>
  </si>
  <si>
    <t>HT003</t>
  </si>
  <si>
    <t>HT023</t>
  </si>
  <si>
    <t>HT060</t>
  </si>
  <si>
    <t>HT062</t>
  </si>
  <si>
    <t>HT026</t>
  </si>
  <si>
    <t>HT027</t>
  </si>
  <si>
    <t>HT073</t>
  </si>
  <si>
    <t>HT021</t>
  </si>
  <si>
    <t>HT022</t>
  </si>
  <si>
    <t>HT076</t>
  </si>
  <si>
    <t>HT049</t>
  </si>
  <si>
    <t>HT054</t>
  </si>
  <si>
    <t>HT119</t>
  </si>
  <si>
    <t>HT034</t>
  </si>
  <si>
    <t>HT039</t>
  </si>
  <si>
    <t>HT055</t>
  </si>
  <si>
    <t>HT042</t>
  </si>
  <si>
    <t>HT050</t>
  </si>
  <si>
    <t>HT126</t>
  </si>
  <si>
    <t>HT142</t>
  </si>
  <si>
    <t>HT032</t>
  </si>
  <si>
    <t>HD20</t>
  </si>
  <si>
    <t>HD21</t>
  </si>
  <si>
    <t>VI130</t>
  </si>
  <si>
    <t>VI132</t>
  </si>
  <si>
    <t>VI617</t>
  </si>
  <si>
    <t>HT040</t>
  </si>
  <si>
    <t>HT112</t>
  </si>
  <si>
    <t>KRS001</t>
  </si>
  <si>
    <t>KRS006</t>
  </si>
  <si>
    <t>KRS011</t>
  </si>
  <si>
    <t>KRS016</t>
  </si>
  <si>
    <t>KRS021</t>
  </si>
  <si>
    <t>KRS026</t>
  </si>
  <si>
    <t>KRS031</t>
  </si>
  <si>
    <t>KRS036</t>
  </si>
  <si>
    <t>KRS041</t>
  </si>
  <si>
    <t>KRS046</t>
  </si>
  <si>
    <t>KRS051</t>
  </si>
  <si>
    <t>KRS056</t>
  </si>
  <si>
    <t>KRS061</t>
  </si>
  <si>
    <t>KRS071</t>
  </si>
  <si>
    <t>KRS002</t>
  </si>
  <si>
    <t>KRS007</t>
  </si>
  <si>
    <t>KRS012</t>
  </si>
  <si>
    <t>KRS017</t>
  </si>
  <si>
    <t>KRS022</t>
  </si>
  <si>
    <t>KRS027</t>
  </si>
  <si>
    <t>KRS032</t>
  </si>
  <si>
    <t>KRS037</t>
  </si>
  <si>
    <t>KRS042</t>
  </si>
  <si>
    <t>KRS047</t>
  </si>
  <si>
    <t>KRS052</t>
  </si>
  <si>
    <t>KRS057</t>
  </si>
  <si>
    <t>KRS062</t>
  </si>
  <si>
    <t>KRS072</t>
  </si>
  <si>
    <t>KRS008</t>
  </si>
  <si>
    <t>KRS013</t>
  </si>
  <si>
    <t>KRS018</t>
  </si>
  <si>
    <t>KRS023</t>
  </si>
  <si>
    <t>KRS028</t>
  </si>
  <si>
    <t>KRS033</t>
  </si>
  <si>
    <t>KRS038</t>
  </si>
  <si>
    <t>KRS043</t>
  </si>
  <si>
    <t>KRS048</t>
  </si>
  <si>
    <t>KRS053</t>
  </si>
  <si>
    <t>KRS058</t>
  </si>
  <si>
    <t>KRS063</t>
  </si>
  <si>
    <t>KRS073</t>
  </si>
  <si>
    <t>KRS004</t>
  </si>
  <si>
    <t>KRS009</t>
  </si>
  <si>
    <t>KRS014</t>
  </si>
  <si>
    <t>KRS019</t>
  </si>
  <si>
    <t>KRS024</t>
  </si>
  <si>
    <t>KRS029</t>
  </si>
  <si>
    <t>KRS034</t>
  </si>
  <si>
    <t>KRS039</t>
  </si>
  <si>
    <t>KRS044</t>
  </si>
  <si>
    <t>KRS049</t>
  </si>
  <si>
    <t>KRS054</t>
  </si>
  <si>
    <t>KRS059</t>
  </si>
  <si>
    <t>KRS064</t>
  </si>
  <si>
    <t>KRS074</t>
  </si>
  <si>
    <t>KRS005</t>
  </si>
  <si>
    <t>KRS010</t>
  </si>
  <si>
    <t>KRS015</t>
  </si>
  <si>
    <t>KRS035</t>
  </si>
  <si>
    <t>KCS001</t>
  </si>
  <si>
    <t>KCS002</t>
  </si>
  <si>
    <t>KCS003</t>
  </si>
  <si>
    <t>KCS004</t>
  </si>
  <si>
    <t>KCS005</t>
  </si>
  <si>
    <t>KCS006</t>
  </si>
  <si>
    <t>KCS007</t>
  </si>
  <si>
    <t>KCS008</t>
  </si>
  <si>
    <t>KCS009</t>
  </si>
  <si>
    <t>KCS010</t>
  </si>
  <si>
    <t>KCS011</t>
  </si>
  <si>
    <t>KCS012</t>
  </si>
  <si>
    <t>KCS013</t>
  </si>
  <si>
    <t>KCS015</t>
  </si>
  <si>
    <t>KPS001</t>
  </si>
  <si>
    <t>KPS006</t>
  </si>
  <si>
    <t>KPS011</t>
  </si>
  <si>
    <t>KPS016</t>
  </si>
  <si>
    <t>KPS021</t>
  </si>
  <si>
    <t>KPS026</t>
  </si>
  <si>
    <t>KPS031</t>
  </si>
  <si>
    <t>KPS036</t>
  </si>
  <si>
    <t>KPS041</t>
  </si>
  <si>
    <t>KPS046</t>
  </si>
  <si>
    <t>KPS051</t>
  </si>
  <si>
    <t>KPS056</t>
  </si>
  <si>
    <t>KPS061</t>
  </si>
  <si>
    <t>KPS071</t>
  </si>
  <si>
    <t>KPS002</t>
  </si>
  <si>
    <t>KPS007</t>
  </si>
  <si>
    <t>KPS012</t>
  </si>
  <si>
    <t>KPS017</t>
  </si>
  <si>
    <t>KPS022</t>
  </si>
  <si>
    <t>KPS027</t>
  </si>
  <si>
    <t>KPS032</t>
  </si>
  <si>
    <t>KPS037</t>
  </si>
  <si>
    <t>KPS042</t>
  </si>
  <si>
    <t>KPS047</t>
  </si>
  <si>
    <t>KPS052</t>
  </si>
  <si>
    <t>KPS057</t>
  </si>
  <si>
    <t>KPS062</t>
  </si>
  <si>
    <t>KPS072</t>
  </si>
  <si>
    <t>KPS003</t>
  </si>
  <si>
    <t>KPS008</t>
  </si>
  <si>
    <t>KPS013</t>
  </si>
  <si>
    <t>KPS018</t>
  </si>
  <si>
    <t>KPS023</t>
  </si>
  <si>
    <t>KPS028</t>
  </si>
  <si>
    <t>KPS033</t>
  </si>
  <si>
    <t>KPS038</t>
  </si>
  <si>
    <t>KPS043</t>
  </si>
  <si>
    <t>KPS048</t>
  </si>
  <si>
    <t>KPS053</t>
  </si>
  <si>
    <t>KPS058</t>
  </si>
  <si>
    <t>KPS063</t>
  </si>
  <si>
    <t>KPS073</t>
  </si>
  <si>
    <t>KPS004</t>
  </si>
  <si>
    <t>KPS009</t>
  </si>
  <si>
    <t>KPS014</t>
  </si>
  <si>
    <t>KPS019</t>
  </si>
  <si>
    <t>KPS024</t>
  </si>
  <si>
    <t>KPS029</t>
  </si>
  <si>
    <t>KPS034</t>
  </si>
  <si>
    <t>KPS039</t>
  </si>
  <si>
    <t>KPS044</t>
  </si>
  <si>
    <t>KPS049</t>
  </si>
  <si>
    <t>KPS054</t>
  </si>
  <si>
    <t>KPS059</t>
  </si>
  <si>
    <t>KPS064</t>
  </si>
  <si>
    <t>KPS074</t>
  </si>
  <si>
    <t>KPS005</t>
  </si>
  <si>
    <t>KPS010</t>
  </si>
  <si>
    <t>KPS015</t>
  </si>
  <si>
    <t>KPS035</t>
  </si>
  <si>
    <t>KPS050</t>
  </si>
  <si>
    <t>HILF17</t>
  </si>
  <si>
    <t>HILF27</t>
  </si>
  <si>
    <t>HILM12</t>
  </si>
  <si>
    <t>HILM22</t>
  </si>
  <si>
    <t>HILM32</t>
  </si>
  <si>
    <t>HILM42</t>
  </si>
  <si>
    <t>HT010</t>
  </si>
  <si>
    <t>HT015</t>
  </si>
  <si>
    <t>HT015B</t>
  </si>
  <si>
    <t>HT015L</t>
  </si>
  <si>
    <t>HT015R</t>
  </si>
  <si>
    <t>HT019</t>
  </si>
  <si>
    <t>TR012</t>
  </si>
  <si>
    <t>VI122</t>
  </si>
  <si>
    <t>VI270</t>
  </si>
  <si>
    <t>HT011P</t>
  </si>
  <si>
    <t>HT012P</t>
  </si>
  <si>
    <t>HT013P</t>
  </si>
  <si>
    <t>HT014P</t>
  </si>
  <si>
    <t>DE013</t>
  </si>
  <si>
    <t>HT015P</t>
  </si>
  <si>
    <t>HT017P</t>
  </si>
  <si>
    <t>HT018</t>
  </si>
  <si>
    <t>BAJAJ ROUSER 135</t>
  </si>
  <si>
    <t>BJR003</t>
  </si>
  <si>
    <t>BJR006</t>
  </si>
  <si>
    <t>BJR007</t>
  </si>
  <si>
    <t>BJR009</t>
  </si>
  <si>
    <t>BJR012</t>
  </si>
  <si>
    <t>BJR013</t>
  </si>
  <si>
    <t>BJR014</t>
  </si>
  <si>
    <t>BJR015</t>
  </si>
  <si>
    <t>BJR017</t>
  </si>
  <si>
    <t>BJR020</t>
  </si>
  <si>
    <t>BJR022</t>
  </si>
  <si>
    <t>BJR024</t>
  </si>
  <si>
    <t>BJR025</t>
  </si>
  <si>
    <t>BJR026</t>
  </si>
  <si>
    <t>BJR027</t>
  </si>
  <si>
    <t>BJR028</t>
  </si>
  <si>
    <t>BJR120</t>
  </si>
  <si>
    <t>BAJAJ ROUSER 220</t>
  </si>
  <si>
    <t>BJR203</t>
  </si>
  <si>
    <t>BJR205</t>
  </si>
  <si>
    <t>BJR206</t>
  </si>
  <si>
    <t>BJR207</t>
  </si>
  <si>
    <t>BJR210</t>
  </si>
  <si>
    <t>BJR214</t>
  </si>
  <si>
    <t>BJR215</t>
  </si>
  <si>
    <t>BJR216</t>
  </si>
  <si>
    <t>BJR217</t>
  </si>
  <si>
    <t>BJR220</t>
  </si>
  <si>
    <t>BJR224</t>
  </si>
  <si>
    <t>BJR225</t>
  </si>
  <si>
    <t>BJR226</t>
  </si>
  <si>
    <t>BJR228</t>
  </si>
  <si>
    <t>BJR230</t>
  </si>
  <si>
    <t>VHRS11</t>
  </si>
  <si>
    <t>HT020B</t>
  </si>
  <si>
    <t>HT020L</t>
  </si>
  <si>
    <t>HT020P</t>
  </si>
  <si>
    <t>HT020R</t>
  </si>
  <si>
    <t>CHV13</t>
  </si>
  <si>
    <t>CHV14</t>
  </si>
  <si>
    <t>CD011</t>
  </si>
  <si>
    <t>CD012</t>
  </si>
  <si>
    <t>CD013</t>
  </si>
  <si>
    <t>EC013</t>
  </si>
  <si>
    <t>EC014</t>
  </si>
  <si>
    <t>EC015</t>
  </si>
  <si>
    <t>ZG038</t>
  </si>
  <si>
    <t>ZG039</t>
  </si>
  <si>
    <t>ZG040</t>
  </si>
  <si>
    <t>WCA56</t>
  </si>
  <si>
    <t>WCA57</t>
  </si>
  <si>
    <t>WCA58</t>
  </si>
  <si>
    <t>WCA59</t>
  </si>
  <si>
    <t>WCA60</t>
  </si>
  <si>
    <t>WCA61</t>
  </si>
  <si>
    <t>WCE42</t>
  </si>
  <si>
    <t>WCE43</t>
  </si>
  <si>
    <t>WCE44</t>
  </si>
  <si>
    <t>WCE45</t>
  </si>
  <si>
    <t>WCE46</t>
  </si>
  <si>
    <t>WCV38</t>
  </si>
  <si>
    <t>WCV39</t>
  </si>
  <si>
    <t>CL010</t>
  </si>
  <si>
    <t>CL011</t>
  </si>
  <si>
    <t>CL012</t>
  </si>
  <si>
    <t>CL013</t>
  </si>
  <si>
    <t>CL015</t>
  </si>
  <si>
    <t>CL016</t>
  </si>
  <si>
    <t>CL017</t>
  </si>
  <si>
    <t>CL018</t>
  </si>
  <si>
    <t>CL019</t>
  </si>
  <si>
    <t>CL020</t>
  </si>
  <si>
    <t>ZJ116</t>
  </si>
  <si>
    <t>ZJ117</t>
  </si>
  <si>
    <t>ZJ118</t>
  </si>
  <si>
    <t>ZJ119</t>
  </si>
  <si>
    <t>ZJ239</t>
  </si>
  <si>
    <t>ZJ240</t>
  </si>
  <si>
    <t>ZJ241</t>
  </si>
  <si>
    <t>ZJ242</t>
  </si>
  <si>
    <t>ZE060</t>
  </si>
  <si>
    <t>ZE061</t>
  </si>
  <si>
    <t>CHT76</t>
  </si>
  <si>
    <t>CHT77</t>
  </si>
  <si>
    <t>CHT78</t>
  </si>
  <si>
    <t>HISB1</t>
  </si>
  <si>
    <t>HISB2</t>
  </si>
  <si>
    <t>HITB2</t>
  </si>
  <si>
    <t>HITB3</t>
  </si>
  <si>
    <t>HIVB1</t>
  </si>
  <si>
    <t>HIVB2</t>
  </si>
  <si>
    <t>HIVB3</t>
  </si>
  <si>
    <t>HIVB4</t>
  </si>
  <si>
    <t>KPS076</t>
  </si>
  <si>
    <t>KPS077</t>
  </si>
  <si>
    <t>KPS078</t>
  </si>
  <si>
    <t>KPS079</t>
  </si>
  <si>
    <t>KPS080</t>
  </si>
  <si>
    <t>KPS081</t>
  </si>
  <si>
    <t>KPS082</t>
  </si>
  <si>
    <t>KPS083</t>
  </si>
  <si>
    <t>KPS084</t>
  </si>
  <si>
    <t>KPS085</t>
  </si>
  <si>
    <t>KPS086</t>
  </si>
  <si>
    <t>KPS087</t>
  </si>
  <si>
    <t>KPS088</t>
  </si>
  <si>
    <t>KRS076</t>
  </si>
  <si>
    <t>KRS077</t>
  </si>
  <si>
    <t>KRS078</t>
  </si>
  <si>
    <t>KRS079</t>
  </si>
  <si>
    <t>KRS080</t>
  </si>
  <si>
    <t>KRS081</t>
  </si>
  <si>
    <t>KRS082</t>
  </si>
  <si>
    <t>KRS083</t>
  </si>
  <si>
    <t>KRS084</t>
  </si>
  <si>
    <t>KRS085</t>
  </si>
  <si>
    <t>KRS086</t>
  </si>
  <si>
    <t>KRS087</t>
  </si>
  <si>
    <t>KRS088</t>
  </si>
  <si>
    <t>KRS090</t>
  </si>
  <si>
    <t>FA002</t>
  </si>
  <si>
    <t>FA003</t>
  </si>
  <si>
    <t>WE14</t>
  </si>
  <si>
    <t>WE15</t>
  </si>
  <si>
    <t>WE13</t>
  </si>
  <si>
    <t>WE16</t>
  </si>
  <si>
    <t>BJR018</t>
  </si>
  <si>
    <t>BJR019</t>
  </si>
  <si>
    <t>BJR218</t>
  </si>
  <si>
    <t>BJR219</t>
  </si>
  <si>
    <t>ZA051</t>
  </si>
  <si>
    <t>SM016</t>
  </si>
  <si>
    <t>SM017</t>
  </si>
  <si>
    <t>SM018</t>
  </si>
  <si>
    <t>SM019</t>
  </si>
  <si>
    <t>SM020</t>
  </si>
  <si>
    <t>ZG011</t>
  </si>
  <si>
    <t>ZG012</t>
  </si>
  <si>
    <t>ZG009</t>
  </si>
  <si>
    <t>ZG017</t>
  </si>
  <si>
    <t>ZG018</t>
  </si>
  <si>
    <t>ZG019</t>
  </si>
  <si>
    <t>ZG020</t>
  </si>
  <si>
    <t>ZG021</t>
  </si>
  <si>
    <t>ZG022</t>
  </si>
  <si>
    <t>ZG024</t>
  </si>
  <si>
    <t>ZG025</t>
  </si>
  <si>
    <t>KPS091</t>
  </si>
  <si>
    <t>KPS092</t>
  </si>
  <si>
    <t>KPS093</t>
  </si>
  <si>
    <t>KPS094</t>
  </si>
  <si>
    <t>KPS095</t>
  </si>
  <si>
    <t>KPS096</t>
  </si>
  <si>
    <t>KPS097</t>
  </si>
  <si>
    <t>KPS098</t>
  </si>
  <si>
    <t>KPS099</t>
  </si>
  <si>
    <t>KPS100</t>
  </si>
  <si>
    <t>KPS101</t>
  </si>
  <si>
    <t>KPS102</t>
  </si>
  <si>
    <t>KPS105</t>
  </si>
  <si>
    <t>KRS091</t>
  </si>
  <si>
    <t>KRS092</t>
  </si>
  <si>
    <t>KRS093</t>
  </si>
  <si>
    <t>KRS094</t>
  </si>
  <si>
    <t>KRS095</t>
  </si>
  <si>
    <t>KRS096</t>
  </si>
  <si>
    <t>KRS097</t>
  </si>
  <si>
    <t>KRS098</t>
  </si>
  <si>
    <t>KRS099</t>
  </si>
  <si>
    <t>KRS100</t>
  </si>
  <si>
    <t>KRS101</t>
  </si>
  <si>
    <t>KRS105</t>
  </si>
  <si>
    <t>CHP21</t>
  </si>
  <si>
    <t>CHP22</t>
  </si>
  <si>
    <t>CHR13</t>
  </si>
  <si>
    <t>CHR14</t>
  </si>
  <si>
    <t>CHR15</t>
  </si>
  <si>
    <t>CHR16</t>
  </si>
  <si>
    <t>CHR17</t>
  </si>
  <si>
    <t>CHG07</t>
  </si>
  <si>
    <t>CHG08</t>
  </si>
  <si>
    <t>CHG09</t>
  </si>
  <si>
    <t>CHG10</t>
  </si>
  <si>
    <t>CHG11</t>
  </si>
  <si>
    <t>CHG12</t>
  </si>
  <si>
    <t>CHG13</t>
  </si>
  <si>
    <t>CHG14</t>
  </si>
  <si>
    <t>CHG15</t>
  </si>
  <si>
    <t>CHG16</t>
  </si>
  <si>
    <t>CHG19</t>
  </si>
  <si>
    <t>HT092</t>
  </si>
  <si>
    <t>HT105</t>
  </si>
  <si>
    <t>HT109</t>
  </si>
  <si>
    <t>CHV15</t>
  </si>
  <si>
    <t>ZL033</t>
  </si>
  <si>
    <t>WCN01</t>
  </si>
  <si>
    <t>WCN02</t>
  </si>
  <si>
    <t>HILB12</t>
  </si>
  <si>
    <t xml:space="preserve">TOTAL </t>
  </si>
  <si>
    <t>TOTAL C/IVA</t>
  </si>
  <si>
    <t>PEDIDO MERCOMAX S.A.</t>
  </si>
  <si>
    <t>TOTAL ORDEN</t>
  </si>
  <si>
    <t>HT085</t>
  </si>
  <si>
    <t>HT084</t>
  </si>
  <si>
    <t>FFLB12</t>
  </si>
  <si>
    <t>FFLB22</t>
  </si>
  <si>
    <t>FFLB32</t>
  </si>
  <si>
    <t>FFLB42</t>
  </si>
  <si>
    <t>FFLF47</t>
  </si>
  <si>
    <t>HH36</t>
  </si>
  <si>
    <t>BAJAJ ROUSER 200 NS</t>
  </si>
  <si>
    <t>BJR303</t>
  </si>
  <si>
    <t>BJR304</t>
  </si>
  <si>
    <t>BJR305</t>
  </si>
  <si>
    <t>BJR306</t>
  </si>
  <si>
    <t>BJR307</t>
  </si>
  <si>
    <t>BJR308</t>
  </si>
  <si>
    <t>BJR310</t>
  </si>
  <si>
    <t>BJR311</t>
  </si>
  <si>
    <t>BJR312</t>
  </si>
  <si>
    <t>BJR313</t>
  </si>
  <si>
    <t>BJR314</t>
  </si>
  <si>
    <t>BJR315</t>
  </si>
  <si>
    <t>BJR317</t>
  </si>
  <si>
    <t>BJR318</t>
  </si>
  <si>
    <t>BJR319</t>
  </si>
  <si>
    <t>BJR320</t>
  </si>
  <si>
    <t>BJR321</t>
  </si>
  <si>
    <t>BJR322</t>
  </si>
  <si>
    <t>BJR324</t>
  </si>
  <si>
    <t>BJR325</t>
  </si>
  <si>
    <t>BJR326</t>
  </si>
  <si>
    <t>BJR327</t>
  </si>
  <si>
    <t>BJR328</t>
  </si>
  <si>
    <t>ZA053</t>
  </si>
  <si>
    <t>ZA054</t>
  </si>
  <si>
    <t>SM021</t>
  </si>
  <si>
    <t>SM022</t>
  </si>
  <si>
    <t>H5NL12</t>
  </si>
  <si>
    <t>H5NL22</t>
  </si>
  <si>
    <t>H5NL32</t>
  </si>
  <si>
    <t>H5NL42</t>
  </si>
  <si>
    <t>H5NL11</t>
  </si>
  <si>
    <t>H5NL21</t>
  </si>
  <si>
    <t>H5NL31</t>
  </si>
  <si>
    <t>H5NL41</t>
  </si>
  <si>
    <t>H5NL13</t>
  </si>
  <si>
    <t>H5NL23</t>
  </si>
  <si>
    <t>H5NL33</t>
  </si>
  <si>
    <t>H5NL43</t>
  </si>
  <si>
    <t>VH057</t>
  </si>
  <si>
    <t>CHV16</t>
  </si>
  <si>
    <t>FFLM12</t>
  </si>
  <si>
    <t>FFLM22</t>
  </si>
  <si>
    <t>FFLM32</t>
  </si>
  <si>
    <t>FFLM42</t>
  </si>
  <si>
    <t>FCR013</t>
  </si>
  <si>
    <t>FCR014</t>
  </si>
  <si>
    <t>WPS01</t>
  </si>
  <si>
    <t>WPS02</t>
  </si>
  <si>
    <t>WPS03</t>
  </si>
  <si>
    <t>WPS04</t>
  </si>
  <si>
    <t>WPS05</t>
  </si>
  <si>
    <t>HT100</t>
  </si>
  <si>
    <t>YX12</t>
  </si>
  <si>
    <t>YX114</t>
  </si>
  <si>
    <t>YX186</t>
  </si>
  <si>
    <t>YX22</t>
  </si>
  <si>
    <t>BJR316</t>
  </si>
  <si>
    <t>CLP001</t>
  </si>
  <si>
    <t>CLP002</t>
  </si>
  <si>
    <t>CLP003</t>
  </si>
  <si>
    <t>CLP004</t>
  </si>
  <si>
    <t>CLP005</t>
  </si>
  <si>
    <t>CLP006</t>
  </si>
  <si>
    <t>CLP007</t>
  </si>
  <si>
    <t>CLP008</t>
  </si>
  <si>
    <t>CLP009</t>
  </si>
  <si>
    <t>CLP010</t>
  </si>
  <si>
    <t>KRS102</t>
  </si>
  <si>
    <t>KRS103</t>
  </si>
  <si>
    <t>J034</t>
  </si>
  <si>
    <t>J037</t>
  </si>
  <si>
    <t>J099</t>
  </si>
  <si>
    <t>TY123</t>
  </si>
  <si>
    <t>TY460P</t>
  </si>
  <si>
    <t>TY3891</t>
  </si>
  <si>
    <t>YX30</t>
  </si>
  <si>
    <t>KCS023</t>
  </si>
  <si>
    <t>VHRS11A</t>
  </si>
  <si>
    <t>ZJ233</t>
  </si>
  <si>
    <t>BBZ001</t>
  </si>
  <si>
    <t>BBZ002</t>
  </si>
  <si>
    <t>BBZ003</t>
  </si>
  <si>
    <t>BBZ004</t>
  </si>
  <si>
    <t>BBZ005</t>
  </si>
  <si>
    <t>BBZ006</t>
  </si>
  <si>
    <t>BBZ007</t>
  </si>
  <si>
    <t>BBZ008</t>
  </si>
  <si>
    <t>BBZ010</t>
  </si>
  <si>
    <t>BBZ012</t>
  </si>
  <si>
    <t>HALM12</t>
  </si>
  <si>
    <t>HALM22</t>
  </si>
  <si>
    <t>HALM32</t>
  </si>
  <si>
    <t>HALM42</t>
  </si>
  <si>
    <t>CPRK16</t>
  </si>
  <si>
    <t>VB721A</t>
  </si>
  <si>
    <t>VB721AM</t>
  </si>
  <si>
    <t>BDG19</t>
  </si>
  <si>
    <t>BDG20</t>
  </si>
  <si>
    <t>BDG34</t>
  </si>
  <si>
    <t>BDG40</t>
  </si>
  <si>
    <t>VHRS1</t>
  </si>
  <si>
    <t>VHRS1A</t>
  </si>
  <si>
    <t>PAG. CATALOGO</t>
  </si>
  <si>
    <t>MOTOMEL SKUA 150V6</t>
  </si>
  <si>
    <t>MSK011</t>
  </si>
  <si>
    <t>MSK042</t>
  </si>
  <si>
    <t>MSK082</t>
  </si>
  <si>
    <t>MSK101</t>
  </si>
  <si>
    <t>MSK049</t>
  </si>
  <si>
    <t>MSK062</t>
  </si>
  <si>
    <t>MSK090</t>
  </si>
  <si>
    <t>MSK091</t>
  </si>
  <si>
    <t>WCA68</t>
  </si>
  <si>
    <t>WCE52</t>
  </si>
  <si>
    <t>WCV45</t>
  </si>
  <si>
    <t>MSK060</t>
  </si>
  <si>
    <t>MSK003AZ</t>
  </si>
  <si>
    <t>MSK003BL</t>
  </si>
  <si>
    <t>MSK003NE</t>
  </si>
  <si>
    <t>MSK003RO</t>
  </si>
  <si>
    <t>MSK001AZ</t>
  </si>
  <si>
    <t>MSK001BL</t>
  </si>
  <si>
    <t>MSK001NE</t>
  </si>
  <si>
    <t>MSK001RO</t>
  </si>
  <si>
    <t>MSK004AZ</t>
  </si>
  <si>
    <t>MSK004BL</t>
  </si>
  <si>
    <t>MSK004NE</t>
  </si>
  <si>
    <t>MSK004RO</t>
  </si>
  <si>
    <t>MSK002AZ</t>
  </si>
  <si>
    <t>MSK002BL</t>
  </si>
  <si>
    <t>MSK002NE</t>
  </si>
  <si>
    <t>MSK002RO</t>
  </si>
  <si>
    <t>MSK069</t>
  </si>
  <si>
    <t>MSK037</t>
  </si>
  <si>
    <t>MSK044</t>
  </si>
  <si>
    <t>MSK065</t>
  </si>
  <si>
    <t>MSK005</t>
  </si>
  <si>
    <t>MSK029</t>
  </si>
  <si>
    <t>MSK113</t>
  </si>
  <si>
    <t>MSK110</t>
  </si>
  <si>
    <t>MSK087</t>
  </si>
  <si>
    <t>MSK109</t>
  </si>
  <si>
    <t>MSK008</t>
  </si>
  <si>
    <t>MSK013</t>
  </si>
  <si>
    <t>MSK014</t>
  </si>
  <si>
    <t>MSK010</t>
  </si>
  <si>
    <t>MSK074</t>
  </si>
  <si>
    <t>MSK104</t>
  </si>
  <si>
    <t>MSK075</t>
  </si>
  <si>
    <t>MSK079</t>
  </si>
  <si>
    <t>MSK107</t>
  </si>
  <si>
    <t>MSK111</t>
  </si>
  <si>
    <t>MSK081</t>
  </si>
  <si>
    <t>MSK012</t>
  </si>
  <si>
    <t>MSK018</t>
  </si>
  <si>
    <t>MSK032</t>
  </si>
  <si>
    <t>MSK085</t>
  </si>
  <si>
    <t>MSK006AZ</t>
  </si>
  <si>
    <t>MSK006BL</t>
  </si>
  <si>
    <t>MSK006NE</t>
  </si>
  <si>
    <t>MSK006RO</t>
  </si>
  <si>
    <t>MSK007</t>
  </si>
  <si>
    <t>MSK023</t>
  </si>
  <si>
    <t>MSK024</t>
  </si>
  <si>
    <t>MSK071</t>
  </si>
  <si>
    <t>MSK070</t>
  </si>
  <si>
    <t>MSK105</t>
  </si>
  <si>
    <t>MSK115</t>
  </si>
  <si>
    <t>MSK067</t>
  </si>
  <si>
    <t>MSK094</t>
  </si>
  <si>
    <t>MSK083</t>
  </si>
  <si>
    <t>MSK038</t>
  </si>
  <si>
    <t>MSK120</t>
  </si>
  <si>
    <t>MSK119</t>
  </si>
  <si>
    <t>MSK047</t>
  </si>
  <si>
    <t>MSK092</t>
  </si>
  <si>
    <t>MSK068</t>
  </si>
  <si>
    <t>MSK086</t>
  </si>
  <si>
    <t>MSK095</t>
  </si>
  <si>
    <t>MSK035</t>
  </si>
  <si>
    <t>MSK098</t>
  </si>
  <si>
    <t>MSK097</t>
  </si>
  <si>
    <t>MSK103</t>
  </si>
  <si>
    <t>MSK093</t>
  </si>
  <si>
    <t>MSK056</t>
  </si>
  <si>
    <t>MSK055</t>
  </si>
  <si>
    <t>MSK015</t>
  </si>
  <si>
    <t>MSK019</t>
  </si>
  <si>
    <t>MSK084</t>
  </si>
  <si>
    <t>MSK009</t>
  </si>
  <si>
    <t>MSK043</t>
  </si>
  <si>
    <t>MSK106</t>
  </si>
  <si>
    <t>MSK073</t>
  </si>
  <si>
    <t>MSK066</t>
  </si>
  <si>
    <t>MSK064</t>
  </si>
  <si>
    <t>MSK100</t>
  </si>
  <si>
    <t>MSK063</t>
  </si>
  <si>
    <t>MSK096</t>
  </si>
  <si>
    <t>MSK077</t>
  </si>
  <si>
    <t>MSK080</t>
  </si>
  <si>
    <t>MSK076</t>
  </si>
  <si>
    <t>MSK021</t>
  </si>
  <si>
    <t>MSK022</t>
  </si>
  <si>
    <t>MSK048</t>
  </si>
  <si>
    <t>MSK072</t>
  </si>
  <si>
    <t>MSK059</t>
  </si>
  <si>
    <t>MSK025</t>
  </si>
  <si>
    <t>MSK016</t>
  </si>
  <si>
    <t>MSK052</t>
  </si>
  <si>
    <t>MSK057</t>
  </si>
  <si>
    <t>MSK046</t>
  </si>
  <si>
    <t>MSK017</t>
  </si>
  <si>
    <t>MSK028</t>
  </si>
  <si>
    <t>MSK089</t>
  </si>
  <si>
    <t>MSK054</t>
  </si>
  <si>
    <t>MSK053</t>
  </si>
  <si>
    <t>MSK036</t>
  </si>
  <si>
    <t>MSK026</t>
  </si>
  <si>
    <t>MSK031</t>
  </si>
  <si>
    <t>MSK051</t>
  </si>
  <si>
    <t>MSK088</t>
  </si>
  <si>
    <t>MSK099</t>
  </si>
  <si>
    <t>MSK112</t>
  </si>
  <si>
    <t>HILBN12</t>
  </si>
  <si>
    <t>HILBN22</t>
  </si>
  <si>
    <t>HILBN32</t>
  </si>
  <si>
    <t>HILBN42</t>
  </si>
  <si>
    <t>HILMN12</t>
  </si>
  <si>
    <t>HILMN22</t>
  </si>
  <si>
    <t>HILMN32</t>
  </si>
  <si>
    <t>HILMN42</t>
  </si>
  <si>
    <t>HBU001</t>
  </si>
  <si>
    <t>HBU002</t>
  </si>
  <si>
    <t>HBU003</t>
  </si>
  <si>
    <t>HBU004</t>
  </si>
  <si>
    <t>HBU005</t>
  </si>
  <si>
    <t>HBU007</t>
  </si>
  <si>
    <t>HBU008</t>
  </si>
  <si>
    <t>HBU009</t>
  </si>
  <si>
    <t>HBU010</t>
  </si>
  <si>
    <t>KCS024</t>
  </si>
  <si>
    <t>YX194</t>
  </si>
  <si>
    <t>YX195</t>
  </si>
  <si>
    <t>LAD11</t>
  </si>
  <si>
    <t>LAD13</t>
  </si>
  <si>
    <t>LAT11</t>
  </si>
  <si>
    <t>LAT13</t>
  </si>
  <si>
    <t>HAGM12</t>
  </si>
  <si>
    <t>HAGM22</t>
  </si>
  <si>
    <t>HAGM32</t>
  </si>
  <si>
    <t>HAGM42</t>
  </si>
  <si>
    <t>HAGB151</t>
  </si>
  <si>
    <t>HAGB251</t>
  </si>
  <si>
    <t>HAGB351</t>
  </si>
  <si>
    <t>HAGB451</t>
  </si>
  <si>
    <t>H5NL18</t>
  </si>
  <si>
    <t>H5NL28</t>
  </si>
  <si>
    <t>H5NL38</t>
  </si>
  <si>
    <t>H5NL48</t>
  </si>
  <si>
    <t>VH057A</t>
  </si>
  <si>
    <t>HIGM150</t>
  </si>
  <si>
    <t>HIGM250</t>
  </si>
  <si>
    <t>HIGM350</t>
  </si>
  <si>
    <t>HIGM450</t>
  </si>
  <si>
    <t>VB721BM</t>
  </si>
  <si>
    <t>VB721T</t>
  </si>
  <si>
    <t>WCC09</t>
  </si>
  <si>
    <t>WCF21</t>
  </si>
  <si>
    <t>HIGM14</t>
  </si>
  <si>
    <t>HIGM24</t>
  </si>
  <si>
    <t>HIGM34</t>
  </si>
  <si>
    <t>HIGM44</t>
  </si>
  <si>
    <t>LAD02</t>
  </si>
  <si>
    <t>LAD03</t>
  </si>
  <si>
    <t>LAD04</t>
  </si>
  <si>
    <t>LAD05</t>
  </si>
  <si>
    <t>LAD08</t>
  </si>
  <si>
    <t>LAD09</t>
  </si>
  <si>
    <t>LAT02</t>
  </si>
  <si>
    <t>LAT04</t>
  </si>
  <si>
    <t>LAT05</t>
  </si>
  <si>
    <t>LAT09</t>
  </si>
  <si>
    <t>LAT10</t>
  </si>
  <si>
    <t>LCD002</t>
  </si>
  <si>
    <t>LCD003</t>
  </si>
  <si>
    <t>LCD005</t>
  </si>
  <si>
    <t>LCD006</t>
  </si>
  <si>
    <t>LCT001</t>
  </si>
  <si>
    <t>LCT003</t>
  </si>
  <si>
    <t>LCT004</t>
  </si>
  <si>
    <t>LCT006</t>
  </si>
  <si>
    <t>AM010</t>
  </si>
  <si>
    <t>AM012</t>
  </si>
  <si>
    <t>ASI002</t>
  </si>
  <si>
    <t>BJR329</t>
  </si>
  <si>
    <t>BJR331</t>
  </si>
  <si>
    <t>BJR332</t>
  </si>
  <si>
    <t>BJR334</t>
  </si>
  <si>
    <t>BJR335</t>
  </si>
  <si>
    <t>CAN04</t>
  </si>
  <si>
    <t>CD015</t>
  </si>
  <si>
    <t>CDA001</t>
  </si>
  <si>
    <t>CDI07</t>
  </si>
  <si>
    <t>CHG27</t>
  </si>
  <si>
    <t>CHP26</t>
  </si>
  <si>
    <t>CHR19</t>
  </si>
  <si>
    <t>CHT83</t>
  </si>
  <si>
    <t>CHT90</t>
  </si>
  <si>
    <t>CHT92</t>
  </si>
  <si>
    <t>CHT93</t>
  </si>
  <si>
    <t>CHX01</t>
  </si>
  <si>
    <t>CHX02</t>
  </si>
  <si>
    <t>CL021</t>
  </si>
  <si>
    <t>CL022</t>
  </si>
  <si>
    <t>CL026</t>
  </si>
  <si>
    <t>CL027</t>
  </si>
  <si>
    <t>CL028</t>
  </si>
  <si>
    <t>DF001</t>
  </si>
  <si>
    <t>DF002</t>
  </si>
  <si>
    <t>EJD01</t>
  </si>
  <si>
    <t>EJD06</t>
  </si>
  <si>
    <t>EJT01</t>
  </si>
  <si>
    <t>EJT06</t>
  </si>
  <si>
    <t>ES006</t>
  </si>
  <si>
    <t>ES011</t>
  </si>
  <si>
    <t>ES012</t>
  </si>
  <si>
    <t>FIF07</t>
  </si>
  <si>
    <t>FT030</t>
  </si>
  <si>
    <t>FXE001</t>
  </si>
  <si>
    <t>GB001AC</t>
  </si>
  <si>
    <t>GB001AZ</t>
  </si>
  <si>
    <t>GB001BO</t>
  </si>
  <si>
    <t>GB001NE</t>
  </si>
  <si>
    <t>GB002</t>
  </si>
  <si>
    <t>GB004</t>
  </si>
  <si>
    <t>HET219</t>
  </si>
  <si>
    <t>HXR112</t>
  </si>
  <si>
    <t>HXR126</t>
  </si>
  <si>
    <t>MAN02</t>
  </si>
  <si>
    <t>MAN07</t>
  </si>
  <si>
    <t>MAN08</t>
  </si>
  <si>
    <t>MSK121AZ</t>
  </si>
  <si>
    <t>MSK121BL</t>
  </si>
  <si>
    <t>MSK121NE</t>
  </si>
  <si>
    <t>MSK121RO</t>
  </si>
  <si>
    <t>MSK122AZ</t>
  </si>
  <si>
    <t>MSK122BL</t>
  </si>
  <si>
    <t>MSK122NE</t>
  </si>
  <si>
    <t>MSK122RO</t>
  </si>
  <si>
    <t>MSK123</t>
  </si>
  <si>
    <t>MSK124</t>
  </si>
  <si>
    <t>MSK125</t>
  </si>
  <si>
    <t>MSK126</t>
  </si>
  <si>
    <t>MSK127</t>
  </si>
  <si>
    <t>MSK129</t>
  </si>
  <si>
    <t>MSK131</t>
  </si>
  <si>
    <t>MUL001</t>
  </si>
  <si>
    <t>PAB16</t>
  </si>
  <si>
    <t>PAX12</t>
  </si>
  <si>
    <t>PC010</t>
  </si>
  <si>
    <t>RA001</t>
  </si>
  <si>
    <t>RA006</t>
  </si>
  <si>
    <t>REV04</t>
  </si>
  <si>
    <t>RV002</t>
  </si>
  <si>
    <t>SM029</t>
  </si>
  <si>
    <t>TRM001</t>
  </si>
  <si>
    <t>VAF02</t>
  </si>
  <si>
    <t>VAF05</t>
  </si>
  <si>
    <t>VAF06</t>
  </si>
  <si>
    <t>WE17</t>
  </si>
  <si>
    <t>WH17</t>
  </si>
  <si>
    <t>WPS08</t>
  </si>
  <si>
    <t>WR12</t>
  </si>
  <si>
    <t>WR13</t>
  </si>
  <si>
    <t>WR15</t>
  </si>
  <si>
    <t>WY126</t>
  </si>
  <si>
    <t>WY127</t>
  </si>
  <si>
    <t>ZA059</t>
  </si>
  <si>
    <t>ZA060</t>
  </si>
  <si>
    <t>ZE066</t>
  </si>
  <si>
    <t>ZL034</t>
  </si>
  <si>
    <t>ZL037</t>
  </si>
  <si>
    <t>ZR046</t>
  </si>
  <si>
    <t>HIGM152</t>
  </si>
  <si>
    <t>HIGM252</t>
  </si>
  <si>
    <t>HIGM352</t>
  </si>
  <si>
    <t>HIGM452</t>
  </si>
  <si>
    <t>CPJ115</t>
  </si>
  <si>
    <t>ZZ011</t>
  </si>
  <si>
    <t>CHR20</t>
  </si>
  <si>
    <t>CHT82</t>
  </si>
  <si>
    <t>EJC001</t>
  </si>
  <si>
    <t>SAX001</t>
  </si>
  <si>
    <t>SAX002</t>
  </si>
  <si>
    <t>SAX003</t>
  </si>
  <si>
    <t>SAX004</t>
  </si>
  <si>
    <t>SAX005</t>
  </si>
  <si>
    <t>SAX007</t>
  </si>
  <si>
    <t>SAX008</t>
  </si>
  <si>
    <t>SAX010AC</t>
  </si>
  <si>
    <t>SAX010AZ</t>
  </si>
  <si>
    <t>SAX010GR</t>
  </si>
  <si>
    <t>SAX010NE</t>
  </si>
  <si>
    <t>SAX010RO</t>
  </si>
  <si>
    <t>SAX011AC</t>
  </si>
  <si>
    <t>SAX011AZ</t>
  </si>
  <si>
    <t>SAX011GR</t>
  </si>
  <si>
    <t>SAX011NE</t>
  </si>
  <si>
    <t>SAX011RO</t>
  </si>
  <si>
    <t>SAX012</t>
  </si>
  <si>
    <t>SAX013AC</t>
  </si>
  <si>
    <t>SAX013AZ</t>
  </si>
  <si>
    <t>SAX013GR</t>
  </si>
  <si>
    <t>SAX013NE</t>
  </si>
  <si>
    <t>SAX013RO</t>
  </si>
  <si>
    <t>SAX014</t>
  </si>
  <si>
    <t>SAX017</t>
  </si>
  <si>
    <t>SAX018</t>
  </si>
  <si>
    <t>SAX019</t>
  </si>
  <si>
    <t>SAX020</t>
  </si>
  <si>
    <t>SAX021</t>
  </si>
  <si>
    <t>SAX022</t>
  </si>
  <si>
    <t>SAX023</t>
  </si>
  <si>
    <t>SAX024</t>
  </si>
  <si>
    <t>SAX027</t>
  </si>
  <si>
    <t>SAX029</t>
  </si>
  <si>
    <t>SAX030</t>
  </si>
  <si>
    <t>SAX032</t>
  </si>
  <si>
    <t>SAX034</t>
  </si>
  <si>
    <t>SAX035</t>
  </si>
  <si>
    <t>SAX036</t>
  </si>
  <si>
    <t>SAX038</t>
  </si>
  <si>
    <t>SAX040</t>
  </si>
  <si>
    <t>SAX042</t>
  </si>
  <si>
    <t>SAX044</t>
  </si>
  <si>
    <t>SAX045</t>
  </si>
  <si>
    <t>SAX046</t>
  </si>
  <si>
    <t>SAX047</t>
  </si>
  <si>
    <t>SAX048</t>
  </si>
  <si>
    <t>SAX049</t>
  </si>
  <si>
    <t>SAX050</t>
  </si>
  <si>
    <t>SAX051</t>
  </si>
  <si>
    <t>SAX052</t>
  </si>
  <si>
    <t>SAX054</t>
  </si>
  <si>
    <t>SAX056</t>
  </si>
  <si>
    <t>SAX057</t>
  </si>
  <si>
    <t>SAX059</t>
  </si>
  <si>
    <t>SAX060</t>
  </si>
  <si>
    <t>SAX061</t>
  </si>
  <si>
    <t>SAX062AZ</t>
  </si>
  <si>
    <t>SAX062GR</t>
  </si>
  <si>
    <t>SAX062NE</t>
  </si>
  <si>
    <t>SAX062RO</t>
  </si>
  <si>
    <t>SAX063</t>
  </si>
  <si>
    <t>SAX064</t>
  </si>
  <si>
    <t>SAX065</t>
  </si>
  <si>
    <t>SAX067</t>
  </si>
  <si>
    <t>SAX068</t>
  </si>
  <si>
    <t>SAX069</t>
  </si>
  <si>
    <t>SGN005</t>
  </si>
  <si>
    <t>ZI005</t>
  </si>
  <si>
    <t>SAX025</t>
  </si>
  <si>
    <t>SAX026</t>
  </si>
  <si>
    <t>KPS090</t>
  </si>
  <si>
    <t>KIT261</t>
  </si>
  <si>
    <t>KIT263</t>
  </si>
  <si>
    <t>KIT264</t>
  </si>
  <si>
    <t>KIT265</t>
  </si>
  <si>
    <t>KIT266</t>
  </si>
  <si>
    <t>KIT267</t>
  </si>
  <si>
    <t>KIT268</t>
  </si>
  <si>
    <t>KIT269</t>
  </si>
  <si>
    <t>KIT270</t>
  </si>
  <si>
    <t>KIT271</t>
  </si>
  <si>
    <t>KIT272</t>
  </si>
  <si>
    <t>KIT273</t>
  </si>
  <si>
    <t>KIT274</t>
  </si>
  <si>
    <t>GNF202</t>
  </si>
  <si>
    <t>GNF302</t>
  </si>
  <si>
    <t>GNF402</t>
  </si>
  <si>
    <t>GNF502</t>
  </si>
  <si>
    <t>GAS202</t>
  </si>
  <si>
    <t>GAS302</t>
  </si>
  <si>
    <t>GAS402</t>
  </si>
  <si>
    <t>GAS502</t>
  </si>
  <si>
    <t>GAS225</t>
  </si>
  <si>
    <t>GAS325</t>
  </si>
  <si>
    <t>GAS425</t>
  </si>
  <si>
    <t>GAS525</t>
  </si>
  <si>
    <t>GAS209</t>
  </si>
  <si>
    <t>GAS309</t>
  </si>
  <si>
    <t>GAS409</t>
  </si>
  <si>
    <t>GAS509</t>
  </si>
  <si>
    <t>GAF225</t>
  </si>
  <si>
    <t>GAF325</t>
  </si>
  <si>
    <t>GAF425</t>
  </si>
  <si>
    <t>GAF525</t>
  </si>
  <si>
    <t>GAF202</t>
  </si>
  <si>
    <t>GAF302</t>
  </si>
  <si>
    <t>GAF402</t>
  </si>
  <si>
    <t>GAF502</t>
  </si>
  <si>
    <t>GAF209</t>
  </si>
  <si>
    <t>GAF309</t>
  </si>
  <si>
    <t>GAF409</t>
  </si>
  <si>
    <t>GAF509</t>
  </si>
  <si>
    <t>GFF200</t>
  </si>
  <si>
    <t>GFF300</t>
  </si>
  <si>
    <t>GFF400</t>
  </si>
  <si>
    <t>GFF500</t>
  </si>
  <si>
    <t>GFF204</t>
  </si>
  <si>
    <t>GFF304</t>
  </si>
  <si>
    <t>GFF404</t>
  </si>
  <si>
    <t>GFF504</t>
  </si>
  <si>
    <t>GFF225</t>
  </si>
  <si>
    <t>GFF325</t>
  </si>
  <si>
    <t>GFF425</t>
  </si>
  <si>
    <t>GFF525</t>
  </si>
  <si>
    <t>AM011</t>
  </si>
  <si>
    <t>CHG21</t>
  </si>
  <si>
    <t>YX200</t>
  </si>
  <si>
    <t>SET</t>
  </si>
  <si>
    <t>ANT001</t>
  </si>
  <si>
    <t>ANT002</t>
  </si>
  <si>
    <t>ANT003</t>
  </si>
  <si>
    <t>ANT004</t>
  </si>
  <si>
    <t>ANT005</t>
  </si>
  <si>
    <t>ANT006</t>
  </si>
  <si>
    <t>MAS001</t>
  </si>
  <si>
    <t>MAS002</t>
  </si>
  <si>
    <t>MAS003</t>
  </si>
  <si>
    <t>MAS004</t>
  </si>
  <si>
    <t>MAS005</t>
  </si>
  <si>
    <t>MAS006</t>
  </si>
  <si>
    <t>BJR336</t>
  </si>
  <si>
    <t>CDI02</t>
  </si>
  <si>
    <t>CDI06</t>
  </si>
  <si>
    <t>HBZ020</t>
  </si>
  <si>
    <t>MSK130</t>
  </si>
  <si>
    <t>WCA63</t>
  </si>
  <si>
    <t>WCA65</t>
  </si>
  <si>
    <t>WCA66</t>
  </si>
  <si>
    <t>WCA67</t>
  </si>
  <si>
    <t>WCA70</t>
  </si>
  <si>
    <t>WCC15</t>
  </si>
  <si>
    <t>WCC16</t>
  </si>
  <si>
    <t>WCC17</t>
  </si>
  <si>
    <t>WCE47</t>
  </si>
  <si>
    <t>WCE48</t>
  </si>
  <si>
    <t>WCE49</t>
  </si>
  <si>
    <t>WCE50</t>
  </si>
  <si>
    <t>WCF55</t>
  </si>
  <si>
    <t>WCV41</t>
  </si>
  <si>
    <t>WCV42</t>
  </si>
  <si>
    <t>WCV44</t>
  </si>
  <si>
    <t>WCV47</t>
  </si>
  <si>
    <t>ZW168</t>
  </si>
  <si>
    <t>ACE001</t>
  </si>
  <si>
    <t>BAU001</t>
  </si>
  <si>
    <t>BEN001</t>
  </si>
  <si>
    <t>BEN002</t>
  </si>
  <si>
    <t>BFT001</t>
  </si>
  <si>
    <t>BUL001</t>
  </si>
  <si>
    <t>BUL002</t>
  </si>
  <si>
    <t>BUL003</t>
  </si>
  <si>
    <t>CAL001</t>
  </si>
  <si>
    <t>CDI08</t>
  </si>
  <si>
    <t>CES001</t>
  </si>
  <si>
    <t>CHA04</t>
  </si>
  <si>
    <t>CHG29</t>
  </si>
  <si>
    <t>CHP28</t>
  </si>
  <si>
    <t>CHT94</t>
  </si>
  <si>
    <t>CHT95</t>
  </si>
  <si>
    <t>EJH001</t>
  </si>
  <si>
    <t>ES013</t>
  </si>
  <si>
    <t>ES014</t>
  </si>
  <si>
    <t>ESC001</t>
  </si>
  <si>
    <t>ESC002</t>
  </si>
  <si>
    <t>FLN001</t>
  </si>
  <si>
    <t>FLN002</t>
  </si>
  <si>
    <t>FXE003</t>
  </si>
  <si>
    <t>FXE004</t>
  </si>
  <si>
    <t>GA013</t>
  </si>
  <si>
    <t>HOT001</t>
  </si>
  <si>
    <t>HOT002</t>
  </si>
  <si>
    <t>LEC002</t>
  </si>
  <si>
    <t>LEC003</t>
  </si>
  <si>
    <t>LEV001</t>
  </si>
  <si>
    <t>MAN010</t>
  </si>
  <si>
    <t>MAN011</t>
  </si>
  <si>
    <t>MUL003</t>
  </si>
  <si>
    <t>PAT001</t>
  </si>
  <si>
    <t>PBA001</t>
  </si>
  <si>
    <t>PPQ002</t>
  </si>
  <si>
    <t>RA007</t>
  </si>
  <si>
    <t>RA008</t>
  </si>
  <si>
    <t>RA009</t>
  </si>
  <si>
    <t>RS009</t>
  </si>
  <si>
    <t>RV005</t>
  </si>
  <si>
    <t>RV006</t>
  </si>
  <si>
    <t>RV007</t>
  </si>
  <si>
    <t>RV008</t>
  </si>
  <si>
    <t>SES001</t>
  </si>
  <si>
    <t>SOP001</t>
  </si>
  <si>
    <t>SOP002</t>
  </si>
  <si>
    <t>SOP003</t>
  </si>
  <si>
    <t>SOP004</t>
  </si>
  <si>
    <t>SPE001</t>
  </si>
  <si>
    <t>SPE002</t>
  </si>
  <si>
    <t>TAD001</t>
  </si>
  <si>
    <t>TAP001</t>
  </si>
  <si>
    <t>TMO003</t>
  </si>
  <si>
    <t>TRA001</t>
  </si>
  <si>
    <t>USB001</t>
  </si>
  <si>
    <t>WPS09</t>
  </si>
  <si>
    <t>WPS10</t>
  </si>
  <si>
    <t>WPS11</t>
  </si>
  <si>
    <t>ZA061</t>
  </si>
  <si>
    <t>ZA062</t>
  </si>
  <si>
    <t>ZE068</t>
  </si>
  <si>
    <t>ZI006</t>
  </si>
  <si>
    <t>ZI008</t>
  </si>
  <si>
    <t>ZI009</t>
  </si>
  <si>
    <t>ZI011</t>
  </si>
  <si>
    <t>ZI012</t>
  </si>
  <si>
    <t>ZI013</t>
  </si>
  <si>
    <t>ZI014</t>
  </si>
  <si>
    <t>ZI015</t>
  </si>
  <si>
    <t>ZL038</t>
  </si>
  <si>
    <t>PACGC</t>
  </si>
  <si>
    <t>ZJ302</t>
  </si>
  <si>
    <t>AM008</t>
  </si>
  <si>
    <t>KT508</t>
  </si>
  <si>
    <t>KT508E</t>
  </si>
  <si>
    <t>KT509</t>
  </si>
  <si>
    <t>KT509E</t>
  </si>
  <si>
    <t>KT510</t>
  </si>
  <si>
    <t>KT510E</t>
  </si>
  <si>
    <t>KT511</t>
  </si>
  <si>
    <t>KT511E</t>
  </si>
  <si>
    <t>KT512</t>
  </si>
  <si>
    <t>KT512E</t>
  </si>
  <si>
    <t>KT518</t>
  </si>
  <si>
    <t>KT519</t>
  </si>
  <si>
    <t>KT520</t>
  </si>
  <si>
    <t>KT521</t>
  </si>
  <si>
    <t>KT522</t>
  </si>
  <si>
    <t>KT523</t>
  </si>
  <si>
    <t>KT524</t>
  </si>
  <si>
    <t>KT526</t>
  </si>
  <si>
    <t>KT527</t>
  </si>
  <si>
    <t>KT528</t>
  </si>
  <si>
    <t>KT529</t>
  </si>
  <si>
    <t>KT530</t>
  </si>
  <si>
    <t>KT530E</t>
  </si>
  <si>
    <t>KT531</t>
  </si>
  <si>
    <t>KT534</t>
  </si>
  <si>
    <t>KT535</t>
  </si>
  <si>
    <t>KT536</t>
  </si>
  <si>
    <t>KT538</t>
  </si>
  <si>
    <t>KT539</t>
  </si>
  <si>
    <t>KT540</t>
  </si>
  <si>
    <t>KT542</t>
  </si>
  <si>
    <t>KT543</t>
  </si>
  <si>
    <t>KT547</t>
  </si>
  <si>
    <t>KT548</t>
  </si>
  <si>
    <t>KT549</t>
  </si>
  <si>
    <t>KT549E</t>
  </si>
  <si>
    <t>KT551</t>
  </si>
  <si>
    <t>KT552</t>
  </si>
  <si>
    <t>ACT100</t>
  </si>
  <si>
    <t>ACT101</t>
  </si>
  <si>
    <t>ACT102</t>
  </si>
  <si>
    <t>ACT103</t>
  </si>
  <si>
    <t>ACT120</t>
  </si>
  <si>
    <t>ACT121</t>
  </si>
  <si>
    <t>ACT122</t>
  </si>
  <si>
    <t>ACT123</t>
  </si>
  <si>
    <t>ACT130</t>
  </si>
  <si>
    <t>ACT131</t>
  </si>
  <si>
    <t>ACT132</t>
  </si>
  <si>
    <t>ACT133</t>
  </si>
  <si>
    <t>ACT150</t>
  </si>
  <si>
    <t>ACT153</t>
  </si>
  <si>
    <t>VHRS1BM</t>
  </si>
  <si>
    <t>HLGB31</t>
  </si>
  <si>
    <t>HLGB41</t>
  </si>
  <si>
    <t>GWF202</t>
  </si>
  <si>
    <t>GWF302</t>
  </si>
  <si>
    <t>GWF402</t>
  </si>
  <si>
    <t>GWF502</t>
  </si>
  <si>
    <t>CHV25</t>
  </si>
  <si>
    <t>HWS001</t>
  </si>
  <si>
    <t>HWS003</t>
  </si>
  <si>
    <t>HWS004</t>
  </si>
  <si>
    <t>HWS005BL</t>
  </si>
  <si>
    <t>HWS005NE</t>
  </si>
  <si>
    <t>HWS005RO</t>
  </si>
  <si>
    <t>HWS006</t>
  </si>
  <si>
    <t>HWS007</t>
  </si>
  <si>
    <t>HWS008BL</t>
  </si>
  <si>
    <t>HWS008NE</t>
  </si>
  <si>
    <t>HWS008RO</t>
  </si>
  <si>
    <t>HWS009BL</t>
  </si>
  <si>
    <t>HWS009NE</t>
  </si>
  <si>
    <t>HWS009RO</t>
  </si>
  <si>
    <t>HWS010</t>
  </si>
  <si>
    <t>HWS011</t>
  </si>
  <si>
    <t>HWS012BL</t>
  </si>
  <si>
    <t>HWS012NE</t>
  </si>
  <si>
    <t>HWS012RO</t>
  </si>
  <si>
    <t>HWS013BL</t>
  </si>
  <si>
    <t>HWS013NE</t>
  </si>
  <si>
    <t>HWS013RO</t>
  </si>
  <si>
    <t>HWS014</t>
  </si>
  <si>
    <t>HWS015</t>
  </si>
  <si>
    <t>HWS016</t>
  </si>
  <si>
    <t>HWS017</t>
  </si>
  <si>
    <t>HWS018BL</t>
  </si>
  <si>
    <t>HWS018RO</t>
  </si>
  <si>
    <t>HWS019BL</t>
  </si>
  <si>
    <t>HWS019NE</t>
  </si>
  <si>
    <t>HWS019RO</t>
  </si>
  <si>
    <t>HWS020</t>
  </si>
  <si>
    <t>HWS021</t>
  </si>
  <si>
    <t>HWS022</t>
  </si>
  <si>
    <t>HWS023</t>
  </si>
  <si>
    <t>HWS024</t>
  </si>
  <si>
    <t>HWS025</t>
  </si>
  <si>
    <t>HWS026</t>
  </si>
  <si>
    <t>HWS027</t>
  </si>
  <si>
    <t>HWS029</t>
  </si>
  <si>
    <t>HWS031</t>
  </si>
  <si>
    <t>HWS032</t>
  </si>
  <si>
    <t>HWS034</t>
  </si>
  <si>
    <t>HWS035</t>
  </si>
  <si>
    <t>HWS036</t>
  </si>
  <si>
    <t>HWS038</t>
  </si>
  <si>
    <t>HWS039</t>
  </si>
  <si>
    <t>HWS040</t>
  </si>
  <si>
    <t>HWS041</t>
  </si>
  <si>
    <t>HWS042</t>
  </si>
  <si>
    <t>HWS043</t>
  </si>
  <si>
    <t>HWS044</t>
  </si>
  <si>
    <t>HWS045</t>
  </si>
  <si>
    <t>HWS046</t>
  </si>
  <si>
    <t>HWS047</t>
  </si>
  <si>
    <t>HWS048</t>
  </si>
  <si>
    <t>HWS055</t>
  </si>
  <si>
    <t>HWS057</t>
  </si>
  <si>
    <t>HWS058</t>
  </si>
  <si>
    <t>HWS061</t>
  </si>
  <si>
    <t>HWS063</t>
  </si>
  <si>
    <t>HWS064</t>
  </si>
  <si>
    <t>HWS065</t>
  </si>
  <si>
    <t>HWS066</t>
  </si>
  <si>
    <t>HWS067</t>
  </si>
  <si>
    <t>HWS068</t>
  </si>
  <si>
    <t>HWS069</t>
  </si>
  <si>
    <t>HWS070</t>
  </si>
  <si>
    <t>HWS076</t>
  </si>
  <si>
    <t>HWS077</t>
  </si>
  <si>
    <t>HWS080</t>
  </si>
  <si>
    <t>HWS082</t>
  </si>
  <si>
    <t>HWS085</t>
  </si>
  <si>
    <t>HWS089</t>
  </si>
  <si>
    <t>HWS097</t>
  </si>
  <si>
    <t>HWS099</t>
  </si>
  <si>
    <t>HWS101</t>
  </si>
  <si>
    <t>HWS105</t>
  </si>
  <si>
    <t>HWS106</t>
  </si>
  <si>
    <t>HWS107</t>
  </si>
  <si>
    <t>HWS113</t>
  </si>
  <si>
    <t>HWS115</t>
  </si>
  <si>
    <t>HWS117</t>
  </si>
  <si>
    <t>HWS122</t>
  </si>
  <si>
    <t>HWS125</t>
  </si>
  <si>
    <t>HWS137</t>
  </si>
  <si>
    <t>HWS138</t>
  </si>
  <si>
    <t>HWS141</t>
  </si>
  <si>
    <t>HWS151</t>
  </si>
  <si>
    <t>HWS153</t>
  </si>
  <si>
    <t>HWS154</t>
  </si>
  <si>
    <t>HWS157</t>
  </si>
  <si>
    <t>HWS158</t>
  </si>
  <si>
    <t>HWS159</t>
  </si>
  <si>
    <t>HWS164</t>
  </si>
  <si>
    <t>HWS167</t>
  </si>
  <si>
    <t>HWS168</t>
  </si>
  <si>
    <t>HWS169</t>
  </si>
  <si>
    <t>HWS170</t>
  </si>
  <si>
    <t>HWS172</t>
  </si>
  <si>
    <t>HWS174</t>
  </si>
  <si>
    <t>HWS175</t>
  </si>
  <si>
    <t>HWS177</t>
  </si>
  <si>
    <t>HWS182</t>
  </si>
  <si>
    <t>HWS183</t>
  </si>
  <si>
    <t>WR19</t>
  </si>
  <si>
    <t>CHG30</t>
  </si>
  <si>
    <t>ZG048</t>
  </si>
  <si>
    <t>ZG042</t>
  </si>
  <si>
    <t>ZG049</t>
  </si>
  <si>
    <t>ZG041</t>
  </si>
  <si>
    <t>ZG045</t>
  </si>
  <si>
    <t>ZI010</t>
  </si>
  <si>
    <t>ZI007</t>
  </si>
  <si>
    <t>LEC001</t>
  </si>
  <si>
    <t>CHL13</t>
  </si>
  <si>
    <t>HWS187</t>
  </si>
  <si>
    <t>HWS186</t>
  </si>
  <si>
    <t>HAB521</t>
  </si>
  <si>
    <t>HAB522</t>
  </si>
  <si>
    <t>HAB523</t>
  </si>
  <si>
    <t>HAB524</t>
  </si>
  <si>
    <t>TODOS LOS PRECIOS SON SIN IMPUESTOS</t>
  </si>
  <si>
    <t>CA001</t>
  </si>
  <si>
    <t>BDG23</t>
  </si>
  <si>
    <t>ZR048</t>
  </si>
  <si>
    <t>CHT79</t>
  </si>
  <si>
    <t>CHT88</t>
  </si>
  <si>
    <t>KPS103</t>
  </si>
  <si>
    <t>CHM07</t>
  </si>
  <si>
    <t>HIM504</t>
  </si>
  <si>
    <t>HIM505</t>
  </si>
  <si>
    <t>HIM506</t>
  </si>
  <si>
    <t>HIM507</t>
  </si>
  <si>
    <t>HIB504</t>
  </si>
  <si>
    <t>HIB505</t>
  </si>
  <si>
    <t>HIB506</t>
  </si>
  <si>
    <t>HIB507</t>
  </si>
  <si>
    <t>ZJ039</t>
  </si>
  <si>
    <t>ZJ003</t>
  </si>
  <si>
    <t>ZJ120</t>
  </si>
  <si>
    <t>ZJ121</t>
  </si>
  <si>
    <t>ZJ110</t>
  </si>
  <si>
    <t>ZJ221</t>
  </si>
  <si>
    <t>ZJ220</t>
  </si>
  <si>
    <t>ZJ244</t>
  </si>
  <si>
    <t>ZJ245</t>
  </si>
  <si>
    <t>WY098</t>
  </si>
  <si>
    <t>WY111A</t>
  </si>
  <si>
    <t>WCV37</t>
  </si>
  <si>
    <t>HJB500</t>
  </si>
  <si>
    <t>HJB501</t>
  </si>
  <si>
    <t>HJM500</t>
  </si>
  <si>
    <t>HJM501</t>
  </si>
  <si>
    <t>HJM502</t>
  </si>
  <si>
    <t>HJM503</t>
  </si>
  <si>
    <t>HWS060</t>
  </si>
  <si>
    <t>HWS081</t>
  </si>
  <si>
    <t>FFGM150</t>
  </si>
  <si>
    <t>FFGM250</t>
  </si>
  <si>
    <t>FFGM450</t>
  </si>
  <si>
    <t>FFGM350</t>
  </si>
  <si>
    <t>BJR213</t>
  </si>
  <si>
    <t>CHT81</t>
  </si>
  <si>
    <t>CHT84</t>
  </si>
  <si>
    <t>CHV26</t>
  </si>
  <si>
    <t>HH31</t>
  </si>
  <si>
    <t>GB005</t>
  </si>
  <si>
    <t>VHRS1T</t>
  </si>
  <si>
    <t>VHRS5BM</t>
  </si>
  <si>
    <t>HWS054</t>
  </si>
  <si>
    <t>MSK132</t>
  </si>
  <si>
    <t>VHRSJ01</t>
  </si>
  <si>
    <t>AL005</t>
  </si>
  <si>
    <t>ZP0001</t>
  </si>
  <si>
    <t>ZP0015</t>
  </si>
  <si>
    <t>ZP0004</t>
  </si>
  <si>
    <t>ZP0007</t>
  </si>
  <si>
    <t>ZP0006</t>
  </si>
  <si>
    <t>ZP0002</t>
  </si>
  <si>
    <t>ZP0005</t>
  </si>
  <si>
    <t>ZP0003</t>
  </si>
  <si>
    <t>ZP0008</t>
  </si>
  <si>
    <t>ZP0011</t>
  </si>
  <si>
    <t>ZP0010</t>
  </si>
  <si>
    <t>ZP0014</t>
  </si>
  <si>
    <t>ZP0013</t>
  </si>
  <si>
    <t>ZJ122</t>
  </si>
  <si>
    <t>ZJ123</t>
  </si>
  <si>
    <t>ZJ246</t>
  </si>
  <si>
    <t>ZJ248</t>
  </si>
  <si>
    <t>KCS017</t>
  </si>
  <si>
    <t>KCS026</t>
  </si>
  <si>
    <t>WCA55</t>
  </si>
  <si>
    <t>ZZ158</t>
  </si>
  <si>
    <t>ZZ026</t>
  </si>
  <si>
    <t>HWS180</t>
  </si>
  <si>
    <t>EJ001</t>
  </si>
  <si>
    <t>ZG050</t>
  </si>
  <si>
    <t>HAB535</t>
  </si>
  <si>
    <t>HAB536</t>
  </si>
  <si>
    <t>KIT262</t>
  </si>
  <si>
    <t>HRM513</t>
  </si>
  <si>
    <t>HRM514</t>
  </si>
  <si>
    <t>HRM515</t>
  </si>
  <si>
    <t>VCHALA</t>
  </si>
  <si>
    <t>VHRS9</t>
  </si>
  <si>
    <t>FUP24</t>
  </si>
  <si>
    <t>HAB43</t>
  </si>
  <si>
    <t>CÓDIGO</t>
  </si>
  <si>
    <t>LCD007</t>
  </si>
  <si>
    <t>LCT005</t>
  </si>
  <si>
    <t>HIM514</t>
  </si>
  <si>
    <t>HIM513</t>
  </si>
  <si>
    <t>HIM512</t>
  </si>
  <si>
    <t>HIM515</t>
  </si>
  <si>
    <t>CPJ152</t>
  </si>
  <si>
    <t>MD029</t>
  </si>
  <si>
    <t>LA011</t>
  </si>
  <si>
    <t>COTIZACIÓN DÓLAR</t>
  </si>
  <si>
    <t>ZJ104</t>
  </si>
  <si>
    <t>ZJ027</t>
  </si>
  <si>
    <t>TY915</t>
  </si>
  <si>
    <t>TY422</t>
  </si>
  <si>
    <t>TY423</t>
  </si>
  <si>
    <t>TY462</t>
  </si>
  <si>
    <t>BJR330</t>
  </si>
  <si>
    <t>BJR333</t>
  </si>
  <si>
    <t>CDI01</t>
  </si>
  <si>
    <t>CHP27</t>
  </si>
  <si>
    <t>CHV21</t>
  </si>
  <si>
    <t>ES010</t>
  </si>
  <si>
    <t>HWS018NE</t>
  </si>
  <si>
    <t>KIT277</t>
  </si>
  <si>
    <t>SLH014</t>
  </si>
  <si>
    <t>SM028</t>
  </si>
  <si>
    <t>ZA052</t>
  </si>
  <si>
    <t>BTG19</t>
  </si>
  <si>
    <t>BTG20</t>
  </si>
  <si>
    <t>BTG21</t>
  </si>
  <si>
    <t>BTG28</t>
  </si>
  <si>
    <t>BTG34</t>
  </si>
  <si>
    <t>BTG39</t>
  </si>
  <si>
    <t>BTG40</t>
  </si>
  <si>
    <t>GDF001</t>
  </si>
  <si>
    <t>GDF002</t>
  </si>
  <si>
    <t>GDF003</t>
  </si>
  <si>
    <t>GDF004</t>
  </si>
  <si>
    <t>FA063</t>
  </si>
  <si>
    <t>FA069/2</t>
  </si>
  <si>
    <t>FA080/2</t>
  </si>
  <si>
    <t>FA124/2</t>
  </si>
  <si>
    <t>FA150</t>
  </si>
  <si>
    <t>FA159</t>
  </si>
  <si>
    <t>FA160</t>
  </si>
  <si>
    <t>FA168</t>
  </si>
  <si>
    <t>FA180</t>
  </si>
  <si>
    <t>FA182</t>
  </si>
  <si>
    <t>FA190</t>
  </si>
  <si>
    <t>FA191</t>
  </si>
  <si>
    <t>FA192</t>
  </si>
  <si>
    <t>FA195</t>
  </si>
  <si>
    <t>FA205</t>
  </si>
  <si>
    <t>FA031</t>
  </si>
  <si>
    <t>FA032</t>
  </si>
  <si>
    <t>FA033</t>
  </si>
  <si>
    <t>FA034</t>
  </si>
  <si>
    <t>FA035</t>
  </si>
  <si>
    <t>FA038</t>
  </si>
  <si>
    <t>FA041</t>
  </si>
  <si>
    <t>FA055</t>
  </si>
  <si>
    <t>FA062</t>
  </si>
  <si>
    <t>FA065</t>
  </si>
  <si>
    <t>FA067</t>
  </si>
  <si>
    <t>FA069</t>
  </si>
  <si>
    <t>FA073</t>
  </si>
  <si>
    <t>FA080</t>
  </si>
  <si>
    <t>FA083</t>
  </si>
  <si>
    <t>FA085</t>
  </si>
  <si>
    <t>FA088</t>
  </si>
  <si>
    <t>FA101</t>
  </si>
  <si>
    <t>FA103</t>
  </si>
  <si>
    <t>FA104</t>
  </si>
  <si>
    <t>FA105</t>
  </si>
  <si>
    <t>FA106</t>
  </si>
  <si>
    <t>FA118</t>
  </si>
  <si>
    <t>FA119</t>
  </si>
  <si>
    <t>FA121</t>
  </si>
  <si>
    <t>FA123</t>
  </si>
  <si>
    <t>FA124</t>
  </si>
  <si>
    <t>FA129</t>
  </si>
  <si>
    <t>FA137</t>
  </si>
  <si>
    <t>FA141</t>
  </si>
  <si>
    <t>FA147</t>
  </si>
  <si>
    <t>FA152</t>
  </si>
  <si>
    <t>FA152/2</t>
  </si>
  <si>
    <t>FA155</t>
  </si>
  <si>
    <t>FA157</t>
  </si>
  <si>
    <t>FA158</t>
  </si>
  <si>
    <t>FA161</t>
  </si>
  <si>
    <t>FA170</t>
  </si>
  <si>
    <t>KCS025</t>
  </si>
  <si>
    <t>KCS027</t>
  </si>
  <si>
    <t>HT146</t>
  </si>
  <si>
    <t>RAB001</t>
  </si>
  <si>
    <t>RAB002</t>
  </si>
  <si>
    <t>RAB003</t>
  </si>
  <si>
    <t>RAB004</t>
  </si>
  <si>
    <t>RAM001</t>
  </si>
  <si>
    <t>RAM002</t>
  </si>
  <si>
    <t>RAM003</t>
  </si>
  <si>
    <t>RAM004</t>
  </si>
  <si>
    <t>RAM006</t>
  </si>
  <si>
    <t>RAM007</t>
  </si>
  <si>
    <t>RAM008</t>
  </si>
  <si>
    <t>RAM009</t>
  </si>
  <si>
    <t>RAM010</t>
  </si>
  <si>
    <t>RAM011</t>
  </si>
  <si>
    <t>RAM012</t>
  </si>
  <si>
    <t>RAM013</t>
  </si>
  <si>
    <t>RAM014</t>
  </si>
  <si>
    <t>RAM015</t>
  </si>
  <si>
    <t>RAM016</t>
  </si>
  <si>
    <t>RIB002</t>
  </si>
  <si>
    <t>RIB003</t>
  </si>
  <si>
    <t>RIB011</t>
  </si>
  <si>
    <t>RIM001</t>
  </si>
  <si>
    <t>RIM012</t>
  </si>
  <si>
    <t>TMO001</t>
  </si>
  <si>
    <t>ZP0016</t>
  </si>
  <si>
    <t>ZP0017</t>
  </si>
  <si>
    <t>ZP0018</t>
  </si>
  <si>
    <t>ZP0019</t>
  </si>
  <si>
    <t>ZP0020</t>
  </si>
  <si>
    <t>ZP0021</t>
  </si>
  <si>
    <t>ZP0022</t>
  </si>
  <si>
    <t>ZP0023</t>
  </si>
  <si>
    <t>ZP0024</t>
  </si>
  <si>
    <t>ZP0025</t>
  </si>
  <si>
    <t>ZP0026</t>
  </si>
  <si>
    <t>ZP0028</t>
  </si>
  <si>
    <t>ZP0029</t>
  </si>
  <si>
    <t>ZP0030</t>
  </si>
  <si>
    <t>ZP0031</t>
  </si>
  <si>
    <t>ZP0033</t>
  </si>
  <si>
    <t>BTG41</t>
  </si>
  <si>
    <t>BTG43</t>
  </si>
  <si>
    <t>AM013</t>
  </si>
  <si>
    <t>CD014</t>
  </si>
  <si>
    <t>CHR22</t>
  </si>
  <si>
    <t>CHT96</t>
  </si>
  <si>
    <t>HGC020</t>
  </si>
  <si>
    <t>HGC021</t>
  </si>
  <si>
    <t>HGC032</t>
  </si>
  <si>
    <t>HGC033</t>
  </si>
  <si>
    <t>HGC034AZ</t>
  </si>
  <si>
    <t>HGC034NE</t>
  </si>
  <si>
    <t>HGC034RO</t>
  </si>
  <si>
    <t>HGC041</t>
  </si>
  <si>
    <t>HGC042</t>
  </si>
  <si>
    <t>HGC043</t>
  </si>
  <si>
    <t>HGC046</t>
  </si>
  <si>
    <t>HGC053</t>
  </si>
  <si>
    <t>HGC058</t>
  </si>
  <si>
    <t>HGC061</t>
  </si>
  <si>
    <t>HGC064AZ</t>
  </si>
  <si>
    <t>HGC064NE</t>
  </si>
  <si>
    <t>HGC064RO</t>
  </si>
  <si>
    <t>RA010</t>
  </si>
  <si>
    <t>ZM004</t>
  </si>
  <si>
    <t>FCW001</t>
  </si>
  <si>
    <t>FCW002</t>
  </si>
  <si>
    <t>MXP002</t>
  </si>
  <si>
    <t>EC009</t>
  </si>
  <si>
    <t>ES015</t>
  </si>
  <si>
    <t>HGC004</t>
  </si>
  <si>
    <t>HGC011</t>
  </si>
  <si>
    <t>HGC014</t>
  </si>
  <si>
    <t>HGC015</t>
  </si>
  <si>
    <t>HGC019</t>
  </si>
  <si>
    <t>HGC025</t>
  </si>
  <si>
    <t>HGC026</t>
  </si>
  <si>
    <t>HGC031</t>
  </si>
  <si>
    <t>HGC038</t>
  </si>
  <si>
    <t>HGC039</t>
  </si>
  <si>
    <t>HGC047</t>
  </si>
  <si>
    <t>HGC052</t>
  </si>
  <si>
    <t>HGC057</t>
  </si>
  <si>
    <t>HGC060</t>
  </si>
  <si>
    <t>HGC062</t>
  </si>
  <si>
    <t>SM030</t>
  </si>
  <si>
    <t>SM031</t>
  </si>
  <si>
    <t>ZA064</t>
  </si>
  <si>
    <t>ZL039</t>
  </si>
  <si>
    <t>CA002</t>
  </si>
  <si>
    <t>CHM01</t>
  </si>
  <si>
    <t>CHM03</t>
  </si>
  <si>
    <t>CHM05</t>
  </si>
  <si>
    <t>CHM08</t>
  </si>
  <si>
    <t>CHT98</t>
  </si>
  <si>
    <t>FA047</t>
  </si>
  <si>
    <t>FA054</t>
  </si>
  <si>
    <t>FA0672</t>
  </si>
  <si>
    <t>FA100</t>
  </si>
  <si>
    <t>FA132</t>
  </si>
  <si>
    <t>FA134</t>
  </si>
  <si>
    <t>FA145</t>
  </si>
  <si>
    <t>KRS003</t>
  </si>
  <si>
    <t>PAZ5S</t>
  </si>
  <si>
    <t>VRW929</t>
  </si>
  <si>
    <t>VRW929A</t>
  </si>
  <si>
    <t>VRW929BM</t>
  </si>
  <si>
    <t>VRW929T</t>
  </si>
  <si>
    <t>ZJ032</t>
  </si>
  <si>
    <t>ZJ067</t>
  </si>
  <si>
    <t>ZP0027</t>
  </si>
  <si>
    <t>ZR013</t>
  </si>
  <si>
    <t>ZV175</t>
  </si>
  <si>
    <t>ZW109RS</t>
  </si>
  <si>
    <t>ZW110RS</t>
  </si>
  <si>
    <t>KIT276</t>
  </si>
  <si>
    <t>NPC30</t>
  </si>
  <si>
    <t>PC</t>
  </si>
  <si>
    <t>BTG44</t>
  </si>
  <si>
    <t>BTG45</t>
  </si>
  <si>
    <t>HGC005</t>
  </si>
  <si>
    <t>HGC006</t>
  </si>
  <si>
    <t>HGC007</t>
  </si>
  <si>
    <t>WCA73</t>
  </si>
  <si>
    <t>WCA74</t>
  </si>
  <si>
    <t>WCE53</t>
  </si>
  <si>
    <t>CL030</t>
  </si>
  <si>
    <t>HGC016</t>
  </si>
  <si>
    <t>HGC017</t>
  </si>
  <si>
    <t>HGC023</t>
  </si>
  <si>
    <t>HGC022</t>
  </si>
  <si>
    <t>HGC024</t>
  </si>
  <si>
    <t>EJD07</t>
  </si>
  <si>
    <t>HGC027</t>
  </si>
  <si>
    <t>HGC028</t>
  </si>
  <si>
    <t>HGC036</t>
  </si>
  <si>
    <t>HGC018</t>
  </si>
  <si>
    <t>HGC035</t>
  </si>
  <si>
    <t>HGC066</t>
  </si>
  <si>
    <t>HGC044</t>
  </si>
  <si>
    <t>HGC048</t>
  </si>
  <si>
    <t>HGC049</t>
  </si>
  <si>
    <t>HGC051</t>
  </si>
  <si>
    <t>HGC054</t>
  </si>
  <si>
    <t>HGC055</t>
  </si>
  <si>
    <t>HGC059</t>
  </si>
  <si>
    <t>HGC063</t>
  </si>
  <si>
    <t>HBI001</t>
  </si>
  <si>
    <t>HBI003</t>
  </si>
  <si>
    <t>HBI004</t>
  </si>
  <si>
    <t>HBI011</t>
  </si>
  <si>
    <t>HBI012</t>
  </si>
  <si>
    <t>HBI014</t>
  </si>
  <si>
    <t>HGC012</t>
  </si>
  <si>
    <t>HGC067</t>
  </si>
  <si>
    <t>EJT07</t>
  </si>
  <si>
    <t>HGC030</t>
  </si>
  <si>
    <t>HGC029</t>
  </si>
  <si>
    <t>ZG051</t>
  </si>
  <si>
    <t>ZG053</t>
  </si>
  <si>
    <t>HGC037</t>
  </si>
  <si>
    <t>ZA065</t>
  </si>
  <si>
    <t>HGC065</t>
  </si>
  <si>
    <t>HBU014</t>
  </si>
  <si>
    <t>HBU013</t>
  </si>
  <si>
    <t>CAJA KRAFT PARA CASCOS 37 X 26 X 27 (x25)</t>
  </si>
  <si>
    <t>ANTIPARRA HAWK NEGRA C/ VISOR CROMADO (x1)</t>
  </si>
  <si>
    <t>ANTIPARRA HAWK NEGRA C/ VISOR TRANSPARENTE (x1)</t>
  </si>
  <si>
    <t>ANTIPARRA HAWK NEGRA Y ROJO C/ VISOR CROMADO (x1)</t>
  </si>
  <si>
    <t>ANTIPARRA HAWK NEGRA Y ROJA C/ VISOR TRANSPARENTE (x1)</t>
  </si>
  <si>
    <t>ANTIPARRA HAWK NARANJA C/ VISOR CROMADO (x1)</t>
  </si>
  <si>
    <t>ANTIPARRA HAWK NARANJA C/ VISOR TRANSPARENTE (x1)</t>
  </si>
  <si>
    <t>CORTA CADENA NITRO 415-530 (x1)</t>
  </si>
  <si>
    <t>GUANTES HAWK ARMY FULL FINGER BLACK M (x1)</t>
  </si>
  <si>
    <t>GUANTES HAWK ARMY FULL FINGER GREEN M (x1)</t>
  </si>
  <si>
    <t>GUANTES HAWK ARMY FULL FINGER CAMEL M (x1)</t>
  </si>
  <si>
    <t>GUANTES HAWK ARMY FULL FINGER BLACK L (x1)</t>
  </si>
  <si>
    <t>GUANTES HAWK ARMY FULL FINGER GREEN L (x1)</t>
  </si>
  <si>
    <t>GUANTES HAWK ARMY FULL FINGER CAMEL L (x1)</t>
  </si>
  <si>
    <t>GUANTES HAWK ARMY FULL FINGER BLACK XL (x1)</t>
  </si>
  <si>
    <t>GUANTES HAWK ARMY FULL FINGER GREEN XL (x1)</t>
  </si>
  <si>
    <t>GUANTES HAWK ARMY FULL FINGER CAMEL XL (x1)</t>
  </si>
  <si>
    <t>GUANTES HAWK ARMY FULL FINGER BLACK XXL (x1)</t>
  </si>
  <si>
    <t>GUANTES HAWK ARMY FULL FINGER GREEN XXL (x1)</t>
  </si>
  <si>
    <t>GUANTES HAWK ARMY FULL FINGER CAMEL XXL (x1)</t>
  </si>
  <si>
    <t>GUANTES HAWK ARMY SHORT FINGER BLACK M (x1)</t>
  </si>
  <si>
    <t>GUANTES HAWK ARMY SHORT FINGER GREEN M (x1)</t>
  </si>
  <si>
    <t>GUANTES HAWK ARMY SHORT FINGER CAMEL M (x1)</t>
  </si>
  <si>
    <t>GUANTES HAWK ARMY SHORT FINGER BLACK L (x1)</t>
  </si>
  <si>
    <t>GUANTES HAWK ARMY SHORT FINGER GREEN L (x1)</t>
  </si>
  <si>
    <t>GUANTES HAWK ARMY SHORT FINGER CAMEL L (x1)</t>
  </si>
  <si>
    <t>GUANTES HAWK ARMY SHORT FINGER BLACK XL (x1)</t>
  </si>
  <si>
    <t>GUANTES HAWK ARMY SHORT FINGER GREEN XL (x1)</t>
  </si>
  <si>
    <t>GUANTES HAWK ARMY SHORT FINGER CAMEL XL (x1)</t>
  </si>
  <si>
    <t>GUANTES HAWK ARMY SHORT FINGER BLACK XXL (x1)</t>
  </si>
  <si>
    <t>GUANTES HAWK ARMY SHORT FINGER GREEN XXL (x1)</t>
  </si>
  <si>
    <t>GUANTES HAWK ARMY SHORT FINGER CAMEL XXL (x1)</t>
  </si>
  <si>
    <t>GUANTES HAWK DUTY FULL FINGER BLACK M (x1)</t>
  </si>
  <si>
    <t>GUANTES HAWK DUTY FULL FINGER BLACK L (x1)</t>
  </si>
  <si>
    <t>GUANTES HAWK DUTY FULL FINGER BLACK XL (x1)</t>
  </si>
  <si>
    <t>GUANTES HAWK DUTY FULL FINGER BLACK XXL (x1)</t>
  </si>
  <si>
    <t>GUANTES HAWK FIT FULL FINGER ORANGE M (x1)</t>
  </si>
  <si>
    <t>GUANTES HAWK FIT FULL FINGER GRAY M (x1)</t>
  </si>
  <si>
    <t>GUANTES HAWK FIT FULL FINGER CAMEL M (x1)</t>
  </si>
  <si>
    <t>GUANTES HAWK FIT FULL FINGER ORANGE L (x1)</t>
  </si>
  <si>
    <t>GUANTES HAWK FIT FULL FINGER GRAY L (x1)</t>
  </si>
  <si>
    <t>GUANTES HAWK FIT FULL FINGER GRAY XXL (x1)</t>
  </si>
  <si>
    <t>GUANTES HAWK FIT FULL FINGER CAMEL L (x1)</t>
  </si>
  <si>
    <t>GUANTES HAWK FIT FULL FINGER ORANGE XL (x1)</t>
  </si>
  <si>
    <t>GUANTES HAWK FIT FULL FINGER GRAY XL (x1)</t>
  </si>
  <si>
    <t>GUANTES HAWK FIT FULL FINGER CAMEL XL (x1)</t>
  </si>
  <si>
    <t>GUANTES HAWK FIT FULL FINGER ORANGE XXL (x1)</t>
  </si>
  <si>
    <t>GUANTES HAWK FIT FULL FINGER CAMEL XXL (x1)</t>
  </si>
  <si>
    <t>GUANTES HAWK NIGHT RIDER FULL FINGER BLACK M (x1)</t>
  </si>
  <si>
    <t>GUANTES HAWK NIGHT RIDER FULL FINGER BLACK L (x1)</t>
  </si>
  <si>
    <t>GUANTES HAWK NIGHT RIDER FULL FINGER BLACK XL (x1)</t>
  </si>
  <si>
    <t>GUANTES HAWK NIGHT RIDER FULL FINGER BLACK XXL (x1)</t>
  </si>
  <si>
    <t>GUANTES HAWK WINTER FULL FINGER BLACK M (x1)</t>
  </si>
  <si>
    <t>GUANTES HAWK WINTER FULL FINGER BLACK L (x1)</t>
  </si>
  <si>
    <t>GUANTES HAWK WINTER FULL FINGER BLACK XL (x1)</t>
  </si>
  <si>
    <t>GUANTES HAWK WINTER FULL FINGER BLACK XXL (x1)</t>
  </si>
  <si>
    <t>MASCARA HAWK NEGRA C/ VISOR CROMADO (x1)</t>
  </si>
  <si>
    <t>MASCARA HAWK NEGRA C/ VISOR TRANSPARENTE (x1)</t>
  </si>
  <si>
    <t>MASCARA HAWK VERDE C/ VISOR TRANSPARENTE (x1)</t>
  </si>
  <si>
    <t>MASCARA HAWK CAMEL C/ VISOR TORNASOLADO (x1)</t>
  </si>
  <si>
    <t>MASCARA HAWK CAMEL C/ VISOR TRANSPARENTE (x1)</t>
  </si>
  <si>
    <t>CUBRE MOTO PLATA S (183 x 89 x 120 CM.) (x1)</t>
  </si>
  <si>
    <t>CUBRE MOTO PLATA M (203 x 89 x 120 CM.) (x1)</t>
  </si>
  <si>
    <t>CUBRE MOTO PLATA L (228 x 99 x 124 CM.) (x1)</t>
  </si>
  <si>
    <t>CUBRE MOTO PLATA XL (246 x 104 x 127 CM.) (x1)</t>
  </si>
  <si>
    <t>CUBRE MOTO INTERIOR ALGODON PLATA M (203 x 89 x 120 CM.) (x1)</t>
  </si>
  <si>
    <t>CUBRE MOTO INTERIOR ALGODON PLATA L (228 x 99 x 124 CM.) (x1)</t>
  </si>
  <si>
    <t>CUBRE MOTO INTERIOR ALGODON PLATA XL (246 x 104 x 127 CM.) (x1)</t>
  </si>
  <si>
    <t>RED NEGRA PORTACASCO 40cm x 40cm (x1)</t>
  </si>
  <si>
    <t>ACRILICO TABLERO HD WAVE </t>
  </si>
  <si>
    <t>ACRILICO FAROL DELANTERO HD TITAN 2000 (x1)</t>
  </si>
  <si>
    <t>ACRILICO FAROL DELANTERO HD TITAN 99 (x1)</t>
  </si>
  <si>
    <t>AMORTIGUADOR C90 R ROJO (x1)</t>
  </si>
  <si>
    <t>AMORTIGUADOR C90 VIEJA AZUL (x1)</t>
  </si>
  <si>
    <t>AMORTIGUADOR TRASERO NITRO AZUL HD C90 95 (FARO CUADRADO) (x1)</t>
  </si>
  <si>
    <t>AMORTIGUADOR YH JOG / YH AXIS (x1)</t>
  </si>
  <si>
    <t>AMORTIGUADOR ZN DUE CORTO (x1)</t>
  </si>
  <si>
    <t>AMORTIGUADOR MONOSHOCK HD NX 400 FALCON (2016) (x1)</t>
  </si>
  <si>
    <t>AMORTIGUADOR MONOSHOCK NITRO HD XR125L / HD NXR 125 BROSS (x1)</t>
  </si>
  <si>
    <t>AMORTIGUADOR MONOSHOCK YH FZ16 </t>
  </si>
  <si>
    <t>AMORTIGUADORES HD C100 BIZ (PAR) (x1)</t>
  </si>
  <si>
    <t>AMORTIGUADORES HD TITAN 99 / HD CBX 150 (PAR) (x1)</t>
  </si>
  <si>
    <t>AMORTIGUADORES HD TITAN 150 (PAR) (x1)</t>
  </si>
  <si>
    <t>AMORTIGUADORES HD TITAN 2000 (PAR) (x1)</t>
  </si>
  <si>
    <t>AMORTIGUADORES SZ AX 100 (PAR) (x1)</t>
  </si>
  <si>
    <t>AMORTIGUADORES YH YBR125 (PAR) (x1)</t>
  </si>
  <si>
    <t>AMORTIGUADORES ZN BETA MN 150 (PAR) (x1)</t>
  </si>
  <si>
    <t>AMORTIGUADOR TRASERO HD GLH150 GAUCHA (PAR) (x1)</t>
  </si>
  <si>
    <t>ANTIPARRA NITRO ROJO (x1)</t>
  </si>
  <si>
    <t>ANTIPARRA NITRO PLATA (x1) </t>
  </si>
  <si>
    <t>ANTIPARRA NITRO AZUL (x1)</t>
  </si>
  <si>
    <t>ANTIPARRA NITRO NEGRO (x1)</t>
  </si>
  <si>
    <t>ANTIPARRA NITRO NEGRA AHUMADA (X1) </t>
  </si>
  <si>
    <t>ANTIPARRA NITRO TORNASOL (x1) </t>
  </si>
  <si>
    <t>ANTIPARRA NITRO TRANSPARENTE (x1) </t>
  </si>
  <si>
    <t>ANTIPARRA NITRO NEGRA RETRO PLEGABLE (x1) </t>
  </si>
  <si>
    <t>ANTIPARRA NITRO CROMADA RETRO PLEGABLE (x1) </t>
  </si>
  <si>
    <t>ARBOL DE LEVAS HD TITAN 150 </t>
  </si>
  <si>
    <t>ARBOL DE LEVAS COMPLETO HD TITAN 2000 </t>
  </si>
  <si>
    <t>ARBOL DE LEVAS CNK YH CRYPTON T105 - 110 NEW </t>
  </si>
  <si>
    <t>ARBOL DE LEVAS HD C90 (x1)</t>
  </si>
  <si>
    <t>BALANCINES ZN / BETA / MONDIAL / 150 CC (PAR) (x1)</t>
  </si>
  <si>
    <t>BALANCINES HD TITAN 99-2000 / HD STORM / HD BROSS / HD XLR (PAR) (x1)</t>
  </si>
  <si>
    <t>BALANCINES SUPERIORES ADMISION/ESCAPE HD NX 150 / HD CBX 150 / HD XR200R (PAR) (x1)</t>
  </si>
  <si>
    <t>BALANCINES SUPERIORES ADMISION/ESCAPE HD DAX 70 / HD C90 (PAR) (x1)</t>
  </si>
  <si>
    <t>BALANCINES TRIANGULITO HD TITAN 99-2000 / HD STORM / HD BROSS / HD XLR (PAR) (x1)</t>
  </si>
  <si>
    <t>BALANCINES SUPERIORES YH YBR125 (PAR) (x1)</t>
  </si>
  <si>
    <t>BALANCINES SUPERIORES ADM./ESC. HD NX 150 / HD XR200 (PAR) (x1)</t>
  </si>
  <si>
    <t>BARRAL INTERNO SUSPENSION HD C100 BIZ (36,3 x 2,6) </t>
  </si>
  <si>
    <t>BARRAL INTERNO SUSPENSION HD TITAN 99 (53,5 x 2,5) </t>
  </si>
  <si>
    <t>BARRAL INTERNO SUSPENSION HD STORM / HD GLH150 GAUCHA (55,5mm x 30mm) </t>
  </si>
  <si>
    <t>BARRAL INTERNO SUSPENSION HD TITAN 150 (55,2 x 3) (x1)</t>
  </si>
  <si>
    <t>BARRAL INTERNO SUSPENSION HD WAVE (37 x 2,5) </t>
  </si>
  <si>
    <t>BARRAL INTERNO SUSPENSION HD XLR125 / HD XR125L (68,3 x 3) (x1)</t>
  </si>
  <si>
    <t>BARRAL INTERNO SUSPENSION YH YBR125 (56,5 x 3) </t>
  </si>
  <si>
    <t>BATERIA DYNAVOLT GEL MGS12-4L-BS </t>
  </si>
  <si>
    <t>BATERIA DYNAVOLT GEL MGS12-5L-BS </t>
  </si>
  <si>
    <t>BATERIA DYNAVOLT GEL MG12-12L-BS-C (x1)</t>
  </si>
  <si>
    <t>BATERIA DYNAVOLT GEL MGS12-7A-BS </t>
  </si>
  <si>
    <t>BATERIA DYNAVOLT GEL MGS12-7A-3A </t>
  </si>
  <si>
    <t>BATERIA DYNAVOLT 6N4-2A </t>
  </si>
  <si>
    <t>BATERIA DYNAVOLT 12N9-3B </t>
  </si>
  <si>
    <t>BATERIA DYNAVOLT DTX4L-BS </t>
  </si>
  <si>
    <t>BATERIA DYNAVOLT DTX5L-BS </t>
  </si>
  <si>
    <t>BATERIA DYNAVOLT DTX7L-BS </t>
  </si>
  <si>
    <t>BATERIA DYNAVOLT DTX9L-BS </t>
  </si>
  <si>
    <t>BATERIA DYNAVOLT DB5L-B </t>
  </si>
  <si>
    <t>BATERIA DYNAVOLT DB14L-B2 </t>
  </si>
  <si>
    <t>BATERIA DYNAVOLT 12N5 5-3B </t>
  </si>
  <si>
    <t>BATERIA DYNAVOLT DTX7A-BS </t>
  </si>
  <si>
    <t>BATERIA DYNAVOLT DB7L-B </t>
  </si>
  <si>
    <t>BATERIA DYNAVOLT 12N7-3A </t>
  </si>
  <si>
    <t>BATERIA DYNAVOLT 12N7-4A </t>
  </si>
  <si>
    <t>BATERIA DYNAVOLT 12N7A-3A (x1)</t>
  </si>
  <si>
    <t>BATERIA TOWO GEL 12V4Ah 6MG4L (YTX4L-BS) HD CG 125 / HD C100 / HD C105 (x1/x10)</t>
  </si>
  <si>
    <t>BATERIA TOWO GEL 12V5Ah 6MG5L (YTX5L-BS) HD BIZ 125 / HD XR 125L / HD CG 150 (x1/x10)</t>
  </si>
  <si>
    <t>BATERIA TOWO GEL 12V7Ah 6MG7L (YTX7L-BS) HD CB 190 / HD CG 150 / HD XR250 TORNADO (x1)</t>
  </si>
  <si>
    <t>BATERIA TOWO GEL 12V5Ah 6MG5AL (YB5-LB/YT5A) GL SMASH 110-125 / YH CRYPTON 110 / YH YBR 125 (x1)</t>
  </si>
  <si>
    <t>BATERIA TOWO GEL 12V6Ah 6MG7A (YTX7A-BS) ZN RX150 / ML SKUA 150 / DAKAR 200 (x1)</t>
  </si>
  <si>
    <t>BATERIA TOWO GEL 12V8Ah 6MG9A (YB7-A) SZ GN 125 / BJ ROUSER 180-220 (x1/x10)</t>
  </si>
  <si>
    <t>BATERIA TOWO GEL 12V7Ah 6MG7DL (YB7BL-A) HD STORM 125 / HD CB 125 F (x1)</t>
  </si>
  <si>
    <t>BATERIA TOWO GEL 12V6Ah 6MG6.5L (YTX6-5L) CV TRIAX 200-300 / ZN SAPUCAI 150 (x1/x10)</t>
  </si>
  <si>
    <t>BATERIA TOWO GEL 12V9Ah 6MG9 (YTX9-BS) BJ ROUSER 200 RS -200 NS / DOMINAR 250-400 / BENELLI TNT 300 (x1/x10)</t>
  </si>
  <si>
    <t>BATERIA TOWO GEL 12V12Ah (6MG14) ROYAL ENFIELD METEOR 650 / BMW GS 1250 (x1/x6)</t>
  </si>
  <si>
    <t>BATERIA TOWO GEL 12V10Ah (6MG12) CF MOTO 300NK-400NK / BMW GS 850 (x1/x6)</t>
  </si>
  <si>
    <t>BAUL NITRO 44 X 38 X 27 CM. MEDIANO (x1)</t>
  </si>
  <si>
    <t>BAUL NITRO 54,5 X 42 X 29 CM. GRANDE (x1) </t>
  </si>
  <si>
    <t>BIELA CORTA CNK 94 MM. HD BIZ 105 / HD WAVE 100-110 / GL SMASH 110 / ML BIT 110 (x1)</t>
  </si>
  <si>
    <t>BIELA CNK HD WAVE 110 / 110 S (x1)</t>
  </si>
  <si>
    <t>BIELA CNK HD TITAN 2000-2004 (x1)</t>
  </si>
  <si>
    <t>BIELA CNK YH CRYPTON T105-110 NEW (x1)</t>
  </si>
  <si>
    <t>BIELA CNK SZ AX100 (x1)</t>
  </si>
  <si>
    <t>BIELA CNK YH YBR125 (x1)</t>
  </si>
  <si>
    <t>BIELA CNK HD TODAY / HD TITAN (x1)</t>
  </si>
  <si>
    <t>BOBINA IGNICIÓN HD XR150L / XR125L (2015) (x1)</t>
  </si>
  <si>
    <t>BOBINA IGNICIÓN YH YBR125 ED (x1)</t>
  </si>
  <si>
    <t>BOBINA IGNICIÓN YH FZ16 (x1)</t>
  </si>
  <si>
    <t>BOBINA IGNICION ZN ZB 110 (GIV) / GL SMASH 110 (UNDER) / GUE TRIPG-110 (x1)</t>
  </si>
  <si>
    <t>BOBINA IGNICION CV ENERGY 110 (R2) (x1)</t>
  </si>
  <si>
    <t>RETEN BARRAL DE SUSPENSION CATIIMOTO TC 50X60X10 - KW KXF 450 / HD CRF 250R-450R / SZ RM-Z (x1)</t>
  </si>
  <si>
    <t>BOBINA IGNICION DERECHA TOWO BJ ROUSER 200 NS (x1)</t>
  </si>
  <si>
    <t>BOBINA IGNICION / CDI SZ AX 100 (x1)</t>
  </si>
  <si>
    <t>MEDIALUNA DE ESCAPE HD TITAN (x50)</t>
  </si>
  <si>
    <t>BUJIA IRIDIO CHOHO (C7HSAIX) GL SMASH / ML BLITZ / HD WAVE / YH CRYPTON T105-110 NEW / YH YBR125 / CHINAS 150 CADENERAS </t>
  </si>
  <si>
    <t>BUJIA IRIDIO CHOHO (CPR8EAIX-9) BJ ROUSER 180-220 / HD TITAN 150-CG 150 / HD CB1 / YH FZ16 / HD CB190 (x1/x10/x100)</t>
  </si>
  <si>
    <t>BUJIA IRIDIO CHOHO (CR7HSAIX) GL SMASH / HD DAX 70 / HD XR100 / YH YBR 125E ED / YH XTZ 125 (x1/x10/x100)</t>
  </si>
  <si>
    <t>BUJIA IRIDIO CHOHO (LKAR8AI-9) BJ ROUSER 200 NS-RS-AS / BJ DOMINAR 400 / DUKE 200-250-390 (x1/x10/x100)</t>
  </si>
  <si>
    <t>BUJIA IRIDIO CHOHO (CR9EIX3521) HD TITAN / HD XR / YH FZ16 / BJ ROUSER 200 NS / SZ GIXXER 125 (x1/x10/x100)</t>
  </si>
  <si>
    <t>BUJIA IRIDIO CHOHO (CR8EIX) BJ ROUSER 180-220 / BENELLI TNT25 / 302 S / 302R / TNT300  / LEONCINO 500 / TRK 502 (x100/x1</t>
  </si>
  <si>
    <t>BUJIA CHOHO (C7HSA)SIN RESISTOR GL SMASH/ ML BIT 110 / HDWAVE / YHCRYPTON T105-110 NEW / YH YBR125 / CHINAS 150 (x10</t>
  </si>
  <si>
    <t>BUJIACHOHO (D8EA) HDCG125 / HD STORM / ZNRX 150 / ML CG150 / ML S2 150 (x10/x400)</t>
  </si>
  <si>
    <t>BUJIA CHOHO (CPR8EA-9) BJ 180 - 220 /HDTITAN 150/CG 150 / HD CB1 / YHFZ16 / HD CB190 (x10/x400)</t>
  </si>
  <si>
    <t>BUJIA CHOHO (CR7HSA) CON RESISTOR GLSMASH 110 / HD DAX 70 / HD XR100 / YHYBR125E ED / YH XTZ125 (x10/x400)</t>
  </si>
  <si>
    <t>BUJIA CHOHO (BP5HS)ZNSOL / FIRE / POCKET / 50 / 90 (x10/x400)</t>
  </si>
  <si>
    <t>BUJIA CHOHO (CR8EH-9) HD TWISTER / HD XR250 TORNADO / HD MAGNA 750 (x10/x400)</t>
  </si>
  <si>
    <t>BUJIA CHOHO (B8ES)SZ AX 100 (x10/x400)</t>
  </si>
  <si>
    <t>BUJIA CHOHO (BM6A) OTROS MOTOSIERRAS / MOTOGUADAÑAS / MINI CUATRICICLOS (x10/x400)</t>
  </si>
  <si>
    <t>BUJIA CHOHO (DPR8EA-9) HD TITAN 125 / HD NXR 125 BROSS / HD XRE300 / MLSKUA 200-250 (x10/x400)</t>
  </si>
  <si>
    <t>BUJIA CHOHO (CPR6EA-9) HD WAVE 110 S (x10/x400)</t>
  </si>
  <si>
    <t>BUJIA CHOHO (CR8E) BN TNT 300-600 / BN TRK 502 (x10/x400)</t>
  </si>
  <si>
    <t>CABLE DE ACELERADOR COMPLETO SZ AX100 </t>
  </si>
  <si>
    <t>CABLE DE ACELERADOR COMPLETO SZ AX 115 </t>
  </si>
  <si>
    <t>CABLE DE ACELERADOR COMPLETO HD C100 BIZ / ML BLITZ (x1)</t>
  </si>
  <si>
    <t>CABLE DE ACELERADOR COMPLETO ML BIT / MAX 110 / ZN ZB 110 </t>
  </si>
  <si>
    <t>CABLE DE ACELERADOR COMPLETO HD C 90 </t>
  </si>
  <si>
    <t>CABLE DE ACELERADOR COMPLETO YH CRYPTON T105 - 110 NEW </t>
  </si>
  <si>
    <t>CABLE DE ACELERADOR COMPLETO HD DAX 70 </t>
  </si>
  <si>
    <t>CABLE DE ACELERADOR COMPLETO DAELIM LIBERTY 50 </t>
  </si>
  <si>
    <t>CABLE DE ACELERADOR COMPLETO CICLOMOTOR </t>
  </si>
  <si>
    <t>CABLE DE ACELERADOR COMPLETO NX 150 </t>
  </si>
  <si>
    <t>CABLE DE ACELERADOR COMPLETO RX 100/125 </t>
  </si>
  <si>
    <t>CABLE DE ACELERADOR COMPLETO HD TITAN 99 </t>
  </si>
  <si>
    <t>CABLE DE ACELERADOR COMPLETO HD XR125L </t>
  </si>
  <si>
    <t>CABLE DE ACELERADOR COMPLETO ML SKUA 200 </t>
  </si>
  <si>
    <t>CABLE DE ACELERADOR COMPLETO HD CB1 </t>
  </si>
  <si>
    <t>CABLE DE ACELERADOR COMPLETO YH YBR125 (2008-2009) </t>
  </si>
  <si>
    <t>CABLE DE ACELERADOR RETORNO YH YBR125 (2012) </t>
  </si>
  <si>
    <t>CABLE DE ACELERADOR COMPLETO B DOWN HD XR250 TORNADO </t>
  </si>
  <si>
    <t>CABLE DE ACELERADOR TOWO HD XR150 / HD XR125L (x1)</t>
  </si>
  <si>
    <t>CABLE DE ACELERADOR HD BIZ 125 FULL (x1)</t>
  </si>
  <si>
    <t>CABLE DE ACELERADOR YH CRYPTON T105 (x1)</t>
  </si>
  <si>
    <t>CABLE DE ACELERADOR COMPLETO HD TITAN 2000 </t>
  </si>
  <si>
    <t>CABLE DE ACELERADOR INTERIOR UNIVERSAL (x10)</t>
  </si>
  <si>
    <t>CABLE DE ACELERADOR COMPLETO ML CUSTOM 150 </t>
  </si>
  <si>
    <t>CABLE DE ACELERADOR COMPLETO ML C110 </t>
  </si>
  <si>
    <t>CABLE DE ACELERADOR VIRAGO XV 250 </t>
  </si>
  <si>
    <t>CABLE DE ACELERADOR COMPLETO HD CB250 NIGHTHAWK A </t>
  </si>
  <si>
    <t>CABLE DE ACELERADOR COMPLETO HD CB250 NIGHTHAWK B (RETORNO) </t>
  </si>
  <si>
    <t>CABLE DE ACELERADOR COMPLETO HD XLR 125 </t>
  </si>
  <si>
    <t>CABLE DE ACELERADOR COMPLETO HD XR250 TORNADO </t>
  </si>
  <si>
    <t>CABLE DE ACELERADOR HD WAVE </t>
  </si>
  <si>
    <t>CABLE DE ACELERADOR KW NEO MAX </t>
  </si>
  <si>
    <t>CABLE DE ACELERADOR GL SMASH </t>
  </si>
  <si>
    <t>CABLE DE ACELERADOR COMPLETO HD TITAN 150 </t>
  </si>
  <si>
    <t>CABLE DE ACELERADOR HD STORM </t>
  </si>
  <si>
    <t>CABLE DE ACELERADOR YH YBR125 </t>
  </si>
  <si>
    <t>CABLE DE ACELERADOR BETA BK150 / ZN RX 150 / CV HUNTER 150 / GL VC150 </t>
  </si>
  <si>
    <t>CABLE DE ACELERADOR HD NXR 125 BROSS </t>
  </si>
  <si>
    <t>CABLE DE ACELERADOR YH FZ16 </t>
  </si>
  <si>
    <t>CABLE DE ACELERADOR ML SKUA 150-200 / CV TRIAX 150 </t>
  </si>
  <si>
    <t>CABLE DE ACELERADOR YH YBR125 CH </t>
  </si>
  <si>
    <t>CABLE DE ACELERADOR HD BIZ 125 (2015-2016) (x1)</t>
  </si>
  <si>
    <t>CABLE DE ACELERADOR YH YBR125 ED (x1)</t>
  </si>
  <si>
    <t>CABLE DE ACELERADOR A HD GLH150 GAUCHA (x1)</t>
  </si>
  <si>
    <t>CABLE DE ACELERADOR B HD GLH150 GAUCHA (x1)</t>
  </si>
  <si>
    <t>CABLE DE CEBADOR COMPLETO SZ AX100 (x1)</t>
  </si>
  <si>
    <t>CABLE DE CEBADOR COMPLETO ML BLITZ / ML MAX 110 / HD WAVE (x1)</t>
  </si>
  <si>
    <t>CABLE DE CEBADOR COMPLETO YH CRYPTON T105 (x1)</t>
  </si>
  <si>
    <t>CABLE DE CEBADOR COMPLETO HD WAVE (x1)</t>
  </si>
  <si>
    <t>CABLE DE CEBADOR HD BIZ 125 (2012-2015) (x1)</t>
  </si>
  <si>
    <t>CABLE DE CEBADOR YH FZ16 (x1)</t>
  </si>
  <si>
    <t>CABLE DE CEBADOR YH CRYPTON 110 NEW (x1)</t>
  </si>
  <si>
    <t>CABLE DE CEBADOR COMPLETO ML CUSTOM 150 (x1)</t>
  </si>
  <si>
    <t>CABLE DE CEBADOR COMPLETO ML C110 (x1)</t>
  </si>
  <si>
    <t>CABLE DE CEBADOR COMPLETO HD C90 (x1)</t>
  </si>
  <si>
    <t>CABLE DE CEBADOR ZN RX150 (x1)</t>
  </si>
  <si>
    <t>CABLE DE EMBRAGUE COMPLETO SZ AX100 </t>
  </si>
  <si>
    <t>CABLE DE EMBRAGUE COMPLETO CBX 150 </t>
  </si>
  <si>
    <t>CABLE DE EMBRAGUE COMPLETO CD 100 </t>
  </si>
  <si>
    <t>CABLE DE EMBRAGUE COMPLETO SZ DR 250/350 </t>
  </si>
  <si>
    <t>CABLE DE EMBRAGUE COMPLETO NX 150 </t>
  </si>
  <si>
    <t>CABLE DE EMBRAGUE COMPLETO HD NX 400 FALCON </t>
  </si>
  <si>
    <t>CABLE DE EMBRAGUE COMPLETO RX 100 </t>
  </si>
  <si>
    <t>CABLE DE EMBRAGUE COMPLETO HD TITAN 99 </t>
  </si>
  <si>
    <t>CABLE DE EMBRAGUE COMPLETO HD XR125L </t>
  </si>
  <si>
    <t>CABLE DE EMBRAGUE COMPLETO ML SKUA 150 </t>
  </si>
  <si>
    <t>CABLE DE EMBRAGUE COMPLETO ML SKUA 200 </t>
  </si>
  <si>
    <t>CABLE DE EMBRAGUE COMPLETO YH YBR125 CHINA </t>
  </si>
  <si>
    <t>CABLE DE EMBRAGUE COMPLETO HD XR250 TORNADO </t>
  </si>
  <si>
    <t>CABLE DE EMBRAGUE TOWO HD XR125L / HD XR150L CADENERO 2013 (x1)</t>
  </si>
  <si>
    <t>CABLE DE EMBRAGUE HD XR125 VARILLERA (x1)</t>
  </si>
  <si>
    <t>CABLE DE EMBRAGUE BJ ROUSER 200 NS (x1)</t>
  </si>
  <si>
    <t>CABLE DE EMBRAGUE HD TITAN 150 2016 (x1)</t>
  </si>
  <si>
    <t>CABLE DE EMBRAGUE COMPLETO HD TITAN 2000 </t>
  </si>
  <si>
    <t>CABLE DE EMBRAGUE INTERIOR GRANDE UNIVERSAL (x10)</t>
  </si>
  <si>
    <t>CABLE DE EMBRAGUE INTERIOR CHICO UNIVERSAL (x10)</t>
  </si>
  <si>
    <t>CABLE DE EMBRAGUE COMPLETO ML CUSTOM 150 </t>
  </si>
  <si>
    <t>CABLE DE EMBRAGUE COMPLETO HD XLR 125 </t>
  </si>
  <si>
    <t>CABLE DE EMBRAGUE COMPLETO XR 600 </t>
  </si>
  <si>
    <t>CABLE DE EMBRAGUE COMPLETO HD XR 250 </t>
  </si>
  <si>
    <t>CABLE DE EMBRAGUE COMPLETO YH YBR 125 2000 </t>
  </si>
  <si>
    <t>CABLE DE EMBRAGUE HD CBX 250 TWISTER </t>
  </si>
  <si>
    <t>CABLE DE EMBRAGUE COMPLETO HD TITAN 150 </t>
  </si>
  <si>
    <t>CABLE DE EMBRAGUE HD STORM 125 </t>
  </si>
  <si>
    <t>CABLE DE EMBRAGUE HD NXR 125 BROSS </t>
  </si>
  <si>
    <t>CABLE DE EMBRAGUE YH FZ16 </t>
  </si>
  <si>
    <t>CABLE DE EMBRAGUE HD GLH150 GAUCHA (x1)</t>
  </si>
  <si>
    <t>CABLE DE EMBRAGUE ZN RX 150 / CV HUNTER 150 / GL VC150 </t>
  </si>
  <si>
    <t>CABLE DE FRENO DELANTERO SZ AX100 </t>
  </si>
  <si>
    <t>CABLE DE FRENO DELANTERO COMPLETO HD C100 BIZ </t>
  </si>
  <si>
    <t>CABLE DE FRENO DELANTERO ML BLITZ / ML MAX 110 (x1)</t>
  </si>
  <si>
    <t>CABLE DE FRENO DELANTERO HD CD100 </t>
  </si>
  <si>
    <t>CABLE DE FRENO DELANTERO HD C90 </t>
  </si>
  <si>
    <t>CABLE DE FRENO DELANTERO CARGO </t>
  </si>
  <si>
    <t>CABLE DE FRENO TRASERO CARGO </t>
  </si>
  <si>
    <t>CABLE DE FRENO DELANTERO HD DAX 70 </t>
  </si>
  <si>
    <t>CABLE DE FRENO TRASERO DAELIM </t>
  </si>
  <si>
    <t>CABLE DE FRENO DELANTERO COMPLETO CICLOMOTOR </t>
  </si>
  <si>
    <t>CABLE DE FRENO TRASERO COMPLETO CICLOMOTOR </t>
  </si>
  <si>
    <t>CABLE DE FRENO DELANTERO CICLO INTERIOR (130cm) (x10)</t>
  </si>
  <si>
    <t>CABLE DE FRENO TRASERO CICLO INTERIOR (190cm) (x10)</t>
  </si>
  <si>
    <t>CABLE DE FRENO DELANTERO KW NEO MAX </t>
  </si>
  <si>
    <t>CABLE DE FRENO DELANTERO COMPLETO HD TITAN 99 </t>
  </si>
  <si>
    <t>CABLE DE FRENO DELANTERO COMPLETO HD TITAN 2000 KS </t>
  </si>
  <si>
    <t>CABLE DE FRENO DELANTERO ML C110 </t>
  </si>
  <si>
    <t>CABLE DE FRENO DELANTERO HD XLR 125 </t>
  </si>
  <si>
    <t>CABLE DE FRENO DELANTERO YH YBR125 2000 </t>
  </si>
  <si>
    <t>CABLE DE FRENO DELANTERO ZN SOL </t>
  </si>
  <si>
    <t>CABLE DE FRENO TRASERO ZN SOL </t>
  </si>
  <si>
    <t>CABLE DE FRENO DELANTERO HD NXR 125 BROSS </t>
  </si>
  <si>
    <t>CABLE DE FRENO DELANTERO GL SMASH / NUEVO </t>
  </si>
  <si>
    <t>CABLE DE FRENO DELANTERO HD TITAN 150 </t>
  </si>
  <si>
    <t>CABLE DE FRENO DELANTERO HD WAVE </t>
  </si>
  <si>
    <t>CABLE DE FRENO DELANTERO HD STORM 125 </t>
  </si>
  <si>
    <t>CABLE DE FRENO YH CRYPTON T105 - 110 NEW </t>
  </si>
  <si>
    <t>CABLE DE FRENO HD BIZ 125 (2015) (x1)</t>
  </si>
  <si>
    <t>CABLE DE FRENO ZN RX 150 </t>
  </si>
  <si>
    <t>CABLE DE VELOCIMETRO COMPLETO SZ AX100 </t>
  </si>
  <si>
    <t>CABLE DE VELOCIMETRO COMPLETO HD C100 BIZ </t>
  </si>
  <si>
    <t>CABLE DE VELOCIMETRO COMPLETO ML BIT </t>
  </si>
  <si>
    <t>CABLE DE VELOCIMETRO COMPLETO HD CD100 HERO </t>
  </si>
  <si>
    <t>CABLE DE VELOCIMETRO COMPLETO HD C90 </t>
  </si>
  <si>
    <t>CABLE DE VELOCIMETRO COMPLETO YH CRYPTON T105 </t>
  </si>
  <si>
    <t>CABLE DE VELOCIMETRO COMPLETO YH DT 125 </t>
  </si>
  <si>
    <t>CABLE DE VELOCIMETRO COMPLETO GL SMASH </t>
  </si>
  <si>
    <t>CABLE DE VELOCIMETRO COMPLETO HD C90 LUXE </t>
  </si>
  <si>
    <t>CABLE DE VELOCIMETRO COMPLETO ML MAX 110 </t>
  </si>
  <si>
    <t>CABLE DE VELOCIMETRO COMPLETO NX 150 </t>
  </si>
  <si>
    <t>CABLE DE VELOCIMETRO COMPLETO NX4 FALCON </t>
  </si>
  <si>
    <t>CABLE DE VELOCIMETRO COMPLETO HD TITAN 99 </t>
  </si>
  <si>
    <t>CABLE DE VELOCIMETRO TOWO COMPLETO HD XR125L / HD XR150L </t>
  </si>
  <si>
    <t>CABLE DE VELOCIMETRO COMPLETO HD TITAN 150 </t>
  </si>
  <si>
    <t>CABLE DE VELOCIMETRO COMPLETO HD BIZ 125 (x1)</t>
  </si>
  <si>
    <t>CABLE DE VELOCIMETRO COMPLETO YH CRYPTON 110 NEW (x1)</t>
  </si>
  <si>
    <t>CABLE DE VELOCIMETRO COMPLETO HD TITAN 2000 KS </t>
  </si>
  <si>
    <t>CABLE DE VELOCIMETRO COMPLETO HD TITAN 2000 ES </t>
  </si>
  <si>
    <t>CABLE DE VELOCIMETRO COMPLETO ML CUSTOM 150 </t>
  </si>
  <si>
    <t>CABLE DE VELOCIMETRO COMPLETO ML C110 </t>
  </si>
  <si>
    <t>CABLE DE VELOCIMETRO COMPLETO HD XLR 125 </t>
  </si>
  <si>
    <t>CABLE DE VELOCIMETRO COMPLETO YH YBR125 </t>
  </si>
  <si>
    <t>CABLE DE VELOCIMETRO HD DAX 70 </t>
  </si>
  <si>
    <t>CABLE DE VELOCIMETRO HD STORM 125 </t>
  </si>
  <si>
    <t>CABLE DE VELOCIMETRO ZN RX150 / BETA BK150 </t>
  </si>
  <si>
    <t>CABLE DE VELOCIMETRO ML SKUA 150-200 </t>
  </si>
  <si>
    <t>CABLE DE VELOCIMETRO HD WAVE / HD WAVE 110 S </t>
  </si>
  <si>
    <t>CABLE DE VELOCIMETRO HD BIZ 125 (2015-2016) (x1)</t>
  </si>
  <si>
    <t>CABLE DE VELOCIMETRO YH YBR125 ED (x1)</t>
  </si>
  <si>
    <t>CABLE DE VELOCIMETRO ZN RX 150 / GL VC150 </t>
  </si>
  <si>
    <t>CABLE DE VELOCIMETRO COMPLETO DISCO SMASH / ML BIT </t>
  </si>
  <si>
    <t>CABLE DE VELOCIMETRO HD WAVE </t>
  </si>
  <si>
    <t>CADENA TRANSMISION CHOHO 415 H x 102 REFORZADA (x1/x25)</t>
  </si>
  <si>
    <t>CADENA TRANSMISION CHOHO 415 H x 114 REFORZADA (x1/x25)</t>
  </si>
  <si>
    <t>CADENA TRANSMISION CHOHO 420 H x 102 REFORZADA (x1/x25)</t>
  </si>
  <si>
    <t>CADENA TRANSMISION CHOHO 420 H x 112 REFORZADA (x1/x25)</t>
  </si>
  <si>
    <t>CADENA TRANSMISION CHOHO 428 H x 110 REFORZADA (x1/x25)</t>
  </si>
  <si>
    <t>CADENA TRANSMISION CHOHO 428 H x 118 REFORZADA (x1/x25)</t>
  </si>
  <si>
    <t>CADENA TRANSMISION CHOHO 428 H x 126 REFORZADA (x1/x25)</t>
  </si>
  <si>
    <t>CADENA TRANSMISION CHOHO 428 H x 130 REFORZADA (x1/x25)</t>
  </si>
  <si>
    <t>CADENA TRANSMISION CHOHO 520 H x 110 REFORZADA (x1/x20)</t>
  </si>
  <si>
    <t>CADENA TRANSMISION CHOHO 520 H x 118 REFORZADA (x1/x20)</t>
  </si>
  <si>
    <t>CADENA TRANSMISION CHOHO 420 x 112 NORMAL (x1/x25)</t>
  </si>
  <si>
    <t>CADENA TRANSMISION CHOHO 428 x 118 NORMAL (x1/x25)</t>
  </si>
  <si>
    <t>CADENA TRANSMISION CHOHO 428 x 130 NORMAL (x1/x25)</t>
  </si>
  <si>
    <t>UNIONES CHOHO 415 H (x10)</t>
  </si>
  <si>
    <t>UNIONES CHOHO 428 H (x40)</t>
  </si>
  <si>
    <t>UNIONES CHOHO 520 H (x25)</t>
  </si>
  <si>
    <t>UNIONES CHOHO 420 (x50)</t>
  </si>
  <si>
    <t>UNIONES CHOHO 428 (x50)</t>
  </si>
  <si>
    <t>CADENA TRANSMISION CHOHO 428 H x 136 REFORZADA (x1/x20)</t>
  </si>
  <si>
    <t>CADENA TRANSMISION CHOHO 415 H x 102 REFORZADA - DORADA (x1/x25)</t>
  </si>
  <si>
    <t>CADENA TRANSMISION CHOHO 420 H x 112 REFORZADA - DORADA (x1/x25)</t>
  </si>
  <si>
    <t>CADENA TRANSMISION CHOHO 428 H x 118 REFORZADA - DORADA (x1/x25)</t>
  </si>
  <si>
    <t>CADENA TRANSMISION CHOHO 428 H x 130 REFORZADA - DORADA (x1/x25)</t>
  </si>
  <si>
    <t>CADENA TRANSMISION CHOHO 428 H x 136 REFORZADA - DORADA (x1/x20)</t>
  </si>
  <si>
    <t>CADENA TRANSMISION CHOHO 520 H x 118 REFORZADA - DORADA (x1/x20)</t>
  </si>
  <si>
    <t>CADENA TRANSMISION CHOHO 428 O x 118  ORING (x1/x20)</t>
  </si>
  <si>
    <t>CADENA TRANSMISION CHOHO 428 O x 130  ORING (x1/x20)</t>
  </si>
  <si>
    <t>CADENA TRANSMISION CHOHO 520 O x 118  ORING (x1/x15)</t>
  </si>
  <si>
    <t>UNIONES CHOHO 428 C/ ORING (x15) (x15)</t>
  </si>
  <si>
    <t>UNIONES CHOHO 520 C/ ORING (x10) (x10)</t>
  </si>
  <si>
    <t>CADENA TRANSMISION CHOHO 428  X 110 NORMAL (x1/x25)</t>
  </si>
  <si>
    <t>CADENA TRANSMISION CHOHO 428H X 110 REFORZADA - DORADA (x1/x25)</t>
  </si>
  <si>
    <t>UNIONES CHOHO 420H (x10)</t>
  </si>
  <si>
    <t>CADENA TRANSMISION CHOHO 420 H X 100 REFORZADA - DORADA (x1/x25)</t>
  </si>
  <si>
    <t>CADENA TRANSMISION CHOHO 428 O x 136 ORING (x1/x20) (x1/x20)</t>
  </si>
  <si>
    <t>CADENA TRANSMISION CHOHO 428 X 136 NORMAL (x1/x20)</t>
  </si>
  <si>
    <t>HH39</t>
  </si>
  <si>
    <t>CADENA TRANSMISION CHOHO 525 O x 118 ORING (x1/x15)</t>
  </si>
  <si>
    <t>HH40</t>
  </si>
  <si>
    <t>CADENA TRANSMISION CHOHO 525 O x 124 ORING (x1/x15)</t>
  </si>
  <si>
    <t>HH41</t>
  </si>
  <si>
    <t>CADENA TRANSMISION CHOHO 525 G x 118 DORADA REFORZADA (x1/x15)</t>
  </si>
  <si>
    <t>HH42</t>
  </si>
  <si>
    <t>CADENA TRANSMISION CHOHO 525 G x 124 DORADA REFORZADA (x1/x15)</t>
  </si>
  <si>
    <t>CADENA DE DISTRIBUCION 0404 x 100 L CHOHO (x1/x10)</t>
  </si>
  <si>
    <t>CADENA DE DISTRIBUCION 0404 x 102 L CHOHO (x1/x10)</t>
  </si>
  <si>
    <t>CADENA DE ARRANQUE 25H x 62 L CHOHO 110 CC CHINAS (CORTA) (x1/x10)</t>
  </si>
  <si>
    <t>CADENA DE DISTRIBUCION 25H x 76 L CHOHO (x1/x10)</t>
  </si>
  <si>
    <t>CADENA DE DISTRIBUCION 25H x 82 L CHOHO (x1/x10)</t>
  </si>
  <si>
    <t>CADENA DE DISTRIBUCION 25H x 84 L CHOHO (x1/x10)</t>
  </si>
  <si>
    <t>CADENA DE DISTRIBUCION 25H x 86 L CHOHO (x1/x10)</t>
  </si>
  <si>
    <t>CADENA DE DISTRIBUCION 25H x 90 L CHOHO (x1/x10)</t>
  </si>
  <si>
    <t>CADENA DE DISTRIBUCION 25SH x 88 L CHOHO (x1/x10)</t>
  </si>
  <si>
    <t>CADENA DE DISTRIBUCION 25SH x 98 L CHOHO (x1/x10)</t>
  </si>
  <si>
    <t>CADENA DE DISTRIBUCION 25SH x 100 L CHOHO (x1/x10)</t>
  </si>
  <si>
    <t>CADENA DE DISTRIBUCION 25SH x 104 L CHOHO (x1/x10)</t>
  </si>
  <si>
    <t>CADENA DE DISTRIBUCION 0404 x 94 L CHOHO (x1/x10)</t>
  </si>
  <si>
    <t>CADENA DE DISTRIBUCION 0409H x 126 L CHOHO (x1/x10)</t>
  </si>
  <si>
    <t>CADENA DE DISTRIBUCION 0409H x 112 L CHOHO (x1/x10)</t>
  </si>
  <si>
    <t>CADENA DE BOMBA DE ACEITE 0404 x 38L CHOHO (x1/x10)</t>
  </si>
  <si>
    <t>CADENA DE DISTRIBUCION 0409H X 100L CHOHO (x1/x10)</t>
  </si>
  <si>
    <t>CADENA TRANSMISION NITRO POWER 428 X 110 SMASH / TRIP / BIT / HD BIZ / WAVE 110 (x1/x25)</t>
  </si>
  <si>
    <t>CADENA TRANSMISION NITRO POWER 428 X 118 HD STORM 125 / TITAN 2000 / SZ GN 125 / ZN RX150 (x25/x1)</t>
  </si>
  <si>
    <t>CADENA TRANSMISION NITRO POWER 428 X 130 ML CUSTOM 125/150 / YH XTZ125 / SZ AX 100 (x1/x25)</t>
  </si>
  <si>
    <t>CADENA TRANSMISION NITRO POWER 428 X 136 HD XRL125/ CB 190/ ML SKUA150/200 (x1/x25)</t>
  </si>
  <si>
    <t>CADENA TRANSMISION NITRO POWER 428H X 110 SMASH / TRIP / BIT / HD BIZ / WAVE 110 (x1/x25)</t>
  </si>
  <si>
    <t>CADENA TRANSMISION NITRO POWER 428H X 118 HD STORM 125 / TITAN 2000 / SZ GN 125 / ZN RX150 (x1/x25)</t>
  </si>
  <si>
    <t>CADENA TRANSMISION NITRO POWER 428H X 130 ML CUSTOM 125/150 / YH XTZ125 / SZ AX100 (x1/x25)</t>
  </si>
  <si>
    <t>CADENA TRANSMISION NITRO POWER 428H X 136 HD XRL125 / CB 190 / ML SKUA150/200 (x1/x25)</t>
  </si>
  <si>
    <t>CADENA TRANSMISION NITRO POWER 428G X 110 SMASH / TRIP / BIT / HD BIZ / WAVE 110 (x1/x25)</t>
  </si>
  <si>
    <t>CADENA TRANSMISION NITRO POWER 428G X 118 HD STORM125 / TITAN2000 / SZ GN 125 / ZN RX150 (x1/x25)</t>
  </si>
  <si>
    <t>CADENA TRANSMISION NITRO POWER 428G X 130 ML CUSTOM 125/150 / YH XTZ125 / SZ AX 100 (x1/x25)</t>
  </si>
  <si>
    <t>CADENA TRANSMISION NITRO POWER 428G X 136 HD XRL125 / CB 190 / ML SKUA150/200 (x1/x25)</t>
  </si>
  <si>
    <t>CADENA TRANSMISION NITRO POWER 428HO X 118 HD STORM 125 / TITAN 2000 / SZ GN 125 / ZN RX150 / YH CRYPTON T105 - 110 NEW </t>
  </si>
  <si>
    <t>CADENA TRANSMISION NITRO POWER 428HO X 136 HD XRL125 / CB 190 / ML SKUA150/200 (x1/x1/x25)</t>
  </si>
  <si>
    <t>CAMARAS YUANXING 3.00-10 TR87 (x1/x25)</t>
  </si>
  <si>
    <t>CAMARAS YUANXING 2.50/2.25-17 TR4 (x1/x1/x25)</t>
  </si>
  <si>
    <t>CAMARAS YUANXING 3.00-17 TR4 (x1/x25)</t>
  </si>
  <si>
    <t>CAMARAS YUANXING 3.00-18 TR4 (x1/x25)</t>
  </si>
  <si>
    <t>CAMARAS YUANXING 2.50-16 TR4 (x1/x25)</t>
  </si>
  <si>
    <t>CAMARAS YUANXING 3.00/2.75-14 TR4 (x1/x1/x25)</t>
  </si>
  <si>
    <t>CAMARAS YUANXING 3.50-18 TR4 (x1/x25)</t>
  </si>
  <si>
    <t>CAMARAS YUANXING 3.25/3.00-16 TR4 (x1/x25)</t>
  </si>
  <si>
    <t>CAMARAS YUANXING 2.25-19 TR4 (x1/x25)</t>
  </si>
  <si>
    <t>CAMARAS YUANXING 110/90-13 TR4 (x1/x25)</t>
  </si>
  <si>
    <t>CAMARAS YUANXING 90/90-18 TR4 (x1/x1/x25)</t>
  </si>
  <si>
    <t>CAMARAS YUANXING 70/100-19 TR4 (x1/x25)</t>
  </si>
  <si>
    <t>CAPUCHON DE BUJIA DE SILICONA / CONEXIÓN DE BRONCE / AZUL (x5)</t>
  </si>
  <si>
    <t>CAPUCHON DE BUJIA TIPO NGK NEGRO (x10)</t>
  </si>
  <si>
    <t>CAPUCHON DE BUJIA DE SILICONA / CONEXIÓN DE BRONCE / AMARILLO (x5)</t>
  </si>
  <si>
    <t>CAPUCHON DE BUJIA DE SILICONA / CONEXIÓN DE BRONCE / ROJO (x5)</t>
  </si>
  <si>
    <t>CAPUCHON DE BUJIA DE SILICONA / CONEXIÓN DE BRONCE / NEGRO (x5)</t>
  </si>
  <si>
    <t>CAPUCHON DE BUJIA DE PLASTICO INJECTADO CON ACC. SILICONA / CONEXION DE BRONCE (x5)</t>
  </si>
  <si>
    <t>CARBURADOR COMPLETO SZ AX100 </t>
  </si>
  <si>
    <t>CARBURADORCOMPLETOHDC100BIZ / HD C90 LUXE (x1)</t>
  </si>
  <si>
    <t>CARBURADORHD TODAY TITAN SIN BOMBA </t>
  </si>
  <si>
    <t>CARBURADOR COMPLETO HD TITAN 2000 CON BOMBA </t>
  </si>
  <si>
    <t>CARBURADOR YH YBR125 E 2006 -2013 (x1)</t>
  </si>
  <si>
    <t>CARBURADOR COMPLETO GL SMASH / ML BLITZ (x1)</t>
  </si>
  <si>
    <t>CARBURADOR COMPLETO GL SMASH 125 TUNING </t>
  </si>
  <si>
    <t>CARBURADOR COMPLETO ZN RX 150 </t>
  </si>
  <si>
    <t>CUBIERTA YUANXING 2.75-18 P42 (DIBUJO P41) 4PR TT (x1/x1/x1)</t>
  </si>
  <si>
    <t>CUBIERTA YUANXING 90/90-18 M/C P57 (DIBUJO P12) 6PR TT (x1/x1)</t>
  </si>
  <si>
    <t>CUBIERTA YUANXING 90/90-18 M/C P57 (DIBUJO P39) 6PR TT (x1/x1)</t>
  </si>
  <si>
    <t>CUBIERTA YUANXING 110/90-13 M/C L56 (DIBUJO P110A) 4PR TT (x1)</t>
  </si>
  <si>
    <t>CUBIERTA YUANXING 110/90-16 M/C P65 (DIBUJO P37) 6PR TT (x1)</t>
  </si>
  <si>
    <t>CUBIERTA YUANXING 2.75-21 P45 (DIBUJO P49) 4PR TT (x1)</t>
  </si>
  <si>
    <t>CUBIERTA YUANXING 80/100-14 M/C P49 (DIBUJO P48) 6PR TT (x1/x1)</t>
  </si>
  <si>
    <t>CUBIERTA YUANXING 4.10-18 P59 (DIBUJO P49) 4PR TT (x1)</t>
  </si>
  <si>
    <t>CUBIERTA YUANXING 4.10-18 P59 (DIBUJO P82) 4PR TT (x1)</t>
  </si>
  <si>
    <t>CUBIERTA YUANXING 4.10-18 P59 (DIBUJO P126) (x1)</t>
  </si>
  <si>
    <t>CUBIERTA YUANXING 2.50-17 P43 (DIBUJO P22) 6PR TT (x1/x1)</t>
  </si>
  <si>
    <t>CUBIERTA YUANXING 2.50-17 P38 (DIBUJO P01) 4PR TT (x1)</t>
  </si>
  <si>
    <t>CUBIERTA YUANXING 2.50-17 P43 (DIBUJO P34) 6PR TT (x1/x1/x1)</t>
  </si>
  <si>
    <t>CUBIERTA YUANXING 2.75-17 P47 (DIBUJO P34) 6PR TT (x1/x1)</t>
  </si>
  <si>
    <t>CUBIERTA YUANXING 100/90-18 M/C P62 (DIBUJO 30) 6PR TT (x1)</t>
  </si>
  <si>
    <t>CUBIERTA YUANXING 100/90-17 M/C P61 (DIBUJO P126) 6PR TT (x1)</t>
  </si>
  <si>
    <t>CUBIERTA YUANXING 2.75-21 P45 (DIUBJO P126) 4PR TT (x1)</t>
  </si>
  <si>
    <t>CUBIERTA YUANXING 90/90-19 P58 (DIBUJO P126) 6PR TT (x1)</t>
  </si>
  <si>
    <t>CUBIERTA YUANXING 3.50-10 J51 (DIBUJO P64) 51J TL (x1)</t>
  </si>
  <si>
    <t>CUBIERTA YUANXING 3.50-10 J51 (DIBUJO P139) 4PR TL (x1)</t>
  </si>
  <si>
    <t>CUBIERTA YUANXING 3.00-10 J42 (DIBUJO P124) 4PR TT (x1)</t>
  </si>
  <si>
    <t>CUBIERTA YUANXING 80/90-17 M/C P50 (DIBUJO P99) 6PR TT (x1)</t>
  </si>
  <si>
    <t>CUBIERTA YUANXING 110/80-17 M/C P57 (DIBUJO P11) 4PR TT (x1)</t>
  </si>
  <si>
    <t>CUBIERTA YUANXING 110/70-17 M/C S54 (DIBUJO 123) 4PR TT (x1)</t>
  </si>
  <si>
    <t>CUBIERTA YUANXING 130/70-17 M/C S62 (DIBUJO P123) 4PR TT (x1)</t>
  </si>
  <si>
    <t>CUBIERTA YUANXING 130/60-13 M/C J53 (DIBUJO P100A) 4PR TL (x1)</t>
  </si>
  <si>
    <t>CUBIERTA YUANXING 130/60-13 M/C K53 (DIBUJO P148) 4PRTL (x1)</t>
  </si>
  <si>
    <t>CUBIERTA YUANXING 80/100-18 M/C P47 (DIBUJO P186) 4PR TT (x1)</t>
  </si>
  <si>
    <t>CUBIERTA YUANXING 80-21 100-21 M/C M51 (DIBUJO P153) 4PR TT (x1)</t>
  </si>
  <si>
    <t>CUBIERTA YUANXING 100/80-17 M/C P52 (DIBUJO P99) 4PR TL (x1)</t>
  </si>
  <si>
    <t>CUBIERTA YUANXING 140/60-17 M/C S63 (DIBUJO P123) 4PR TL (x1)</t>
  </si>
  <si>
    <t>CUBIERTA YUANXING 3.00-17 P50 (DIBUJO P27A) 6PR TT (x1)</t>
  </si>
  <si>
    <t>CUBIERTA YUANXING 4.60-18 P63 (DIBUJO P82) 4PR TT (x1)</t>
  </si>
  <si>
    <t>CUBIERTA YUANXING 110/100-18 M/C M70 (DIBUJO 154) 6PR TT (x1)</t>
  </si>
  <si>
    <t>CUBIERTA YUANXING 90/90-19 M/C P58 (DIBUJO P153) 6PR TT (x1)</t>
  </si>
  <si>
    <t>CUBIERTA YUANXING 110/90-17 M/C P66 (DIBUJO P153) 6PR TT (x1)</t>
  </si>
  <si>
    <t>CUBETAS DE DIRECCION HD XR125L / XR150L (2013-2015) (x1)</t>
  </si>
  <si>
    <t>CUBETAS DE DIRECCION HD C100 BIZ </t>
  </si>
  <si>
    <t>CUBETAS DE DIRECCION HD C90 / HD MB 100 / HD DAX </t>
  </si>
  <si>
    <t>CUBETAS DE DIRECCION HD TITAN 2000 </t>
  </si>
  <si>
    <t>CUBETAS DE DIRECCION HD TITAN 99 </t>
  </si>
  <si>
    <t>CUBETAS DE DIRECCION HD WAVE / HD WAVE 110 S / HD BETA 110 </t>
  </si>
  <si>
    <t>CUBETAS DE DIRECCION HD XLR125 </t>
  </si>
  <si>
    <t>CUBETAS DE DIRECCION SZ AX 100 </t>
  </si>
  <si>
    <t>CUBETAS DE DIRECCION HD STORM (x1)</t>
  </si>
  <si>
    <t>CUBETAS DE DIRECCION YH FZ16 (x1)</t>
  </si>
  <si>
    <t>CUBETAS DE DIRECCION YH YBR125 CHINA </t>
  </si>
  <si>
    <t>CUBETAS DE DIRECCION HD TITAN 125/150 </t>
  </si>
  <si>
    <t>CUBETAS DE DIRECCION YH CRYPTON 110 NEW </t>
  </si>
  <si>
    <t>CUBETAS DE DIRECCION HD GLH150 GAUCHA (SET) (x1)</t>
  </si>
  <si>
    <t>DISCO DE EMBRAGUE HD C100 BIZ (4 PIEZAS) (x1)</t>
  </si>
  <si>
    <t>DISCO DE EMBRAGUE HD C90 (3PCS/BLISTER) (SET) (x1)</t>
  </si>
  <si>
    <t>DISCO DE EMBRAGUE HD TITAN TODAS 2005-08 / XR125L / XR150L / XL125 2015 / HD GLH150 GAUCHA / ML S2 150 (x1)</t>
  </si>
  <si>
    <t>DISCO DE EMBRAGUE HD NX 150 / HD BIZ 105 / HD CG 150 TITAN / HD WAVE 100 / HD WAVE 110 S / HD STORM 125 (x25)</t>
  </si>
  <si>
    <t>DISCO DE EMBRAGUE YH YBR-DT-RX-XTZ BRASIL UNIDAD (x25)</t>
  </si>
  <si>
    <t>DISCODEEMBRAGUEHDCB1(4PCS/BLISTER) (x1)</t>
  </si>
  <si>
    <t>DISCO DE EMBRAGUE HD XR250 TORNADO (x25)</t>
  </si>
  <si>
    <t>DISCODEEMBRAGUEMLSKUA150/ CV TRIAX 150 (x1)</t>
  </si>
  <si>
    <t>DISCO DE EMBRAGUE YH CRYPTON 110 NEW / YH CRYPTON T105 (x25)</t>
  </si>
  <si>
    <t>DISCO DE EMBRAGUE YH FZ16 / YH SZ 150 / YH YZF R15 / YH FZ FI 2.0 (x25)</t>
  </si>
  <si>
    <t>SEPARADOR DISCO EMBRAGUE HD GLH150 GAUCHA (SET) (x1)</t>
  </si>
  <si>
    <t>EJE ARBOL DE LEVAS ZN BETA - MONDIAL - 150 (4 X CAJA - PRECIO U) (x4)</t>
  </si>
  <si>
    <t>EJE ARBOL DE LEVASHDTITAN2000 -BROSS(4PCS/BOX) (x4)</t>
  </si>
  <si>
    <t>EJE ARBOL DE LEVAS HD TODAY / HD TITAN 99 / HD XLR (4PCS/BOX) (x4)</t>
  </si>
  <si>
    <t>EJE DE BALANCIN HD CG150 (2 PCS) (x2)</t>
  </si>
  <si>
    <t>EJE DE BALANCIN INFERIOR HD STORM / HD TITAN 99 / HD XLR (x4)</t>
  </si>
  <si>
    <t>EJE DE BALANCIN INFERIOR HD TITAN 2000 / HD BROSS (4 PCS) (x4)</t>
  </si>
  <si>
    <t>EJE DE BALANCIN HD WAVE / BETA / GL / MONDIAL (2PCS) (x2)</t>
  </si>
  <si>
    <t>TRAJE DE LLUVIA PROTER PREMIUM MASC. S (x1)</t>
  </si>
  <si>
    <t>TRAJE DE LLUVIA PROTER PREMIUM MASC. M (x1)</t>
  </si>
  <si>
    <t>TRAJE DE LLUVIA PROTER PREMIUM MASC. L (x1)</t>
  </si>
  <si>
    <t>TRAJE DE LLUVIA PROTER PREMIUM MASC. XL (x1)</t>
  </si>
  <si>
    <t>TRAJE DE LLUVIA PROTER PREMIUM MASC. XXL (x1)</t>
  </si>
  <si>
    <t>TRAJE DE LLUVIA PROTER PREMIUM FEM. S (x1)</t>
  </si>
  <si>
    <t>TRAJE DE LLUVIA PROTER PREMIUM FEM. M (x1)</t>
  </si>
  <si>
    <t>TRAJE DE LLUVIA PROTER PREMIUM FEM. L (x1)</t>
  </si>
  <si>
    <t>TRAJE DE LLUVIA PROTER PREMIUM FEM. XL (x1)</t>
  </si>
  <si>
    <t>TRAJE DE LLUVIA PROTER PREMIUM FEM. XXL (x1)</t>
  </si>
  <si>
    <t>TRAJE DE LLUVIA NEGRO NITRO MEDIUM (x1)</t>
  </si>
  <si>
    <t>TRAJE DE LLUVIA NEGRO NITRO LARGE (x1)</t>
  </si>
  <si>
    <t>TRAJE DE LLUVIA NEGRO NITRO EXTRA LARGE (x1)</t>
  </si>
  <si>
    <t>TRAJE DE LLUVIA NEGRO NITRO EXTRA EXTRA LARGE (XXL) (x1)</t>
  </si>
  <si>
    <t>TRAJE DE LLUVIA NEGRO NITRO SMALL </t>
  </si>
  <si>
    <t>ESPEJOS NITRO YH YBR125 (x1)</t>
  </si>
  <si>
    <t>ESPEJOS NITRO TUNING GRAFITO (PAR) (x1)</t>
  </si>
  <si>
    <t>ESPEJOS NITRO TUNING OVAL GRAFITO CHICO (PAR) (x1)</t>
  </si>
  <si>
    <t>ESPEJOS NITRO TUNING ROMBOCROMADO (PAR) (x1)</t>
  </si>
  <si>
    <t>ESPEJOS NITRO TUNING RECTANGULARCROMADOCHICO (PAR) (x1)</t>
  </si>
  <si>
    <t>ESPEJOS NITRO TUNING RECTANGULARGRAFITOCHICO (PAR) (x1)</t>
  </si>
  <si>
    <t>ESPEJOS CATIIMOTO HD C100 BIZ (2 X CAJA) (x1)</t>
  </si>
  <si>
    <t>ESPEJOS CATIIMOTO CROMADOS GL SMASH / ML BLITZ (PAR) (x1)</t>
  </si>
  <si>
    <t>ESPEJOS CATIIMOTO ML BLITZ / HD BIZ 125 (2015-16) (PAR) (x1/x1)</t>
  </si>
  <si>
    <t>ESPEJOS CATIIMOTO SZ AX 100 (PAR) (x1)</t>
  </si>
  <si>
    <t>ESPEJOS CATIIMOTO HD CD100 (PAR) (x1)</t>
  </si>
  <si>
    <t>ESPEJOS CICLOMOTOR (PAR) (x1)</t>
  </si>
  <si>
    <t>ESPEJOS CATIIMOTO HD MB 100 DERECHO/IZQUIERDO (PAR) (x1)</t>
  </si>
  <si>
    <t>ESPEJOS CATIIMOTO ML CUSTOM 150 (PAR) (x1)</t>
  </si>
  <si>
    <t>ESPEJOS CATIIMOTO HD C90 (PAR) (x1)</t>
  </si>
  <si>
    <t>ESPEJOS CATIIMOTO ML MAX 110 (PAR) (x1)</t>
  </si>
  <si>
    <t>ESPEJOS CATIIMOTO ML C110 (PAR) (x1/x1)</t>
  </si>
  <si>
    <t>ESPEJOS CATIIMOTO ROSCA 10 MM. HD CG 150 TITAN (PAR) (x1)</t>
  </si>
  <si>
    <t>ESPEJOS CATIIMOTO HD TITAN TODAY (PAR) (x1)</t>
  </si>
  <si>
    <t>ESPEJOS CATIIMOTO HD TITAN 2000 (PAR) (x1)</t>
  </si>
  <si>
    <t>ESPEJOS NITRO HD CG 150 TITAN (PAR) (x1)</t>
  </si>
  <si>
    <t>ESPEJOS NITRO HD STORM (PAR) </t>
  </si>
  <si>
    <t>ESPEJOS NITRO YH FZ16 (PAR) </t>
  </si>
  <si>
    <t>ESPEJOS NITRO SZ AX 100 (PAR) </t>
  </si>
  <si>
    <t>ESPEJOS NITRO HD XR125L / HD XR150L (PAR) </t>
  </si>
  <si>
    <t>ESPEJOS NITRO ML SKUA 150-200 / CV TRIAX 150 (PAR) </t>
  </si>
  <si>
    <t>ESPEJOS CATIIMOTO ML BLITZ 110 (V8) / ZN ZB 110 (GIV) / CV ENERGY 110 (R2) / GL SMASH 110 (UNDER) / GU TRIPG-110 (x1)</t>
  </si>
  <si>
    <t>ESPEJOS CATIIMOTO HD XL250 / HD XR250 TORNADO DERECHO/IZQUIERDO (PAR) (x1)</t>
  </si>
  <si>
    <t>ESPEJOS CATIIMOTO ZN SEXY (PAR) (x1)</t>
  </si>
  <si>
    <t>ESPEJOS CATIIMOTO HD WAVE / HD BIZ 125 (2015-16) (PAR) (x1)</t>
  </si>
  <si>
    <t>ESPEJOS CATIIMOTO ROSCA 10 MM. HD XLR125 DERECHO/IZQUIERDO (PAR) </t>
  </si>
  <si>
    <t>ESTATOR CATIIMOTO 2 BOBINAS HD BIZ 100-105 (x1)</t>
  </si>
  <si>
    <t>ESTATOR CATIIMOTO 8 CAMPOS HD CG 150 TITAN (x1)</t>
  </si>
  <si>
    <t>ESTATOR HD GLH150 GAUCHA (x1)</t>
  </si>
  <si>
    <t>ESTATOR CATIIMOTO 6 CAMPOS HD TITAN 2000 </t>
  </si>
  <si>
    <t>ESTATOR CATIIMOTO 2 BOBINAS SZ AX 100 </t>
  </si>
  <si>
    <t>ESTATOR CATIIMOTO 7 CAMPOS ML BLITZ 110 (V8) (x1)</t>
  </si>
  <si>
    <t>ESTATOR CATIIMOTO 8 CAMPOS ZN ZB 110 (GIV) (x1)</t>
  </si>
  <si>
    <t>ESTATOR TOWO MONOFASICO 12 CAMPOS BJ ROUSER 200 NS (2017) (x1)</t>
  </si>
  <si>
    <t>ESTATOR TOWO HD XR125 / XR150L (x1)</t>
  </si>
  <si>
    <t>ESTATOR TOWO HD XR125L (2005-2010) (x1)</t>
  </si>
  <si>
    <t>ESTATOR TOWO YH YBR125 ED (x1)</t>
  </si>
  <si>
    <t>ESTATOR TOWO 12 CAMPOS YH FZ16 (x1)</t>
  </si>
  <si>
    <t>ESTIRA CADENA HD TITAN 150 (x10)</t>
  </si>
  <si>
    <t>ESTIRA CADENA 18 MM. YH CRYPTON T105 - 110 NEW (x10)</t>
  </si>
  <si>
    <t>ESTIRACADENA12MM.YHCRYPTONT105 - 110 NEW (x10)</t>
  </si>
  <si>
    <t>ESTIRA CADENA YH RX100/125 / YBR125 (x2)</t>
  </si>
  <si>
    <t>ESTIRA CADENA HD TITAN 99-2000 / ML S2 150 (x10)</t>
  </si>
  <si>
    <t>ESTIRA CADENA HD STORM (SET) (x1)</t>
  </si>
  <si>
    <t>ESTIRA CADENA SZ AX 100 - PRECIO UNITARIO (x2)</t>
  </si>
  <si>
    <t>TENSOR CADENA DISTRIBUCION YH YBR125 </t>
  </si>
  <si>
    <t>ESTIRA CADENA HD XR125L / HD XR150L (SET) (x1)</t>
  </si>
  <si>
    <t>ESTIRA CADENA ML SKUA 150-200 / CV TRIAX 150 (SET) (x1)</t>
  </si>
  <si>
    <t>ESTIRA CADENA HD XR250 TORNADO 1SET/POLY (SET) (x1)</t>
  </si>
  <si>
    <t>ESTIRA CADENA YH FZ16 (SET) (x1)</t>
  </si>
  <si>
    <t>ESTIRA CADENA ZN RX150 / CV HUNTER 150 (SET) (x1)</t>
  </si>
  <si>
    <t>ESTIRA CADENA HD GLH150 GAUCHA (x10)</t>
  </si>
  <si>
    <t>TENSOR CADENA DISTRIBUCION HD CG 150 TITAN / HD GLH150 GAUCHA </t>
  </si>
  <si>
    <t>EXTENSOR SUSPENSION TRASERA TUNING AMARILLO GL SMASH / ML BLITZ (PAR) (x1)</t>
  </si>
  <si>
    <t>EXTENSOR SUSPENSION TRASERA TUNING AZUL GL SMASH / ML BLITZ (PAR) (x1)</t>
  </si>
  <si>
    <t>EXTENSOR SUSPENSION TRASERA TUNING NEGRO GL SMASH / ML BLITZ (PAR) (x1)</t>
  </si>
  <si>
    <t>EXTENSOR SUSPENSION TRASERA TUNING PLATEADO GL SMASH / ML BLITZ (PAR) (x1)</t>
  </si>
  <si>
    <t>EXTENSOR SUSPENSION TRASERA TUNING ROJO GL SMASH / ML BLITZ (PAR) (x1)</t>
  </si>
  <si>
    <t>FAROL DELANTERO COMPLETO HD TODAY / HD TITAN 99 </t>
  </si>
  <si>
    <t>FAROL DELANTERO COMPLETO HD TITAN 2000 </t>
  </si>
  <si>
    <t>FAROL DELANTERO SZ AX 100 (x1)</t>
  </si>
  <si>
    <t>FAROL DELANTERO ML SKUA 150 NEW </t>
  </si>
  <si>
    <t>FAROL DELANTERO ML SKUA 200-250 </t>
  </si>
  <si>
    <t>FAROL DELANTERO HD CB1 </t>
  </si>
  <si>
    <t>FAROL DELANTERO HD XR125L </t>
  </si>
  <si>
    <t>FAROL DELANTERO YH CRYPTON 110 NEW </t>
  </si>
  <si>
    <t>FAROL DELANTERO HD XR150L (2015-2017) (x1)</t>
  </si>
  <si>
    <t>FAROL DELANTERO COMPLETO HD XR250 TORNADO / HD XLR125 </t>
  </si>
  <si>
    <t>FAROL DELANTERO COMPLETO HD STORM </t>
  </si>
  <si>
    <t>FAROL TRASERO COMPLETO HD TITAN 2000 </t>
  </si>
  <si>
    <t>FAROL DELANTERO YH FZ16 </t>
  </si>
  <si>
    <t>FAROL TRASERO ML SKUA 150 </t>
  </si>
  <si>
    <t>FAROL TRASERO ML SKUA 200-250 </t>
  </si>
  <si>
    <t>FAROL TRASERO HD CB1 </t>
  </si>
  <si>
    <t>FAROL TRASERO HD XR125L </t>
  </si>
  <si>
    <t>FAROL TRASERO YH CRYPTON 110 NEW </t>
  </si>
  <si>
    <t>FAROL TRASERO NITRO YH FZ16 </t>
  </si>
  <si>
    <t>OJO DE GATO ZN ZB110 (GIV) / ENERGY 110 (R2) / SMASH 110 (UNDERBONE) / TRIPG-110 (PRECIO POR PAR) (x1)</t>
  </si>
  <si>
    <t>FAROLDELANTEROCONGUIÑOSZNZB110 (GIV) (x1)</t>
  </si>
  <si>
    <t>FAROL TRASERO YH YBR125 ED 2012 FACTOR (x1)</t>
  </si>
  <si>
    <t>FAROL TRASERO SZ AX 100 (x1)</t>
  </si>
  <si>
    <t>FAROL TRASERO COMPLETO HD TODAY / HD TITAN 99 </t>
  </si>
  <si>
    <t>ACRILICO FAROL TRASERO HD BIZ </t>
  </si>
  <si>
    <t>ACRILICO FAROL TRASERO HD NXR 125 BROSS / HD XR250 TORNADO </t>
  </si>
  <si>
    <t>ACRILICO FAROL TRASERO HD C90 VIEJA </t>
  </si>
  <si>
    <t>ACRILICO FAROL TRASERO HD C90 NUEVA </t>
  </si>
  <si>
    <t>ACRILICO FAROL TRASERO HD STORM </t>
  </si>
  <si>
    <t>ACRILICO FAROL TRASERO HD TITAN 2000 </t>
  </si>
  <si>
    <t>FAROL TRASERO COMPLETO HD TITAN 99 / HD TITAN 150 </t>
  </si>
  <si>
    <t>ACRILICO FAROL TRASERO HD WAVE </t>
  </si>
  <si>
    <t>ACRILICO FAROL TRASERO SZ AX 100 </t>
  </si>
  <si>
    <t>ACRILICO FAROL TRASERO HD CG 150 TITAN </t>
  </si>
  <si>
    <t>FILTRO DE ACEITE YH FZ16 / BJ ROUSER 160 NS </t>
  </si>
  <si>
    <t>FILTRO DE ACEITE HD CG 150 TITAN / HD GLH150 GAUCHA / HD WAVE 110 S (x20)</t>
  </si>
  <si>
    <t>FILTRO DE ACEITE SZ DR 350 / DR 650 </t>
  </si>
  <si>
    <t>FILTRO DE ACEITE SZ DR 125 </t>
  </si>
  <si>
    <t>FILTRO DE ACEITE KW KLR 250 </t>
  </si>
  <si>
    <t>FILTRO DE ACEITE HD CB 750 </t>
  </si>
  <si>
    <t>FILTRO DE ACEITE YH XT600 </t>
  </si>
  <si>
    <t>FILTRO DE ACEITE HD XR250 TORNADO </t>
  </si>
  <si>
    <t>FILTRO DE NAFTA DE PAPEL YH FZ16 (x5)</t>
  </si>
  <si>
    <t>FILTRO DE NAFTA CHICO C/MALLA NYLON (ENTRADA Y SALIDA 6.5 MM.) HD WAVE / HD WAVE 110 S (x50)</t>
  </si>
  <si>
    <t>FILTRO DE NAFTA MEDIANO PAPEL (ENTRADA Y SALIDA 6.5 MM.) (x10)</t>
  </si>
  <si>
    <t>FILTRO DE AIRE COMPLETO C90 VIEJO (x1) </t>
  </si>
  <si>
    <t>FILTRO DE AIRE COMPLETO HD C90 LUXE </t>
  </si>
  <si>
    <t>FILTRO DE AIRE COMPLETO HD TITAN 2000 </t>
  </si>
  <si>
    <t>FILTRO DE AIRE HD CB1 125 (2012-2015) / HD GLH150 GAUCHA (x1)</t>
  </si>
  <si>
    <t>FILTRO DE AIRE SZ AX 100 (x1)</t>
  </si>
  <si>
    <t>FILTRO DE AIRE HD XR125L / HD XR150L / HD XL125L (2015) (x1)</t>
  </si>
  <si>
    <t>FILTRO DE AIRE HD CG 150 TITAN </t>
  </si>
  <si>
    <t>FILTRO DE AIRE HD STORM </t>
  </si>
  <si>
    <t>FILTRO DE AIRE HD CBX 250 </t>
  </si>
  <si>
    <t>FILTRO DE AIRE HD NXR 125 BROSS </t>
  </si>
  <si>
    <t>FILTRO DE AIRE ESPONJA HD XLR125 </t>
  </si>
  <si>
    <t>FILTRO DE AIRE ESPONJA YH YBR125 </t>
  </si>
  <si>
    <t>FILTRO DE AIRE ESPONJA HD BIZ / ML BIT / GL SMASH </t>
  </si>
  <si>
    <t>FILTRO DE AIRE ESPONJA HD TITAN 99 </t>
  </si>
  <si>
    <t>FILTRO DE AIRE ESPONJA HD TITAN 2000 </t>
  </si>
  <si>
    <t>FILTRO DE AIRE ESPONJA ZN HJ 125 </t>
  </si>
  <si>
    <t>FILTRO DE AIRE HD WAVE </t>
  </si>
  <si>
    <t>FILTRO DE AIRE YH YBR125 </t>
  </si>
  <si>
    <t>FILTRO DE AIRE HD XR250 TORNADO </t>
  </si>
  <si>
    <t>FILTRO DE AIRE ML SKUA 200-250 / ML SKUA 150 V6 / CV TRIAX 150 </t>
  </si>
  <si>
    <t>FILTRO DE AIRE YH FZ16 </t>
  </si>
  <si>
    <t>FILTRO DE AIRE HD XR125L </t>
  </si>
  <si>
    <t>FILTRO DE AIRE ZN RX 150 / ML S2 150 (x1)</t>
  </si>
  <si>
    <t>FILTRO DE AIRE CONICO AZUL 35 MM. </t>
  </si>
  <si>
    <t>FILTRO DE AIRE CONICO NEGRO 35 MM. </t>
  </si>
  <si>
    <t>FILTRO DE AIRE CONICO PLATEADO 35 MM. </t>
  </si>
  <si>
    <t>FILTRO DE AIRE CONICO ROJO 35 MM. </t>
  </si>
  <si>
    <t>FILTRO DE AIRE CONICO DORADO 35 MM. </t>
  </si>
  <si>
    <t>FILTRO DE AIRE CONICO AZUL 39 MM. </t>
  </si>
  <si>
    <t>FILTRO DE AIRE CONICO AZUL 42 MM. </t>
  </si>
  <si>
    <t>FILTRO DE AIRE CONICO NEGRO 42 MM. </t>
  </si>
  <si>
    <t>FILTRO DE AIRE CONICO PLATEADO 42 MM. </t>
  </si>
  <si>
    <t>FILTRO DE AIRE CONICO ROJO 42 MM. </t>
  </si>
  <si>
    <t>FILTRO DE AIRE CONICO DORADO 42 MM. </t>
  </si>
  <si>
    <t>FILTRO DE AIRE CONICO NEGRO 39 MM. </t>
  </si>
  <si>
    <t>FILTRO DE AIRE CONICO PLATEADO 39 MM. </t>
  </si>
  <si>
    <t>FILTRO DE AIRE CONICO ROJO 39 MM. </t>
  </si>
  <si>
    <t>FILTRO DE AIRE CONICO DORADO 39 MM. </t>
  </si>
  <si>
    <t>GOMA DE MAZA TRASERA CATIIMOTO SZ AX 100 (x1)</t>
  </si>
  <si>
    <t>GOMA DE MAZA TRASERA HD BIZ </t>
  </si>
  <si>
    <t>GOMA DE MAZA TRASERA YH CRYPTON T105 - 110 NEW </t>
  </si>
  <si>
    <t>GOMA DE MAZA TRASERA HD C90 R / GL SMASH / HD LX50 / ML BLITZ / GUER TRIP (x1)</t>
  </si>
  <si>
    <t>GOMA DE MAZA TRASERA HD MB100 / C90 </t>
  </si>
  <si>
    <t>GOMA DE MAZA TRASERA HD STORM </t>
  </si>
  <si>
    <t>GOMA DE MAZA TRASERA SZ RX 125/135/180 / YH YBR125 </t>
  </si>
  <si>
    <t>GOMA DE MAZA TRASERA HD CG TITAN 150 </t>
  </si>
  <si>
    <t>GOMA DE MAZA TRASERA YH FZ16 </t>
  </si>
  <si>
    <t>GOMA DE MAZA TRASERA ML SKUA 150 / ML SKUA 200 / CV TRIAX 150 (x1)</t>
  </si>
  <si>
    <t>GOMA DE MAZA TRASERA HD GLH150 GAUCHA  / HD CB 190 / HD CB1 125 (SET) (x1)</t>
  </si>
  <si>
    <t>GOMA PEDALIN DELANTERO CATIIMOTO HD BIZ (x2)</t>
  </si>
  <si>
    <t>GOMA PEDALIN TRASERO CATIIMOTO HD TITAN 2000 (x2)</t>
  </si>
  <si>
    <t>GOMA PEDALIN DELANTERO CATIIMOTO HD XLR125 (x2)</t>
  </si>
  <si>
    <t>GOMA PEDALIN DELANTERO CATIIMOTO HD TITAN 99 (x2)</t>
  </si>
  <si>
    <t>GOMA PEDALIN DELANTERO NITRO HD CG 150 TITAN (PAR) (x1)</t>
  </si>
  <si>
    <t>GOMA PEDALIN DELANTERO NITRO HD STORM (PAR) (x1)</t>
  </si>
  <si>
    <t>PEDALIN DELANTERO COMPLETO NITRO YH FZ16 (PAR) </t>
  </si>
  <si>
    <t>GOMA PEDALIN DELANTERO NITRO SZ AX 100 (PAR) </t>
  </si>
  <si>
    <t>PEDALIN DELANTERO COMPLETO NITRO ML SKUA 150 / 150 V6 / 200 </t>
  </si>
  <si>
    <t>GOMA PEDALIN DELANTERO CATIIMOTO ZN ZB 110 (GIV) / MN MAX 110 / CV ENERGY 110 (PAR) (x1)</t>
  </si>
  <si>
    <t>GUIÑOS TRAS HD XR125 / HD XR150L CAJA X 2U - PRECIO POR PAR (x1)</t>
  </si>
  <si>
    <t>GUIÑOS DEL HD XR125 / XR150L CAJA X 2U - PRECIO POR PAR (x1)</t>
  </si>
  <si>
    <t>GUIÑOS TRAS HD XR125 VARILLERO CADENERO CAJA X2 U- PRECIO POR PAR (x1)</t>
  </si>
  <si>
    <t>GUIÑOS YH YBR125 ED CAJA X 4U - PRECIO POR SET (x1)</t>
  </si>
  <si>
    <t>GUIÑOS YH YBR125 CAJA X 4U - PRECIO POR SET (x1)</t>
  </si>
  <si>
    <t>GUIÑOS DEL/TRAS GENERICO CUADRADOS TIPO HD NX150 / HD NIGHTHAWK PAR (PRECIO UNITARIO) (x2)</t>
  </si>
  <si>
    <t>GUIÑOS DEL/TRAS CROMADOS SZ AX 100/115 JAPON CAJA X4U- PRECIO POR UNIDAD (x4)</t>
  </si>
  <si>
    <t>GUIÑOS DEL/TRAS HD C90 VIEJA CAJA X2U- PRECIO POR UNIDAD (x2)</t>
  </si>
  <si>
    <t>GUIÑOS DEL/TRAS HD C90 R / CUB / GUERRERO RECTANGULAR CAJA X 2U - PRECIO POR UNIDAD (x2)</t>
  </si>
  <si>
    <t>GUIÑOS DELANTERO DER/IZQ HD GAUCHA GLH150 (x1)</t>
  </si>
  <si>
    <t>GUIÑOS TRASEROS DER/IZQ HD GAUCHA GLH150 (x1)</t>
  </si>
  <si>
    <t>PLASTICOSGUIÑOSGUERRERO50/100CAJA X 2U - PRECIO POR PAR (x1)</t>
  </si>
  <si>
    <t>GUIÑOS DEL/TRAS KW GTO110 CAJA X4U- PRECIO POR UNIDAD (x4)</t>
  </si>
  <si>
    <t>GUIÑOS LED UNIVERSAL BLANCO 10 MM. CAJA X 2 U - PRECIO POR UNIDAD (x2)</t>
  </si>
  <si>
    <t>GUIÑOS LED UNIVERSAL AMARILLO 10 MM. CAJA X 2 U - PRECIO POR UNIDAD (x2)</t>
  </si>
  <si>
    <t>GUIÑOS LED UNIVERSAL AZUL 10 MM. CAJA X 2 U - PRECIO POR UNIDAD (x2)</t>
  </si>
  <si>
    <t>GUIÑOS DEL HD C90 R / CUB / GUERRERO CAJA X 2U - PRECIO POR UNIDAD (x2)</t>
  </si>
  <si>
    <t>GUIÑOS DEL/TRAS KW KLR 250 CAJA X2U- PRECIO POR UNIDAD (x2)</t>
  </si>
  <si>
    <t>GUIÑOS DEL/TRAS HD NX 150 / HD CB250 CAJA X 2 U - PRECIO POR UNIDAD (x2)</t>
  </si>
  <si>
    <t>GUIÑOS DEL/TRAS YH RX100 CAJA X2U- PRECIO POR UNIDAD (x2)</t>
  </si>
  <si>
    <t>GUIÑOS DEL/TRAS ZN RX 150 / HD TITAN 2000 / CG150 / ML S2 150 / CV HUNTER 150 / GL VC150 (x1)</t>
  </si>
  <si>
    <t>GUIÑOS DEL HD TODAY / HD TITAN 99 CAJA X2U- PRECIO POR UNIDAD (x2)</t>
  </si>
  <si>
    <t>GUIÑOS TRAS. HD TODAY / HD TITAN 99 CAJA X2U - PRECIO POR UNIDAD (x2)</t>
  </si>
  <si>
    <t>GUIÑOS HD STORM CAJA X4U - PRECIO UNITARIO (x4)</t>
  </si>
  <si>
    <t>GUIÑOS YH FZ16 SET CAJA X4U - PRECIO UNITARIO (x4)</t>
  </si>
  <si>
    <t>GUIÑOS SZ AX100 CAJA X4U - PRECIO UNITARIO (x4)</t>
  </si>
  <si>
    <t>GUIÑOS DEL ML SKUA125 CAJA X2U - PRECIO UNITARIO (x2)</t>
  </si>
  <si>
    <t>GUIÑOS TRAS. ML SKUA 125 CAJA X 2U - PRECIO UNITARIO (x2)</t>
  </si>
  <si>
    <t>GUIÑOS TRAS ML SKUA 200-250 CAJA X2U - PRECIO UNITARIO (x2)</t>
  </si>
  <si>
    <t>GUIÑOS ML CUSTOM 150 / MONDIAL CAJA X 2U - PRECIO POR UNIDAD (x2)</t>
  </si>
  <si>
    <t>GUIÑOS SET X 4 YH V80 - PRECIO POR SET (x1)</t>
  </si>
  <si>
    <t>GUIÑOS DEL/TRAS HD XLR 125 CAJA X2U- PRECIO POR UNIDAD (x2)</t>
  </si>
  <si>
    <t>GUIAS DE VALVULA DE ADMISION/ESCAPE HD BIZ / GL SMASH / ML BLITZ (x1)</t>
  </si>
  <si>
    <t>GUIAS DE VALVULA DE ADMISION/ESCAPE HD TITAN TODAS </t>
  </si>
  <si>
    <t>GUIAS DE VALVULA DE ADMISION/ESCAPE HD XR125 VARILLERO / HD CG125 FAN (x1)</t>
  </si>
  <si>
    <t>GUIAS DE VALVULA DE ADMISION/ESCAPE HD CG 150 TITAN NEW / HD CG 150 TITAN / HD XR125L CADENERO / HD GLH150 GAUCHA </t>
  </si>
  <si>
    <t>GUIAS DE VALVULA DE ADMISION/ESCAPE HD STORM 125 </t>
  </si>
  <si>
    <t>GUIAS DE VALVULA DE ADMISION/ESCAPE YH YBR125 ED (x1)</t>
  </si>
  <si>
    <t>HORQUILLON TRAS SZ AX 100 (x1)</t>
  </si>
  <si>
    <t>HORQUILLON TRASERO HD TITAN 2000 </t>
  </si>
  <si>
    <t>HORQUILLON TRASERO HD TITAN 99 </t>
  </si>
  <si>
    <t>HORQUILLA INVERTIDA DE SUSPENSION TUNING (ALUMINIO ANODIZADO) NEGRO GL SMASH / ML BLITZ (x1)</t>
  </si>
  <si>
    <t>HORQUILLA INVERTIDA DE SUSPENSION TUNING (ALUMINIO ANODIZADO) PLATA GL SMASH / ML BLITZ (x1)</t>
  </si>
  <si>
    <t>HORQUILLA INVERTIDA DE SUSPENSION TUNING (ALUMINIO ANODIZADO) AZUL SMASH - BIT </t>
  </si>
  <si>
    <t>HORQUILLA INVERTIDA DE SUSPENSION TUNING (ALUMINIO ANODIZADO) ORO SMASH - BIT </t>
  </si>
  <si>
    <t>INSTALACION ELECTRICA FRENTE ML BIT </t>
  </si>
  <si>
    <t>INSTALACION ELECTRICA PRINCIPAL ML BIT </t>
  </si>
  <si>
    <t>INSTALACION ELECTRICA FRENTE GL SMASH </t>
  </si>
  <si>
    <t>INSTALACION ELECTRICA PRINCIPAL GL SMASH </t>
  </si>
  <si>
    <t>INSTALACION ELECTRICA SZ AX100 (x1)</t>
  </si>
  <si>
    <t>INSTALACION ELECTRICA ML BLITZ 110 (V8) (x1)</t>
  </si>
  <si>
    <t>INSTALACION ELECTRICA PRINCIPAL ZN ZB 110 (GIV) (x1)</t>
  </si>
  <si>
    <t>INSTALACION ELECTRICA CV ENERGY 110 (R2) (x1)</t>
  </si>
  <si>
    <t>INSTALACION ELECTRICA GL SMASH 110 (UNDERBONE) (x1)</t>
  </si>
  <si>
    <t>INSTALACION ELECTRICA PRINCIPAL GUER TRIPG-110 (x1)</t>
  </si>
  <si>
    <t>INSTALACION ELECTRICA FRENTE ML BLITZ 110 (V8) (x1)</t>
  </si>
  <si>
    <t>INSTALACION ELECTRICA FRENTE ZN ZB 110 (GIV) (x1)</t>
  </si>
  <si>
    <t>INSTALACION ELECTRICA FRENTE CV ENERGY 110 (R2) (x1)</t>
  </si>
  <si>
    <t>INSTALACION ELECTRICA FRENTE GL SMASH 110 (UNDERBONE) (x1)</t>
  </si>
  <si>
    <t>INSTALACION ELECTRICA FRENTE GUERRERO TRIP G-110 (x1)</t>
  </si>
  <si>
    <t>RETEN GUARDAPOLVO DE SUSPENSIÓN SZ AX 100 (27 X 39 X 10.5) (x10)</t>
  </si>
  <si>
    <t>RETENES DE MOTOR HD XR125 / XR150L (x1)</t>
  </si>
  <si>
    <t>JUEGO DE RETENES SZ A50 LX </t>
  </si>
  <si>
    <t>JUEGO DE RETENES YH AXIS 90 </t>
  </si>
  <si>
    <t>JUEGO DE RETENES SZ AX 100 </t>
  </si>
  <si>
    <t>RETENES DE MOTOR CATIIMOTO HD BIZ </t>
  </si>
  <si>
    <t>RETENES DE MOTOR CATIIMOTO ML BLITZ / ML C110 (x1)</t>
  </si>
  <si>
    <t>JUEGOS DE RETEN HD C90 NUEVA </t>
  </si>
  <si>
    <t>JUEGO DE RETENES YH DT 125 </t>
  </si>
  <si>
    <t>RETENES DE MOTOR CATIIMOTO SZ DR 350 (JUEGO) </t>
  </si>
  <si>
    <t>JUEGO DE RETENES JUKI DRIBLING </t>
  </si>
  <si>
    <t>RETENES DE MOTOR CATIIMOTO DAELIM LIBERTY 50 </t>
  </si>
  <si>
    <t>RETENES DE MOTOR CATIIMOTO SZ DR 125 / GS 125 </t>
  </si>
  <si>
    <t>JUEGO DE RETENES GARELLI 50 </t>
  </si>
  <si>
    <t>JUEGO DE RETENES YH JOG 50 </t>
  </si>
  <si>
    <t>RETENES DE MOTOR CATIIMOTO HD MB100 </t>
  </si>
  <si>
    <t>JUEGO DE RETENES HD NX 150 </t>
  </si>
  <si>
    <t>RETENES DE MOTOR CATIIMOTO KW NEO MAX (JUEGO) </t>
  </si>
  <si>
    <t>RETENES DE MOTOR CATIIMOTO YH YBR125 (JUEGO) </t>
  </si>
  <si>
    <t>RETENES DE MOTOR CATIIMOTO HD TITAN 150 </t>
  </si>
  <si>
    <t>RETENES DE MOTOR CATIIMOTO YH CRYPTON T105 - 110 NEW (JUEGO) </t>
  </si>
  <si>
    <t>RETENES DE MOTOR CATIIMOTO HD STORM / 125 (JUEGO) </t>
  </si>
  <si>
    <t>RETENES DE MOTOR CATIIMOTO ZN RX 150 / ML SKUA 150 / ML S2 150 / CV TRIAX 150 / GL VC150 (x1)</t>
  </si>
  <si>
    <t>JUEGO DE RETENES YH RX 125 MODELO VIEJO </t>
  </si>
  <si>
    <t>JUEGO DE RETENES YH RX100 </t>
  </si>
  <si>
    <t>RETENES DE MOTOR CATIIMOTO HD TODAY </t>
  </si>
  <si>
    <t>JUEGO DE RETENES KW KMX 125 </t>
  </si>
  <si>
    <t>JUEGO DE RETENES HD XR250 </t>
  </si>
  <si>
    <t>JUEGO DE RETENES HD XR600 </t>
  </si>
  <si>
    <t>ANILLO ESCAPE BJ ROUSER 200 NS (x50)</t>
  </si>
  <si>
    <t>ANILLO ESCAPE SZ AX 100 (x50)</t>
  </si>
  <si>
    <t>ANILLO ESCAPE HD STORM 125 (x50)</t>
  </si>
  <si>
    <t>ANILLO ESCAPE HD WAVE 110 2013-2017 (x50)</t>
  </si>
  <si>
    <t>ANILLO ESCAPE HD CG TITAN (TODAS) / HD GLH150 GAUCHA (x50)</t>
  </si>
  <si>
    <t>ANILLO ESCAPE GL SMASH (x50)</t>
  </si>
  <si>
    <t>JUNTAS COMPLETAS BBR BJ ROUSER 200 NS (x1)</t>
  </si>
  <si>
    <t>JUNTAS COMPLETAS BBR BIZ 125 (x1)</t>
  </si>
  <si>
    <t>JUNTAS COMPLETAS TOWO SZ AX 115 </t>
  </si>
  <si>
    <t>JUNTAS COMPLETAS BBR SZ AX 100 </t>
  </si>
  <si>
    <t>JUNTAS COMPLETAS BBR HD BIZ </t>
  </si>
  <si>
    <t>JUNTAS COMPLETAS BBR HD CBX200 </t>
  </si>
  <si>
    <t>JUNTAS COMPLETAS BBR YH CRYPTON T105 </t>
  </si>
  <si>
    <t>JUNTAS COMPLETAS BBR YH DT125 </t>
  </si>
  <si>
    <t>JUNTAS COMPLETAS BBR GL FU 110 CIL. 52.4 MM. </t>
  </si>
  <si>
    <t>JUNTAS COMPLETAS BBR GL SMASH </t>
  </si>
  <si>
    <t>JUNTAS COMPLETAS BBR HD TITAN 150 / HD XR150 </t>
  </si>
  <si>
    <t>JUNTAS COMPLETAS TOWO RX 100 INDIA </t>
  </si>
  <si>
    <t>JUNTAS COMPLETAS BBR HD WAVE </t>
  </si>
  <si>
    <t>JUNTAS COMPLETAS BBR DAKAR / CUSTOM 200 CON ORING </t>
  </si>
  <si>
    <t>JUNTAS COMPLETAS BBR ZN RX 150 CON ORING / GL VC150 </t>
  </si>
  <si>
    <t>JUNTAS COMPLETAS BBR ZN DUE50 </t>
  </si>
  <si>
    <t>JUNTAS COMPLETAS BBR ZN 50 V1- V2- V3 </t>
  </si>
  <si>
    <t>JUNTAS COMPLETAS BBR HD STORM </t>
  </si>
  <si>
    <t>JUNTAS COMPLETAS BBR CG125 TODAY </t>
  </si>
  <si>
    <t>JUNTAS COMPLETAS BBR DAELIM LIBERTY </t>
  </si>
  <si>
    <t>JUNTAS COMPLETAS BBR GUERRERO G70 </t>
  </si>
  <si>
    <t>JUNTAS COMPLETAS BBR GUERRERO MAGIC G100 </t>
  </si>
  <si>
    <t>JUNTAS COMPLETAS BBR HD NX 200 BRASIL </t>
  </si>
  <si>
    <t>JUNTAS COMPLETAS BBR YAMAHA RX125 </t>
  </si>
  <si>
    <t>JUNTAS COMPLETAS TOWO YH RX100 </t>
  </si>
  <si>
    <t>JUNTAS COMPLETAS BBR HD CB250 </t>
  </si>
  <si>
    <t>JUNTAS COMPLETAS BBR HD CG 150 TITAN / HD GLH150 GAUCHA / HD XR150L </t>
  </si>
  <si>
    <t>JUNTAS COMPLETAS BBR YH FZ16 CON ORING </t>
  </si>
  <si>
    <t>JUNTAS COMPLETAS BBR XR125L VARILLERA HASTA 2013 CON ORING </t>
  </si>
  <si>
    <t>JUNTAS COMPLETAS BBR HD XR250 TORNADO CON ORING </t>
  </si>
  <si>
    <t>JUNTAS COMPLETAS BBR ML SKUA 150 / ML S2 150 / CV TRIAX 150 / CV HUNTER 150 </t>
  </si>
  <si>
    <t>JUNTAS COMPLETAS BBR ML SKUA 200/250 CON ORING </t>
  </si>
  <si>
    <t>JUNTAS COMPLETAS BBR YH CRYPTON 110 NEW CON ORING </t>
  </si>
  <si>
    <t>JUNTAS COMPLETAS BBR SZ GN 125 (x1)</t>
  </si>
  <si>
    <t>JUNTAS COMPLETAS BBR HD WAVE 110 S (x1)</t>
  </si>
  <si>
    <t>JUNTAS TOP BBR CON JUNTA DE ESCAPE, TUBO DE ADMISION Y TENSOR DE DISTRIBUCION HD XR250 TORNADO </t>
  </si>
  <si>
    <t>JUNTAS TOP BBR ML SKUA 150 / ML S2 150 / CV TRIAX 150 / CV HUNTER 150 </t>
  </si>
  <si>
    <t>JUNTAS TOP BBR ML SKUA 200-250 </t>
  </si>
  <si>
    <t>JUNTAS TOP BBR YH CRYPTON </t>
  </si>
  <si>
    <t>JUNTAS TOP BBR BJ ROUSER 200 NS (x1)</t>
  </si>
  <si>
    <t>JUNTAS TOP BBR HD BIZ 125 2012-2017 (x1)</t>
  </si>
  <si>
    <t>JUNTAS TOP BBR SZ GN 125 (x1)</t>
  </si>
  <si>
    <t>JUNTAS COMPLETAS BBR HD TITAN 2000 </t>
  </si>
  <si>
    <t>JUNTAS COMPLETAS BBR ML CUSTOM 125 </t>
  </si>
  <si>
    <t>JUNTAS COMPLETAS BBR GUERRERO TRIP 110 </t>
  </si>
  <si>
    <t>JUNTAS COMPLETAS BBR YH YBR125 </t>
  </si>
  <si>
    <t>JUNTAS TOP BBR SUZUKI AX 100 </t>
  </si>
  <si>
    <t>JUNTAS TOP BBR HD BIZ 105 </t>
  </si>
  <si>
    <t>JUNTAS TOP BBR YH DT125 </t>
  </si>
  <si>
    <t>JUNTAS TOP BBR HD C90-DAX70 CON ORING </t>
  </si>
  <si>
    <t>JUNTAS TOP BBR HD CG 150 TITAN / HD GLH150 GAUCHA </t>
  </si>
  <si>
    <t>JUNTAS TOP BBR CON ORING YH FZ16 </t>
  </si>
  <si>
    <t>JUNTAS TOP BBR HD XR125L VARILLERA HASTA 2013 CON ORING </t>
  </si>
  <si>
    <t>JUNTAS TOP BBR HD CBX200 </t>
  </si>
  <si>
    <t>JUNTAS TOP BBR HD WAVE 110 S (x1)</t>
  </si>
  <si>
    <t>JUNTAS TOP BBR GL SMASH 53.50 MM. </t>
  </si>
  <si>
    <t>JUNTAS TOP BBR YH CRYPTON T105 </t>
  </si>
  <si>
    <t>JUNTAS TOP BBR HD TITAN 150 </t>
  </si>
  <si>
    <t>JUNTAS TOP BBR CON JUNTA DE ESCAPE HD XR250 TORNADO </t>
  </si>
  <si>
    <t>JUNTAS TOP BBR HD STORM / HD TITAN 99 </t>
  </si>
  <si>
    <t>JUNTAS TOP BBR GL SMASH REVOLUTION 125 / ZN ZB125 / ZN SEXY </t>
  </si>
  <si>
    <t>JUNTAS TOP BBR ZN ZB/VENTO 110 (3 VALVULAS) (x1)</t>
  </si>
  <si>
    <t>JUNTAS TOP BBR HD C90 LUXE CON ORING </t>
  </si>
  <si>
    <t>JUNTAS TOP BBR HD TODAY / HD TITAN 99 </t>
  </si>
  <si>
    <t>JUNTAS TOP BBR HD TITAN 2000 CON ORING </t>
  </si>
  <si>
    <t>JUNTAS TOP BBR YH YBR125 </t>
  </si>
  <si>
    <t>JUNTAS TOP TOWO ZN DUE </t>
  </si>
  <si>
    <t>JUNTAS TOP TOWO ZN 50 V3 </t>
  </si>
  <si>
    <t>JUNTAS TOP BBR ML C110 CON ORING </t>
  </si>
  <si>
    <t>JUNTAS TOP BBR ZN RX 150 / GL VC150 </t>
  </si>
  <si>
    <t>CORTA CADENAS CHOHO (x1)</t>
  </si>
  <si>
    <t>KIT275</t>
  </si>
  <si>
    <t>KIT MECANISMO VISOR HALCON H57 - ARANDELA Y TORNILLO (x1)</t>
  </si>
  <si>
    <t>BROCHE SUIZO 721 MECANISMO/BURBUJA (SET REPARACION) (x1)</t>
  </si>
  <si>
    <t>KIT MECANISMO VISOR HALCON H5 (x1) </t>
  </si>
  <si>
    <t>KIT MECANISMO VISOR HALCON H5 KIDS/ HAWK RS JUNIOR (x1)</t>
  </si>
  <si>
    <t>KIT MECANISMO VISOR RS5 (x1)</t>
  </si>
  <si>
    <t>KIT MENTONERA RS5 (x1) </t>
  </si>
  <si>
    <t>KIT MECANISMO VISOR BURBUJA HAWK 721 </t>
  </si>
  <si>
    <t>SUNVISOR 721 AMARILLO (x1)</t>
  </si>
  <si>
    <t>VISERA HAWK NEGRA UNIVERSAL (x1)</t>
  </si>
  <si>
    <t>VISERA RS7 NEGRA + REPUESTOS (VENTILACIONES, ALMOHADILLAS Y BOQUILLA) (x1)</t>
  </si>
  <si>
    <t>VISERA RS7 BLANCA + REPUESTOS (VENTILACIONES, ALMOHADILLAS Y BOQUILLA) (x1)</t>
  </si>
  <si>
    <t>VISOR HAWK RS9 ANTISCRATCH TRANSPARENTE + MECANISMO (x1)</t>
  </si>
  <si>
    <t>KIT RS9 ALMOHADILLAS (x1)</t>
  </si>
  <si>
    <t>KIT RS5/VECTOR MENTONERA NEGRO + VISOR ANTISCRATCH  + REPUESTOS (x1)</t>
  </si>
  <si>
    <t>KIT RS5/VECTOR MENTONERA NEGRO MATE + VISOR ANTISCRATCH  + REPUESTOS (x1)</t>
  </si>
  <si>
    <t>VISOR TRANSPARENTE + MECANISMO (RS5/RS5 VECTOR/RS11) (X1) (x1)</t>
  </si>
  <si>
    <t>KIT INTERIORES RS5/RS5 VECTOR (x1)</t>
  </si>
  <si>
    <t>KIT RS11 INTERIORES (x1)</t>
  </si>
  <si>
    <t>KIT RS1 VISOR TRANSPARENTE + MECANISMO Y VENTILACIONES (x1)</t>
  </si>
  <si>
    <t>KIT 721 INTERIORES (x1)</t>
  </si>
  <si>
    <t>KIT MECANISMO VISOR HAWK RS1 - ARANDELAS Y TORNILLOS INSIGNIA HAWK (x1)</t>
  </si>
  <si>
    <t>VISERA HALCON NEGRA UNIVERSAL (x1)</t>
  </si>
  <si>
    <t>VH721A</t>
  </si>
  <si>
    <t>SUNVISOR HAWK 721 NEGRO AHUMADO (x1)</t>
  </si>
  <si>
    <t>VALVULAS ADMISION Y ESCAPE CNK HD BIZ / HD WAVE / GL SMASH / ML BIT / 110 </t>
  </si>
  <si>
    <t>VALVULAS ADMISION Y ESCAPE CNK HD C90 / DAX ST 70 </t>
  </si>
  <si>
    <t>VALVULAS ADMISION Y ESCAPE CNK NX150 </t>
  </si>
  <si>
    <t>VALVULAS ADMISION Y ESCAPE CNK NEO MAX </t>
  </si>
  <si>
    <t>VALVULAS ADMISION Y ESCAPE CNK HD TITAN 99 / 2000 </t>
  </si>
  <si>
    <t>VALVULAS ADMISION Y ESCAPE CNK HD TITAN 125 2002 </t>
  </si>
  <si>
    <t>VALVULAS ADMISION Y ESCAPE CNK HD STORM 125 / HD CG125 / HD XR 200 (BRASIL) / HD XL 200 (BRASIL) / HD NX 200 (BRASIL) </t>
  </si>
  <si>
    <t>VALVULAS ADMISION Y ESCAPE CNK HD CG 150 TITAN / HD GLH150 GAUCHA </t>
  </si>
  <si>
    <t>VALVULAS ADMISION Y ESCAPE CNK YH YBR125 </t>
  </si>
  <si>
    <t>VALVULAS ADMISION Y ESCAPE CNK YH CRYPTON T105 - 110 NEW </t>
  </si>
  <si>
    <t>VALVULAS ADMISION Y ESCAPE CNK BJ ROUSER 135CC (x1)</t>
  </si>
  <si>
    <t>VALVULAS ADMISION Y ESCAPE CNK BJ ROUSER 220CC (x1)</t>
  </si>
  <si>
    <t>VALVULAS ADMISION Y ESCAPE CNK YH FZ16 </t>
  </si>
  <si>
    <t>VALVULAS ADMISION Y ESCAPE CNK ZN RX 150 / ML SKUA 150-200 (x1)</t>
  </si>
  <si>
    <t>VALVULAS ADMISION Y ESCAPE CATIIMOTO HD WAVE 110 S (x1)</t>
  </si>
  <si>
    <t>KIT VALVULAS ADMISION Y ESCAPE CNK ML VX150 / SCOOTERS 150 (x1)</t>
  </si>
  <si>
    <t>LAMPARA FOCUS TUBULAR 12V 3W S7 T8x31 (x10)</t>
  </si>
  <si>
    <t>LAMPARA FOCUS 12V 10W BA15S G18 VIDRIO AZUL (x10)</t>
  </si>
  <si>
    <t>TRABA TONYON U 190 X 320 MM. (x1/x20)</t>
  </si>
  <si>
    <t>LINGA TONYON CABLE DE ACERO RECUBIERTA PVC 25 X 1200 MM. (x1/x12)</t>
  </si>
  <si>
    <t>LINGA TONYON CABEZAL METALICO PLASTIFICADO - 2 LLAVES - 22 X 1200 MM. (x1/x12)</t>
  </si>
  <si>
    <t>TRABA DISCO TONYON GRANDE 10 MM. (x1/x36)</t>
  </si>
  <si>
    <t>TRABA DISCO TONYON CHICO 5.5 MM. (x1/x36)</t>
  </si>
  <si>
    <t>LINGA TONYON CADENA FORRADA 10 X 1200 MM. (x1/x4/x6)</t>
  </si>
  <si>
    <t>LINGA TONYON CABEZAL METALICO SATINADO - 3 LLAVES - 22 X 1200 MM. (x1/x12)</t>
  </si>
  <si>
    <t>LINGA TONYON CADENA FORRADA 10 X 1500 MM. (x1/x4)</t>
  </si>
  <si>
    <t>LINGA TONYON CABLE DE ACERO RECUBIERTA PVC 15 X 1200 MM. (x1/x24)</t>
  </si>
  <si>
    <t>TRABA TONYON U GRANDE 180 X 320 X 12 MM. (x1/x20)</t>
  </si>
  <si>
    <t>LINGA TONYON CABLE DE ACERO RECUBIERTA PVC 25 X 1000 MM. (x1/x12) </t>
  </si>
  <si>
    <t>TRABA DISCO TONYON C/ ALARMA 6 MM. (PILAS INCLUIDAS) (x1/x24)</t>
  </si>
  <si>
    <t>TRABA TONYON U ENGOMADA 162 X 282 MM. (x1/x10)</t>
  </si>
  <si>
    <t>LINGA CABLE DE ACERO RECUBIERTO PVC - CABLE LOOP 12 x 1800 MM. (x1)</t>
  </si>
  <si>
    <t>LINGA CABLE DE ACERO RECUBIERTO PVC CON TRABA U 20 X 1500 MM. (x1)</t>
  </si>
  <si>
    <t>LINGA CABLE DE ACERO RECUBIERTO PVC CON COMBINACION 20 x 1200 MM. (x1)</t>
  </si>
  <si>
    <t>CANDADO 62 X 83 MM. (x1)</t>
  </si>
  <si>
    <t>LLANTA CROMADA NITRO 160x14 TRAS: GL SMASH / ML BIT / GUE TRIP / HD BIZ (x1)</t>
  </si>
  <si>
    <t>LLANTA CROMADA NITRO 140x17 DEL: YH CRYPTON T105 / TRAS: HD WAVE 110 - HD WAVE 110 S (x1)</t>
  </si>
  <si>
    <t>LLANTA CROMADA NITRO 160x17 TRAS: SMASH / BIT / TRIP / BIZ (x1)</t>
  </si>
  <si>
    <t>LLANTA CROMADA NITRO 160x18 DEL: HD CG 150 / YH YBR125 / BETA BK / SZ GN 125 / TRAS: ZN RX 150 (x1)</t>
  </si>
  <si>
    <t>LLANTA CROMADA NITRO 160x21 DEL: YH XTZ125 250 / ML DAKAR / ZN ZTT150 / HD TORNADO 250 (x1)</t>
  </si>
  <si>
    <t>LLANTA CROMADA NITRO 120x16 CICLOMOTORES (x1)</t>
  </si>
  <si>
    <t>LLANTA CROMADA NITRO 300x13 GL SMASH TUNING / ZN ZB TUNING (x1)</t>
  </si>
  <si>
    <t>LLANTA CROMADA NITRO 120x17 DEL: HD WAVE / ZN DUE / HD C90 / GL SMASH (x1)</t>
  </si>
  <si>
    <t>LLANTA CROMADA NITRO 215x17 TRAS: HD FALCON / HD XR150L (x1)</t>
  </si>
  <si>
    <t>LLANTA ALEACION DELANTERA NITRO ML BLITZ 110 / ZN ZB 110 / GU TRIP 110 / CV ENERGY 110 (1.4 X 17) (x1)</t>
  </si>
  <si>
    <t>LLANTA ALEACION DELANTERA NITRO GL SMASH 110 (1.4 X 17) (x1)</t>
  </si>
  <si>
    <t>LLANTA ALEACION TRASERA NITRO ML BLITZ 110 / ZN ZB 110 / GU TRIP 110 / CV ENERGY 110 (1.6 X 14) (x1)</t>
  </si>
  <si>
    <t>LLANTA ALEACION TRASERA NITRO GL SMASH 110 (1.6 X 14) (x1)</t>
  </si>
  <si>
    <t>LLANTA ALEACION DELANTERA NITRO YH FZ16 (2.5 X 17) (x1)</t>
  </si>
  <si>
    <t>LLANTA ALEACION DELANTERA NITRO HD WAVE 110 (1.4 x 17) (x1)</t>
  </si>
  <si>
    <t>LLANTA ALEACION DELANTERA NITRO HD TITAN 150 2015 (1.60 x 18) (x1)</t>
  </si>
  <si>
    <t>LLANTA ALEACION DELANTERA NITRO YH YBR125 ED (1.6 X 18) (x1)</t>
  </si>
  <si>
    <t>LLANTA ALEACION DELANTERA NITRO ZN RX 150 (1.4 X 18) (x1)</t>
  </si>
  <si>
    <t>LLANTA ALEACION TRASERA NITRO YH FZ16 (3.5 X 17) (x1)</t>
  </si>
  <si>
    <t>LLANTA ALEACION TRASERA NITRO HD TITAN 150 2015 (1.85 X 18) (x1)</t>
  </si>
  <si>
    <t>LLANTA ALEACION TRASERA NITRO YH YBR125 ED (1.85 X 18) (x1)</t>
  </si>
  <si>
    <t>LLANTA ALEACION TRASERA NITRO YH CRYPTON 110 NEW (1.6 X 17) (x1)</t>
  </si>
  <si>
    <t>LLANTA ALEACION TRASERA NITRO SZ GN 125 (2.15 X 16) (x1)</t>
  </si>
  <si>
    <t>LLANTA COMPLETA DELANTERA ZN RX 150 (16 X 18) (x1)</t>
  </si>
  <si>
    <t>LLANTA COMPLETA DELANTERA ZN RX 150 (1.6 X 18) (x1)</t>
  </si>
  <si>
    <t>LLANTA COMPLETA DELANTERA YH YBR125E (1.6 X 18) (x1)</t>
  </si>
  <si>
    <t>LLANTA COMPLETA DELANTERA FRENO A ZAPATA GL SMASH 110 / GU TRIP 110 / ML BLITZ 110 / ZN ZB 110 / CV ENERGY 110 (1.40x17)</t>
  </si>
  <si>
    <t>LLANTA COMPLETA DELANTERA FRENO A DISCO GL SMASH 110 / GU TRIP 110 / CV ENERGY 110 / ML BLITZ 110 / ZN ZB 110 (1.40x17) </t>
  </si>
  <si>
    <t>LLANTA COMPLETA TRASERA HD CG 150 TITAN (1.85x18) (x1)</t>
  </si>
  <si>
    <t>LLANTA COMPLETA TRASERA ZN RX 150 (1.85 X 18) (x1)</t>
  </si>
  <si>
    <t>LLANTA COMPLETA TRASERA ML SKUA 150 V6 (2.15 X 18) (x1)</t>
  </si>
  <si>
    <t>LLANTA COMPLETA TRASERA YH YBR125E (1.85 X 18) (x1)</t>
  </si>
  <si>
    <t>LLANTA COMPLETA TRASERA GL SMASH 110 / GU TRIP 110 / CV ENERGY 110 / ML BLITZ 110 / ZN ZB 110 (1.60 X 14) (x1)</t>
  </si>
  <si>
    <t>LLAVE DE CONTACTO HD XR150L / HD XR125L / HD XL125L (2015) (x1)</t>
  </si>
  <si>
    <t>LLAVE DE CONTACTO HD CG125 FAN (2005-2008) (x1)</t>
  </si>
  <si>
    <t>LLAVE DE CONTACTO SZ AX 100 </t>
  </si>
  <si>
    <t>LLAVE DE CONTACTO YH AXIS </t>
  </si>
  <si>
    <t>LLAVE DE CONTACTO HD STORM </t>
  </si>
  <si>
    <t>LLAVE DE CONTACTO HD BIZ </t>
  </si>
  <si>
    <t>LLAVE DE CONTACTO GL SMASH / ML BIT - TRABA CORTA - 4 FICHAS </t>
  </si>
  <si>
    <t>LLAVE DE CONTACTO HD CD 100 </t>
  </si>
  <si>
    <t>LLAVE DE CONTACTO HD 90 </t>
  </si>
  <si>
    <t>LLAVE DE CONTACTO CON TRABA MANUBRIO YH CRYPTON T105 </t>
  </si>
  <si>
    <t>LLAVE DE CONTACTO YH DT125 XT600 </t>
  </si>
  <si>
    <t>LLAVE DE CONTACTO HD DAX </t>
  </si>
  <si>
    <t>LLAVE DE CONTACTO SZ DR 350 </t>
  </si>
  <si>
    <t>LLAVE DE CONTACTO DAELIM LIBERTY 50 </t>
  </si>
  <si>
    <t>LLAVE DE CONTACTO HD ELITE 50 / C110 / ECO TRABA LARGA/4 FICHAS </t>
  </si>
  <si>
    <t>LLAVE DE CONTACTO KW KLR 250 / KW KMX 125 (x1)</t>
  </si>
  <si>
    <t>LLAVE DE CONTACTO ML MAX 110 </t>
  </si>
  <si>
    <t>LLAVE DE CONTACTO YH RX125 </t>
  </si>
  <si>
    <t>LLAVE DE CONTACTO YH SIGMA </t>
  </si>
  <si>
    <t>LLAVE DE CONTACTO HD CB 250 CM 200 </t>
  </si>
  <si>
    <t>LLAVE DE CONTACTO HD MB100 / HD TODAY / HD TITAN 99 (x1)</t>
  </si>
  <si>
    <t>LLAVE DE CONTACTO HD TITAN 2000 KS/ES </t>
  </si>
  <si>
    <t>LLAVE DE CONTACTO HD XLR 125 </t>
  </si>
  <si>
    <t>LLAVE DE CONTACTO YH YBR125 / YH XTZ125 </t>
  </si>
  <si>
    <t>LLAVE DE CONTACTO ZN 200 </t>
  </si>
  <si>
    <t>LLAVE DE CONTACTO HD XR125L / HD NXR125 BROSS (x1)</t>
  </si>
  <si>
    <t>LLAVE DE CONTACTO YH FZ16 (x1)</t>
  </si>
  <si>
    <t>LLAVE DE CONTACTO SZ AX 100 (x1)</t>
  </si>
  <si>
    <t>LLAVE DE CONTACTO ML SKUA 150-200 / ML SKUA 150 V6 / ML S2 150 (x1)</t>
  </si>
  <si>
    <t>LLAVE DE CONTACTO YH CRYPTON 110 NEW </t>
  </si>
  <si>
    <t>LLAVE DE CONTACTO ML BLITZ 110 (V8) (x1)</t>
  </si>
  <si>
    <t>SOPORTE MANIJA EMBRAGUE HD XR125 / HD XR150L (x1)</t>
  </si>
  <si>
    <t>SOPORTE MANIJA FRENO CON BOMBA YH YBR125 ED (x2)</t>
  </si>
  <si>
    <t>MANIJA EMBRAGUE HD XR150L / HD XR250 (2015) TORNADO (x10)</t>
  </si>
  <si>
    <t>MANIJA FRENO C/BOMBA YH YBR125 ED (x10)</t>
  </si>
  <si>
    <t>MANIJA FRENO HD XR150L / XR125L (2015) (x10)</t>
  </si>
  <si>
    <t>MANIJA EMBRAGUE HD STORM (x10)</t>
  </si>
  <si>
    <t>MANIJA EMBRAGUE HD TRANSALP / HD NX 200 / HD XR200 (x10)</t>
  </si>
  <si>
    <t>MANIJA EMBRAGUE HD XLR 125 NEW (x10)</t>
  </si>
  <si>
    <t>MANIJA FRENO HD NX 150 / NX 200 / XR200 FALCON / HD XR250 TORNADO (x10)</t>
  </si>
  <si>
    <t>MANIJA FRENO HD XLR (x1)</t>
  </si>
  <si>
    <t>MANIJA EMBRAGUE HD XR125L (x10)</t>
  </si>
  <si>
    <t>MANIJA FRENO YH FZ16 (x10)</t>
  </si>
  <si>
    <t>MANIJA EMBRAGUE YH FZ16 (x10)</t>
  </si>
  <si>
    <t>MANIJA FRENO SZ AX 100 (x10)</t>
  </si>
  <si>
    <t>MANIJA EMBRAGUE SZ AX 100 (x10)</t>
  </si>
  <si>
    <t>MANIJA FRENO ML SKUA 150-200 / CV TRIAX 150 / CV HUNTER 150 (x10)</t>
  </si>
  <si>
    <t>MANIJA EMBRAGUE ML SKUA 150-200 / ML S2 150 / CV TRIAX 150 (x10)</t>
  </si>
  <si>
    <t>MANIJA FRENO HD XR125L (x10)</t>
  </si>
  <si>
    <t>MANIJA FRENO C/BOMBA Y SOPORTE ML SKUA 150 / CV HUNTER 150 (x2)</t>
  </si>
  <si>
    <t>MANIJA FRENO BJ ROUSER 200 NS / BJ ROUSER 160 NS (x5)</t>
  </si>
  <si>
    <t>MANIJA EMBRAGUE BJ ROUSER 200 NS / BJ ROUSER 160 NS (x5)</t>
  </si>
  <si>
    <t>MANIJA C/BOMBA FRENO A DISCO GL SMASH 110 (UNDER) / TRIPG-110 (x1)</t>
  </si>
  <si>
    <t>MANIJA FRENO DELANTERO ZN ZB 110 (GIV) (x5)</t>
  </si>
  <si>
    <t>MANIJAS ML CUSTOM 150 (PAR) (x1)</t>
  </si>
  <si>
    <t>MANIJA FRENO (TAMBOR) HD BIZ (x10)</t>
  </si>
  <si>
    <t>MANIJAS HD CD100 HERO-SLEEK (PAR) (x1)</t>
  </si>
  <si>
    <t>MANIJAS CROMADAS HD TODAY - NIGHTHAWK (PAR) (x1)</t>
  </si>
  <si>
    <t>MANIJAS YH XT 225 (PAR) (x1)</t>
  </si>
  <si>
    <t>MANIJAS SZ AX 100 (PAR) (x1)</t>
  </si>
  <si>
    <t>MANIJAS NEGRAS HD TODAY - NIGHTHAWK (PAR) (x1)</t>
  </si>
  <si>
    <t>MANIJA FRENO HD TITAN 99 / 2000 KS (x10)</t>
  </si>
  <si>
    <t>MANIJA FRENO HD C90 (x10)</t>
  </si>
  <si>
    <t>MANIJA EMBRAGUE HD TITAN 99 - 2000 (x10)</t>
  </si>
  <si>
    <t>MANIJAS YH RX100 (PAR) (x1)</t>
  </si>
  <si>
    <t>MANIJA FRENO YH CRYPTON T105 - SIGMA (x10)</t>
  </si>
  <si>
    <t>MANIJA FRENO HD TITAN 2000 ES (x10)</t>
  </si>
  <si>
    <t>MANIJAS YH DT 125 (PAR) (x1)</t>
  </si>
  <si>
    <t>MANIJAS YH JOG 50 (PAR) (x1)</t>
  </si>
  <si>
    <t>MANIJA FRENO (TAMBOR) GL SMASH / ML BIT (x10)</t>
  </si>
  <si>
    <t>MANIJA FRENO HD WAVE (x10)</t>
  </si>
  <si>
    <t>MANIJA FRENO ZAPATA HD STORM (x10)</t>
  </si>
  <si>
    <t>MANIJA FRENO YH YBR125 (x10)</t>
  </si>
  <si>
    <t>MANIJA EMBRAGUE YH YBR125 (x10)</t>
  </si>
  <si>
    <t>MANIJA FRENO DISCO ZN RX 150 (x10)</t>
  </si>
  <si>
    <t>MANIJA EMBRAGUE ZN RX 150 / CV HUNTER 150 / GL VC150 (x10)</t>
  </si>
  <si>
    <t>SOPORTE MANIJA FRENO HD BIZ (4 X BOLSA) (x4)</t>
  </si>
  <si>
    <t>SOPORTE MANIJA FRENO HD TITAN 2000 KS (x4)</t>
  </si>
  <si>
    <t>SOPORTE MANIJA FRENO HD XLR125-BROSS (4 X BOLSA) (x4)</t>
  </si>
  <si>
    <t>SOPORTE MANIJA EMBRAGUE HD CBX150/200 (4 X BOLSA) (x4)</t>
  </si>
  <si>
    <t>SOPORTE MANIJA EMBRAGUE HD TITAN 99/2000KS (4 X BOLSA) (x4)</t>
  </si>
  <si>
    <t>SOPORTE MANIJA EMBRAGUE HD XR200/250 BROSS (4 X BOLSA) (x4)</t>
  </si>
  <si>
    <t>SOPORTE MANIJA EMBRAGUE HD TITAN 2000 ES (4 X BOLSA) (x4)</t>
  </si>
  <si>
    <t>SOPORTE MANIJA EMBRAGUE HD XLR BROSS (x10)</t>
  </si>
  <si>
    <t>SOPORTE MANIJA FRENO HD STORM (x1)</t>
  </si>
  <si>
    <t>SOPORTE MANIJA EMBRAGUE HD STORM (x1)</t>
  </si>
  <si>
    <t>SOPORTE MANIJA FRENO + COMANDO DERECHO SZ AX 100 (x1)</t>
  </si>
  <si>
    <t>SOPORTE MANIJA EMBRAGUE + COMANDO IZQUIERDO SZ AX 100 (x1)</t>
  </si>
  <si>
    <t>SOPORTE MANIJA EMBRAGUE HD CG TITAN 150 (2015-17) (x1)</t>
  </si>
  <si>
    <t>SOPORTE MANIJA EMBRAGUE HD XR250 TORNADO (x2)</t>
  </si>
  <si>
    <t>SOPORTE MANIJA EMBRAGUE YH FZ16 (x2)</t>
  </si>
  <si>
    <t>SOPORTE MANIJA FRENO YH YBR125 2 PC/POLY + TOWO HEADER (x2)</t>
  </si>
  <si>
    <t>SOPORTE MANIJA EMBRAGUE YH YBR125 2 PC/POLY + TOWO HEADER (x2)</t>
  </si>
  <si>
    <t>MANIJA FRENO C/BOMBA Y SOPORTE BJ ROUSER 200 NS (x2)</t>
  </si>
  <si>
    <t>SOPORTE MANIJA EMBRAGUE BJ ROUSER 200 NS (x1)</t>
  </si>
  <si>
    <t>MANIJA FRENO HD GLH150 GAUCHA (x5)</t>
  </si>
  <si>
    <t>MANIJA EMBRAGUE HD GAUCHA GLH 150 (x5)</t>
  </si>
  <si>
    <t>MAZA DELANTERA HD C100 BIZ </t>
  </si>
  <si>
    <t>MAZA DELANTERA HD TITAN 2000 ES CON DISCO </t>
  </si>
  <si>
    <t>MAZA DELANTERA HD TITAN 2000 KS CON ZAPATA </t>
  </si>
  <si>
    <t>MAZA DELANTERA HD XLR125 BROSS </t>
  </si>
  <si>
    <t>MAZA DELANTERA YH YBR125 (x1)</t>
  </si>
  <si>
    <t>MAZA TRASERA HD C100 BIZ </t>
  </si>
  <si>
    <t>MAZA TRASERA HD TITAN 99 (x1)</t>
  </si>
  <si>
    <t>MAZA TRASERA HD NXR 125 BROSS </t>
  </si>
  <si>
    <t>MAZA TRASERA TOWO HD TITAN 2000 </t>
  </si>
  <si>
    <t>MAZA TRASERA YH YBR125 </t>
  </si>
  <si>
    <t>MAZA TRASERA HD XLR125 BLACK C/ PARTES </t>
  </si>
  <si>
    <t>PALANCA DE CAMBIOS SZ AX100 (x1)</t>
  </si>
  <si>
    <t>PALANCA DE CAMBIOS HD C90 / HD C100 BIZ (x1)</t>
  </si>
  <si>
    <t>PALANCA DE CAMBIOS HD TITAN 2000 </t>
  </si>
  <si>
    <t>PALANCA DE CAMBIOS HD XR150L / XR125L / XL125 (2015) (x1)</t>
  </si>
  <si>
    <t>PEDAL DE FRENO TRASERO HD XR150L / HD XR125L (2015) (x1)</t>
  </si>
  <si>
    <t>PALANCA DE CAMBIOS BJ ROUSER 200 NS (x1)</t>
  </si>
  <si>
    <t>PALANCA DE CAMBIOS YH YBR125 ED (x1)</t>
  </si>
  <si>
    <t>PALANCA DE CAMBIOS HD C90 NEW </t>
  </si>
  <si>
    <t>PALANCA DE CAMBIOS HD STORM </t>
  </si>
  <si>
    <t>PALANCA DE CAMBIOS HD TITAN 150 </t>
  </si>
  <si>
    <t>PALANCA DE CAMBIOS HD TWISTER </t>
  </si>
  <si>
    <t>PALANCA DE CAMBIOS ZN MONDIAL BETA 150 </t>
  </si>
  <si>
    <t>PALANCA DE CAMBIOS YH YBR125 </t>
  </si>
  <si>
    <t>PALANCA DE CAMBIOS HD XR125L 5MM. (x1)</t>
  </si>
  <si>
    <t>PALANCA DE CAMBIOS YH FZ16 (x1)</t>
  </si>
  <si>
    <t>PASTILLA DE FRENO EBC HD CB750 F 77-81/CB900 BOLD79-80 /CBX 1000 79-80/ CX500 82-83. (x1)</t>
  </si>
  <si>
    <t>PASTILLA DE FRENO EBC HONDA CB 750F 76/ GL1000 K/Z GOLDWING 76-79 (x1)</t>
  </si>
  <si>
    <t>PASTILLA DE FRENO EBC KAWASAKI Z400 79 / Z650 77-80 / 750 / 900 / 1000 76-99 (x1)</t>
  </si>
  <si>
    <t>PASTILLA DE FRENO EBC XS360-400-500-650-750-850-1100 F (x1)</t>
  </si>
  <si>
    <t>PASTILLA DE FRENO EBC SZ GS400/425/750 78-83 (x1)</t>
  </si>
  <si>
    <t>PASTILLA DE FRENO EBC GS425-550-750-1000-F (x1)</t>
  </si>
  <si>
    <t>PASTILLA DE FRENO EBC RD400 DAYTONA/ XS400-750-850-1100 F (x1)</t>
  </si>
  <si>
    <t>PASTILLA DE FRENO EBC DUCATI 748 95-02 (x1)</t>
  </si>
  <si>
    <t>PASTILLA DE FRENO EBC ST250-380-500-550-750-F KAWA H1/ H2/ Z1 F (x1)</t>
  </si>
  <si>
    <t>PASTILLA DE FRENO EBC KZ 1000-F/ KZ 1300-F (x1)</t>
  </si>
  <si>
    <t>PASTILLA DE FRENO EBC BANDIT 400-R/ 95 500-R/ 95-550-F/ KATANA 600-R (x1)</t>
  </si>
  <si>
    <t>PASTILLA DE FRENO EBC SZ GS 550-F/ 95 750-F/ 95 1000-F/ 95 1100-F (x1)</t>
  </si>
  <si>
    <t>PASTILLA DE FRENO EBC KLR 650-R/ KLR-250-F/ KDX 200-F/ GN 125-F/ BAYOU 300-F/ KX 125R (x1)</t>
  </si>
  <si>
    <t>PASTILLA DE FRENO EBC SUZUKI LT250 (x1)</t>
  </si>
  <si>
    <t>PASTILLA DE FRENO EBC NIGHTHAWK/ INTERCEPTOR/ CB 900 80/ REBEL CL 250 HELIX F XL 600 TRANSALP/ MAGNA/ SHADOW (x1)</t>
  </si>
  <si>
    <t>PASTILLA DE FRENO EBC CB 750-F/ CB 900-F/ CBX-F/ GL 1100-F (x1)</t>
  </si>
  <si>
    <t>PASTILLA DE FRENO EBC KZ 400-F/ KZ 440-F/ KZ 550-F/ 650-F KZ 750/ KZ 1000 (x1)</t>
  </si>
  <si>
    <t>PASTILLA DE FRENO EBC VTR 250 INTERCEPTOR F (x1)</t>
  </si>
  <si>
    <t>PASTILLA DE FRENO EBC (FA083) ADRESS 100-F/ RM 80 FyR/ KAWASAKI KX 80/ KMX 125-F (x1) (x1)</t>
  </si>
  <si>
    <t>PASTILLA DE FRENO EBC KAWASAKI Gpz 600 R A1-a5a 85-89 R (x1)</t>
  </si>
  <si>
    <t>PASTILLA DE FRENO EBC YH FJ 600 FyR/ FZ 600 F/ FZR 600/ 750/ 100 R/ FZX 700 FyR/ XV 700 VIRAGO 750 / 1100/ GENESIS 1000R</t>
  </si>
  <si>
    <t>PASTILLA DE FRENO EBC BETA SCOOBY / YH AXIS 90 / YH BWS 100 (x1)</t>
  </si>
  <si>
    <t>PASTILLA DE FRENO EBC YH DT125 / XT225/350/600/ YBR125ED 7 YZ125/250 (x1)</t>
  </si>
  <si>
    <t>PASTILLA DE FRENO EBC SZ GSX1100 GSXR750/1100 INTRUDER 600/750/800/1400 (x1)</t>
  </si>
  <si>
    <t>PASTILLA DE FRENO EBC YH FZR400 / FAZER 600 98-03/ RD350 85-90/XJ600 94-03 (x1)</t>
  </si>
  <si>
    <t>PASTILLA DE FRENO EBC YH TT600 / YZ125/250 85-86 (x1)</t>
  </si>
  <si>
    <t>PASTILLA DE FRENO EBC SZ LS650 SAVAGE/ RM125/250 (x1)</t>
  </si>
  <si>
    <t>PASTILLA DE FRENO EBC RT 180-F YH XT600 TENERE 85-91 (x1)</t>
  </si>
  <si>
    <t>PASTILLA DE FRENO EBC YH TTR125 00-15 /YZ 80 (x1)</t>
  </si>
  <si>
    <t>PASTILLA DE FRENO EBC  HD CB450S/CBR400R/CBR600F 87-90/VFR400 / XRV750 AFRICA TWIN (x1)</t>
  </si>
  <si>
    <t>PASTILLA DE FRENO EBC YH FJ1200 87-97/FZR750/1000 GENESIS/ TDM850/TZR250/XJR1200/ XV1300/1600 (x1)</t>
  </si>
  <si>
    <t>PASTILLA DE FRENO EBC VFR 750 INTERCEPTOR F/ CBR 100 F/ NX 650 F (x1)</t>
  </si>
  <si>
    <t>PASTILLA DE FRENO EBC SHADOW 600 F (x1)</t>
  </si>
  <si>
    <t>PASTILLA DE FRENO EBC BANDIT 400 F/ GS 500 F/ NINJA 250 F/ EX 500 F/ ZX1100 R/ KLE500 F (x1)</t>
  </si>
  <si>
    <t>PASTILLA DE FRENO EBC KTM EXC125/350/600 93 (x1)</t>
  </si>
  <si>
    <t>PASTILLA DE FRENO EBC HUSQVARNA WR/CR/TE (x1)</t>
  </si>
  <si>
    <t>PASTILLA DE FRENO EBC ATV LT250/ 500 R (x1)</t>
  </si>
  <si>
    <t>PASTILLA DE FRENO EBC NINJA 250 R / KAWASAKI EX250/ZEPHYR 550 (x1)</t>
  </si>
  <si>
    <t>PASTILLA DE FRENO EBC SUZUKI BANDIT GSXR1100 (x1)</t>
  </si>
  <si>
    <t>PASTILLA DE FRENO EBC SZ DR650/750/800 91-95 (x1)</t>
  </si>
  <si>
    <t>PASTILLA DE FRENO EBC GV 1400 CAVALCADE F (x1)</t>
  </si>
  <si>
    <t>PASTILLA DE FRENO EBC RM 125 R / DR 250 R/ RM 250 R/ DR 350 R/ KX 125 R/ KDX 200 R (x1)</t>
  </si>
  <si>
    <t>PASTILLA DE FRENO EBC RM 125 R 90-94/ YZ 125/ 250 91-94 R (x1)</t>
  </si>
  <si>
    <t>PASTILLA DE FRENO EBC YH YFS 200 BLASTER (TRASERA) (x1)</t>
  </si>
  <si>
    <t>PASTILLA DE FRENO EBC SZ SUZUKI DR600/650/750/800 / RG125 (x1)</t>
  </si>
  <si>
    <t>PASTILLA DE FRENO EBC SZ RGV 250 K/l 89-90 F KW GPZ900 NINJA (x1)</t>
  </si>
  <si>
    <t>PASTILLA DE FRENO EBC POLARIS ATP330/500/MAGNUM 330/425 / OUTLAW 450/500/525 / PREDATOR 500 (x1)</t>
  </si>
  <si>
    <t>PASTILLA DE FRENO EBC YH FJ1200/FZR600 GENESIS 90-95/TDM850 96-01/VMAX1200 96-02 (x1)</t>
  </si>
  <si>
    <t>PASTILLA DE FRENO EBC KW Z250 79-82/ZRX 1100/1200 /ZX7R 750/ZX12R 1200 00-06/ZXR400/ZZR1100/ZZR1200 (x1)</t>
  </si>
  <si>
    <t>PASTILLA DE FRENO EBC YH FZR400/YZF600 DEL (x1)</t>
  </si>
  <si>
    <t>PASTILLA DE FRENO EBC BMW R80/R850/K1 1000/K100/K1100/R1100 GS/K1200/RT1100 (x1)</t>
  </si>
  <si>
    <t>PASTILLA DE FRENO EBC FZR 1000 F, KW ZXR400 91-03/ SUZUKI RGV250 96 (x1)</t>
  </si>
  <si>
    <t>PASTILLA DE FRENO EBC YH FZR1000 91-93 (x1)</t>
  </si>
  <si>
    <t>PASTILLA DE FRENO EBC TRIUMPH DAYTONA 900 SUPER III 94 - 96 / YH FZR 1000 GENESIS EXUP 94 - 95 /YZF 750 R/SP 93 - 98 (x1</t>
  </si>
  <si>
    <t>PASTILLA DE FRENO EBC YH GTS 1000 F (x1)</t>
  </si>
  <si>
    <t>PASTILLA DE FRENO EBC CFMOTO NK 650 / KAWASAKI ER650 / KAWASAKI GPZ1100 95-98 (x1)</t>
  </si>
  <si>
    <t>PASTILLA DE FRENO EBC ATV YAMAHA BLASTER TRASERA (x1)</t>
  </si>
  <si>
    <t>PASTILLA DE FRENO EBC V-MAX 83-92 (x1)</t>
  </si>
  <si>
    <t>PATADA ARRANQUE NEGRA YH FZ16 (x1)</t>
  </si>
  <si>
    <t>PATADA ARRANQUE HD XR125L / NXR125 / XR150L (2013-2015) (x1)</t>
  </si>
  <si>
    <t>PATADA ARRANQUE HD TITAN TODAS </t>
  </si>
  <si>
    <t>PATADA ARRANQUE YH YBR125 </t>
  </si>
  <si>
    <t>PATADA DE ARRANQUE CROMADA SZ AX 100 </t>
  </si>
  <si>
    <t>PATADA DE ARRANQUE HD C100 CROMADA </t>
  </si>
  <si>
    <t>PATADA DE ARRANQUE HD C90 CROMADA </t>
  </si>
  <si>
    <t>PATADA DE ARRANQUE YH DT 125 NEGRA </t>
  </si>
  <si>
    <t>PATADA DE ARRANQUE YH JOG NEGRA </t>
  </si>
  <si>
    <t>PATADA DE ARRANQUE CROMADA KW NEO MAX </t>
  </si>
  <si>
    <t>PATADA DE ARRANQUE YH RX 125 CROMADA </t>
  </si>
  <si>
    <t>PATADA DE ARRANQUE CROMADA HD CG125 77 AL 84 </t>
  </si>
  <si>
    <t>PATADA DE ARRANQUE ZN CORTA </t>
  </si>
  <si>
    <t>KIT TRANSMISION PIÑON Y CORONA CHOHO HD C90 14T/36T (x1)</t>
  </si>
  <si>
    <t>KIT TRANSMISION PIÑON Y CORONA CHOHO KW NEO MAX 15T/39T (x1)</t>
  </si>
  <si>
    <t>KIT TRANSMISION PIÑON Y CORONA CHOHO SZ AX100 14T/42T (x1)</t>
  </si>
  <si>
    <t>KIT TRANSMISION PIÑON Y CORONA CHOHO HD C90 LUXE 14T/39T (x1)</t>
  </si>
  <si>
    <t>KIT TRANSMISION PIÑON Y CORONA CHOHO YH CRYPTON T105 15T/37T (x1)</t>
  </si>
  <si>
    <t>KIT TRANSMISION PIÑON Y CORONA CHOHO HD WAVE 14T/36T (x1)</t>
  </si>
  <si>
    <t>KIT TRANSMISION PIÑON Y CORONA CHOHO GU TRIP 110 / GL SMASH 110 / ML BIT 110 14T/36T (x1)</t>
  </si>
  <si>
    <t>KIT TRANSMISION PIÑON Y CORONA CHOHO GU TRIP 110 / GL SMASH 110 / ML BIT 110 15T/36T (x1)</t>
  </si>
  <si>
    <t>KIT TRANSMISION PIÑON Y CORONA CHOHO HD C100 BIZ 15T/35T (x1)</t>
  </si>
  <si>
    <t>KIT TRANSMISION PIÑON Y CORONA CHOHO HD CBX 200 13T/41T (x1)</t>
  </si>
  <si>
    <t>KIT TRANSMISION PIÑON Y CORONA CHOHO HD NXR 125 BROSS 17T/54T (x1)</t>
  </si>
  <si>
    <t>KIT TRANSMISION PIÑON Y CORONA CHOHO HD XR200 13T/43T (x1)</t>
  </si>
  <si>
    <t>KIT TRANSMISION PIÑON Y CORONA CHOHO YH YBR125 14T/43T (LARGA) (x1)</t>
  </si>
  <si>
    <t>KIT TRANSMISION PIÑON Y CORONA CHOHO HD TITAN 14T/44T (CON DEFENSA) (x1)</t>
  </si>
  <si>
    <t>KIT TRANSMISION PIÑON Y CORONA CHOHO HD TITAN 99 14T/43T (CON DEFENSA) (x1)</t>
  </si>
  <si>
    <t>KIT TRANSMISION PIÑON Y CORONA CHOHO HD CG 150 TITAN (x1)</t>
  </si>
  <si>
    <t>KIT TRANSMISION PIÑON Y CORONA CHOHO HD XLR125 15T/50T (x1)</t>
  </si>
  <si>
    <t>KIT TRANSMISION PIÑON Y CORONA CHOHO 150 CHINAS TIPO CG / ML S2 150 / GL VC150 15T/38T (x1)</t>
  </si>
  <si>
    <t>KIT TRANSMISION PIÑON Y CORONA CHOHO HD STORM 125 15T/40T (x1)</t>
  </si>
  <si>
    <t>KIT TRANSMISION PIÑON Y CORONA CHOHO HD XR250 TORNADO 13T/38T (x1)</t>
  </si>
  <si>
    <t>KIT TRANSMISION PIÑON Y CORONA CHOHO YH XTZ125 14T/48T (x1)</t>
  </si>
  <si>
    <t>KIT TRANSMISION PIÑON Y CORONA CHOHO YH XTZ250 15T/46T (x1)</t>
  </si>
  <si>
    <t>KIT TRANSMISION PIÑON Y CORONA CHOHO HD TWISTER 13T/37T (x1)</t>
  </si>
  <si>
    <t>KIT TRANSMISION PIÑON Y CORONA CHOHO BJ ROUSER 135 14T/42T (LARGA) (x1)</t>
  </si>
  <si>
    <t>KIT TRANSMISION PIÑON Y CORONA NITRO PRO - GL SMASH / GUERRERO / ML 110 14T 36T (x1/x10)</t>
  </si>
  <si>
    <t>KIT TRANSMISION PIÑON Y CORONA NITRO - GL SMASH / GUERRERO / ML 110 14T 34T (x1/x10)</t>
  </si>
  <si>
    <t>KIT TRANSMISION PIÑON Y CORONA NITRO - GL SMASH / GUERRERO / ML 110 16T 34T (x1/x10)</t>
  </si>
  <si>
    <t>KIT TRANSMISION PIÑON Y CORONA NITRO - GL SMASH / GUERRERO / ML 110 15T 36T (x1/x10)</t>
  </si>
  <si>
    <t>KIT TRANSMISION PIÑON Y CORONA NITRO - HD WAVE 110 S 14T 37T (x1/x10)</t>
  </si>
  <si>
    <t>KIT TRANSMISION PIÑON Y CORONA NITRO - YH CRYPTON 110 NEW 15T 37T (x1/x10)</t>
  </si>
  <si>
    <t>KIT TRANSMISION PIÑON Y CORONA NITRO - GL SMASH / GUERRERO / ML 110 14T 36T (x1/x10)</t>
  </si>
  <si>
    <t>KIT TRANSMISION PIÑON Y CORONA NITRO PRO - GL SMASH / GUERRERO / ML 110 15T 34T (x1/x10)</t>
  </si>
  <si>
    <t>KIT TRANSMISION PIÑON Y CORONA NITRO PRO - GL SMASH / GUERRERO / ML 110 16T 34T (x1/x10)</t>
  </si>
  <si>
    <t>KIT TRANSMISION PIÑON Y CORONA NITRO PRO - GL SMASH / GUERRERO / ML 110 15T 36T (x10/x1)</t>
  </si>
  <si>
    <t>KIT TRANSMISION PIÑON Y CORONA NITRO PRO - HD DAX 70 14T 35T (x1/x5)</t>
  </si>
  <si>
    <t>KIT TRANSMISION PIÑON Y CORONA NITRO PRO - HD WAVE 100 15T 36T (x1/x10)</t>
  </si>
  <si>
    <t>KIT TRANSMISION PIÑON Y CORONA NITRO - GL SMASH / GUERRERO / ML 110 15T 34T (x1/x10)</t>
  </si>
  <si>
    <t>KIT TRANSMISION PIÑON Y CORONA NITRO PRO - HD BIZ 100 15T 35T (x1/x10)</t>
  </si>
  <si>
    <t>KIT TRANSMISION PIÑON Y CORONA NITRO PRO - HD C90 ECONO 14T 36T (x1/x10)</t>
  </si>
  <si>
    <t>KIT TRANSMISION PIÑON Y CORONA NITRO PRO - HD TITAN 99 14T 43T (x1/x10)</t>
  </si>
  <si>
    <t>KIT TRANSMISION PIÑON Y CORONA NITRO PRO - HD TITAN 2000 44T 14T (x1/x10)</t>
  </si>
  <si>
    <t>KIT TRANSMISION PIÑON Y CORONA NITRO PRO - HD XR250 TORNADO 38T 13T (x1/x10)</t>
  </si>
  <si>
    <t>KIT TRANSMISION PIÑON Y CORONA NITRO PRO - HD STORM 125 15T 40T (x1/x10)</t>
  </si>
  <si>
    <t>KIT TRANSMISION PIÑON Y CORONA NITRO PRO - HD NXR 125 BROSS / HD XR125L / HD XR150L 54T 17T (x1/x10)</t>
  </si>
  <si>
    <t>KIT TRANSMISION PIÑON Y CORONA NITRO PRO - HD CG 150 TITAN 16T 43T (ESTRIA FINA 4 MM.) (x1/x10)</t>
  </si>
  <si>
    <t>KIT TRANSMISION PIÑON Y CORONA NITRO PRO - HD BIZ 125 14T 34T (x1/x10)</t>
  </si>
  <si>
    <t>KIT TRANSMISION PIÑON Y CORONA NITRO PRO - HD WAVE 110 S 14T 37T (x1/x10)</t>
  </si>
  <si>
    <t>KIT TRANSMISION PIÑON Y CORONA NITRO PRO - HD NXR 125 BROSS / HD XR125L / HD XR150L 49T 17T (x1/x10)</t>
  </si>
  <si>
    <t>KIT TRANSMISION PIÑON Y CORONA NITRO PRO - DAKAR 150/200 TRIAX 150/200 50T 16T (x1/x10)</t>
  </si>
  <si>
    <t>KIT TRANSMISION PIÑON Y CORONA NITRO PRO - ML CUSTOM 125 16T 38T (x1/x10)</t>
  </si>
  <si>
    <t>KIT TRANSMISION PIÑON Y CORONA NITRO PRO - ML CUSTOM 200 17T 40T (x1/x10)</t>
  </si>
  <si>
    <t>KIT TRANSMISION PIÑON Y CORONA NITRO PRO - ML SKUA 150/200 46T 17T (x1/x10)</t>
  </si>
  <si>
    <t>KIT TRANSMISION PIÑON Y CORONA NITRO PRO - ML SKUA 150-200 V6 / CV TRIAX 150 46T 17T (x1/x10)</t>
  </si>
  <si>
    <t>KIT TRANSMISION PIÑON Y CORONA NITRO PRO - SZ AX 100 14T 42T (x1/x10)</t>
  </si>
  <si>
    <t>KIT TRANSMISION PIÑON Y CORONA NITRO PRO - SZ GN 125 PIÑ 18 ESTRIAS 14T 43T (x1/x10)</t>
  </si>
  <si>
    <t>KIT TRANSMISION PIÑON Y CORONA NITRO PRO - YH FZ16 / F1 14T 40T (x1/x10)</t>
  </si>
  <si>
    <t>KIT TRANSMISION PIÑON Y CORONA NITRO PRO - YH YBR125 45T 14T (x1/x10)</t>
  </si>
  <si>
    <t>KIT TRANSMISION PIÑON Y CORONA NITRO PRO - YH XTZ125 48T 14T (x1/x10)</t>
  </si>
  <si>
    <t>KIT TRANSMISION PIÑON Y CORONA NITRO PRO - YH CRYPTON 110 NEW 15T 37T (x1/x10)</t>
  </si>
  <si>
    <t>KIT TRANSMISION PIÑON Y CORONA NITRO PRO - ZN HJ125 / ML CG 125 15T 39T (x1/x10)</t>
  </si>
  <si>
    <t>KIT TRANSMISION PIÑON Y CORONA NITRO PRO - ZN RX 150 / CV HUNTER 150 15T 38T (x1/x10)</t>
  </si>
  <si>
    <t>KIT TRANSMISION PIÑON Y CORONA NITRO HD TWISTER (13T + 37T) (x1)</t>
  </si>
  <si>
    <t>GUARDABARRO DELANTERO AZUL CLARO YH FZ16 (x1)</t>
  </si>
  <si>
    <t>GUARDABARRO DELANTERO AZUL YH FZ16 (x1)</t>
  </si>
  <si>
    <t>GUARDABARRO DELANTERO NEGRO YH FZ16 (x1)</t>
  </si>
  <si>
    <t>GUARDABARRO TRASERO INFERIOR NEGRO YH FZ16 (x1)</t>
  </si>
  <si>
    <t>GUARDABARRO TRASERO SUPERIOR NEGRO YH FZ16 (x1)</t>
  </si>
  <si>
    <t>GUARDABARRO TRASERO NEGRO HD XR150 (x1)</t>
  </si>
  <si>
    <t>GUARDABARRO DELANTERO AZUL ML SKUA 150 NEW (x1)</t>
  </si>
  <si>
    <t>GUARDABARRO DELANTERO BLANCO ML SKUA 150 NEW (x1)</t>
  </si>
  <si>
    <t>GUARDABARRO DELANTERO NEGRO ML SKUA 150 NEW (x1)</t>
  </si>
  <si>
    <t>GUARDABARRO DELANTERO ROJO ML SKUA 150 NEW (x1)</t>
  </si>
  <si>
    <t>CUBRE OPTICA DELANTERA AZUL ML SKUA 150 NEW (x1)</t>
  </si>
  <si>
    <t>CUBRE OPTICA DELANTERA NEGRO ML SKUA 150 NEW (x1)</t>
  </si>
  <si>
    <t>CUBRE OPTICA DELANTERA ROJO ML SKUA 150 NEW (x1)</t>
  </si>
  <si>
    <t>CACHA DERECHA AZUL CLARO SZ AX 100 (x1)</t>
  </si>
  <si>
    <t>CACHA DERECHA AZUL SZ AX 100 (x1)</t>
  </si>
  <si>
    <t>CACHA DERECHA GRIS SZ AX 100 (x1)</t>
  </si>
  <si>
    <t>CACHA DERECHA NEGRO SZ AX 100 (x1)</t>
  </si>
  <si>
    <t>CACHA DERECHA ROJO SZ AX 100 (x1)</t>
  </si>
  <si>
    <t>CACHA IZQUIERDA AZUL CLARO SZ AX 100 (x1)</t>
  </si>
  <si>
    <t>CACHA IZQUIERDA AZUL SZ AX 100 (x1)</t>
  </si>
  <si>
    <t>CACHA IZQUIERDA GRIS SZ AX 100 (x1)</t>
  </si>
  <si>
    <t>CACHA IZQUIERDA NEGRO SZ AX 100 (x1)</t>
  </si>
  <si>
    <t>CACHA IZQUIERDA ROJO SZ AX 100 (x1)</t>
  </si>
  <si>
    <t>COLIN TRASERO AZUL CLARO SZ AX 100 (x1)</t>
  </si>
  <si>
    <t>COLIN TRASERO AZUL SZ AX 100 (x1)</t>
  </si>
  <si>
    <t>COLIN TRASERO GRIS SZ AX 100 (x1)</t>
  </si>
  <si>
    <t>COLIN TRASERO NEGRO SZ AX 100 (x1)</t>
  </si>
  <si>
    <t>COLIN TRASERO ROJO SZ AX 100 (x1)</t>
  </si>
  <si>
    <t>TANQUE DE NAFTA GRIS SZ AX100 (GREY) (x1)</t>
  </si>
  <si>
    <t>TANQUE DE NAFTA ROJO SZ AX100 (RED) (x1)</t>
  </si>
  <si>
    <t>FRENTE OPTICA NEGRO GL SMASH / ML BIT </t>
  </si>
  <si>
    <t>FRENTE OPTICA PLATA GL SMASH / ML BIT </t>
  </si>
  <si>
    <t>FRENTE OPTICA ROJO GL SMASH / ML BIT </t>
  </si>
  <si>
    <t>CUBRE TABLERO GRIS GL SMASH / ML BIT </t>
  </si>
  <si>
    <t>CUBRE TABLERO ROJO GL SMASH / ML BIT </t>
  </si>
  <si>
    <t>CUBRE TABLERO AZUL GL SMASH / ML BIT </t>
  </si>
  <si>
    <t>CUBRE CADENA NEGRO GL SMASH / ML BIT (28 CM. ENTRE AGUJEROS) </t>
  </si>
  <si>
    <t>GUARDABARRO TRASERO NEGRO GL SMASH / ML BIT </t>
  </si>
  <si>
    <t>LATERAL DERECHO NEGRO GL SMASH / ML BIT </t>
  </si>
  <si>
    <t>LATERAL DERECHO PLATA GL SMASH / ML BIT </t>
  </si>
  <si>
    <t>LATERAL DERECHO ROJO GL SMASH / ML BIT </t>
  </si>
  <si>
    <t>FRENTE NEGRO GL SMASH / ML BIT </t>
  </si>
  <si>
    <t>FRENTE PLATA GL SMASH / ML BIT </t>
  </si>
  <si>
    <t>FRENTE ROJO GL SMASH / ML BIT </t>
  </si>
  <si>
    <t>GUARDABARRO DELANTERO NEGRO GL SMASH / ML BIT </t>
  </si>
  <si>
    <t>GUARDABARRO DELANTERO PLATA GL SMASH / ML BIT </t>
  </si>
  <si>
    <t>GUARDABARRO DELANTERO ROJO GL SMASH / ML BIT </t>
  </si>
  <si>
    <t>CUBRE HORQUILLA DERECHA NEGRO GL SMASH / ML BIT </t>
  </si>
  <si>
    <t>CUBRE HORQUILLA DERECHA PLATA GL SMASH / ML BIT </t>
  </si>
  <si>
    <t>CUBRE HORQUILLA DERECHA ROJO GL SMASH / ML BIT </t>
  </si>
  <si>
    <t>FRENTE BAJO ASIENTO NEGRO GL SMASH / ML BIT </t>
  </si>
  <si>
    <t>FRENTE BAJO ASIENTO ROJO GL SMASH / ML BIT </t>
  </si>
  <si>
    <t>FRENTE BAJO ASIENTO AZUL GL SMASH / ML BIT </t>
  </si>
  <si>
    <t>LATERAL IZQUIERDO NEGRO GL SMASH / ML BIT </t>
  </si>
  <si>
    <t>LATERAL IZQUIERDO PLATA GL SMASH / ML BIT </t>
  </si>
  <si>
    <t>LATERAL IZQUIERDO ROJO GL SMASH / ML BIT </t>
  </si>
  <si>
    <t>CUBRE HORQUILLA IZQUIERDA NEGRO GL SMASH / ML BIT </t>
  </si>
  <si>
    <t>CUBRE HORQUILLA IZQUIERDA PLATA GL SMASH / ML BIT </t>
  </si>
  <si>
    <t>POLLERA NEGRO GL SMASH / ML BIT </t>
  </si>
  <si>
    <t>POLLERA GRIS GL SMASH / ML BIT </t>
  </si>
  <si>
    <t>POLLERA ROJO GL SMASH / ML BIT </t>
  </si>
  <si>
    <t>POLLERA AZUL GL SMASH / ML BIT </t>
  </si>
  <si>
    <t>PORTA CORONA CON RULEMAN ML SKUA 150 NEW (x1)</t>
  </si>
  <si>
    <t>PORTA CORONA CON RULEMAN SZ AX 100 (x1)</t>
  </si>
  <si>
    <t>PORTA CORONA HD BIZ C100 (x1)</t>
  </si>
  <si>
    <t>PORTA CORONA YH YBR125 </t>
  </si>
  <si>
    <t>PORTA ZAPATA TRASERO HD TITAN 2000 (x1)</t>
  </si>
  <si>
    <t>PORTA ZAPATA TRASERO YH YBR125 </t>
  </si>
  <si>
    <t>PORTA ZAPATA TRASERO HD TITAN 99 </t>
  </si>
  <si>
    <t>PORTA ZAPATA DELANTERO HD TITAN 2000 </t>
  </si>
  <si>
    <t>PUÑOS TIPO TITAN LARGO 130 MM. (PAR) (x1)</t>
  </si>
  <si>
    <t>PUÑOS TIPO BIZ LARGO 130 MM. PUNTA CERRADA (PAR) (x1)</t>
  </si>
  <si>
    <t>PUÑOS LARGO 125 MM. PUNTA ABIERTA HD BIZ/HD BIZ125 / HD WAVE 110 S (PRECIO POR UNIDAD) (x2)</t>
  </si>
  <si>
    <t>PUÑOS TIPO BIZ LARGO 120 MM. CROMADOS (PAR) (x1)</t>
  </si>
  <si>
    <t>PUÑOS TIPO CHOPERA LARGO 150 MM. (PAR) (x1)</t>
  </si>
  <si>
    <t>PUÑOS TIPO HD TITAN LARGO 122 MM (PAR) (x1)</t>
  </si>
  <si>
    <t>PUÑOS GOMA NEGRO (PAR) (x1)</t>
  </si>
  <si>
    <t>PUÑOS PUNTERA ALUMINIO ANODIZADO NEGRO 130 MM. (PAR) (x1)</t>
  </si>
  <si>
    <t>PUÑOS PUNTERA ALUMINIO ANODIZADO PLATA 130 MM. (PAR) (x1)</t>
  </si>
  <si>
    <t>PUÑOS PUNTERA ALUMINIO ANODIZADO GRIS 130 MM. (PAR) </t>
  </si>
  <si>
    <t>PUÑOS PUNTERA ALUMINIO ANODIZADO NEGRO 123 MM. (PAR) (x1)</t>
  </si>
  <si>
    <t>PUÑOS PUNTERA ALUMINIO ANODIZADO PLATA 123 MM. (PAR) (x1)</t>
  </si>
  <si>
    <t>PUÑOS PUNTERA ALUMINIO ANODIZADO GRIS 123 MM. (PAR) </t>
  </si>
  <si>
    <t>PUÑOS ALUMINIO ANODIZADO ROMBOS PLATA (PAR) (x1)</t>
  </si>
  <si>
    <t>PUÑOS ALUMINIO ANODIZADO ROMBOS NEGRO (PAR) (x1)</t>
  </si>
  <si>
    <t>PUÑOS ALUMINIO ANODIZADO ROMBOS AZUL (PAR) (x1)</t>
  </si>
  <si>
    <t>PUÑOS ALUMINIO ANODIZADO ROMBOS ORO (PAR) (x1)</t>
  </si>
  <si>
    <t>PUÑOS ALUMINIO ANODIZADO PLATA 110 CC (PAR) (x1)</t>
  </si>
  <si>
    <t>PUÑOS ALUMINIO ANODIZADO NEGRO 110 CC (PAR) (x1)</t>
  </si>
  <si>
    <t>PUÑOS ALUMINIO ANODIZADO AZUL (PAR) (x1)</t>
  </si>
  <si>
    <t>PUÑOS ALUMINIO ANODIZADO ROJO 110 CC (PAR) (x1)</t>
  </si>
  <si>
    <t>PUÑOSTUNINGDE GOMA UNIVERSAL AMARILLO(PAR) (x1)</t>
  </si>
  <si>
    <t>PUÑOSTUNINGDE GOMA UNIVERSAL GRIS RR(PAR) (x1)</t>
  </si>
  <si>
    <t>PUÑOSTUNINGDE GOMA UNIVERSAL ROJORR (PAR) (x1)</t>
  </si>
  <si>
    <t>PUÑOSTUNINGDE GOMA UNIVERSAL AZULRR (PAR) (x1)</t>
  </si>
  <si>
    <t>PUÑOSTUNINGDE GOMA UNIVERSAL GRISCBR(PAR) (x1)</t>
  </si>
  <si>
    <t>RELOJ DE INSTRUMENTOS HD TITAN 99 VELOCIMETRO (x1)</t>
  </si>
  <si>
    <t>RELOJ DE INSTRUMENTOS HD TITAN 99 MEDIDOR NAFTA/NEUTRO/LUCES (x1)</t>
  </si>
  <si>
    <t>RELOJ DE INSTRUMENTOS HD TITAN 2000 VELOCIMETRO (x1)</t>
  </si>
  <si>
    <t>RELOJ DE INSTRUMENTOS HD TITAN 2000 MEDIDOR NAFTA/NEUTRO/LUCES (x1)</t>
  </si>
  <si>
    <t>RELOJ DE INSTRUMENTOS YH YBR125 VELOCIMETRO (x1)</t>
  </si>
  <si>
    <t>RELOJ DE INSTRUMENTOS YH YBR125 MEDIDOR NAFTA/NEUTRO/LUCES (x1)</t>
  </si>
  <si>
    <t>TABLERO TOWO CON CABLES ML SKUA 150-200 (x1)</t>
  </si>
  <si>
    <t>TABLERO TOWO CON CABLES YH CRYPTON 110 NEW (x1)</t>
  </si>
  <si>
    <t>TABLERO CATIIMOTO SIN CABLES ZN ZB 110 (GIV) (x1)</t>
  </si>
  <si>
    <t>TABLERO TOWO CON CABLES HD CB1 125 (2012-2015) (x1)</t>
  </si>
  <si>
    <t>TABLERO TOWO CON CABLES HD XR125L (2013) (x1)</t>
  </si>
  <si>
    <t>TABLERO TOWO CON CABLES ML SKUA 150 NEW (x1)</t>
  </si>
  <si>
    <t>REPARACION CARBURADOR YH YBR125 ED (SET) (x1)</t>
  </si>
  <si>
    <t>REPARACION CARBURADOR YH FZ16 (SET) (x1)</t>
  </si>
  <si>
    <t>REPARACION CARBURADOR ML SKUA 150 NEW (SET) (x1)</t>
  </si>
  <si>
    <t>SET REPARACION CARBURADOR HD TITAN TODAS (x1)</t>
  </si>
  <si>
    <t>SET REPARACION CARBURADOR GL SMASH / ML BIT (x1)</t>
  </si>
  <si>
    <t>SET REPARACION CARBURADOR SZ AX 100 (x1)</t>
  </si>
  <si>
    <t>SET REPARACION CARBURADOR HD XLR 125 (x1)</t>
  </si>
  <si>
    <t>SET REPARACION CARBURADOR HD CBX 150 (x1)</t>
  </si>
  <si>
    <t>SET REPARACION CARBURADOR HD BIZ C100 (x1)</t>
  </si>
  <si>
    <t>REPARACION CARBURADOR YH YBR125 (SET) (x1)</t>
  </si>
  <si>
    <t>SET REPARACION CARBURADOR HD XR 200/ NX 200/ CBX 200 (x1)</t>
  </si>
  <si>
    <t>SET REPARACION CARBURADOR HD NX 150 (x1)</t>
  </si>
  <si>
    <t>SET REPARACION CARBURADOR HD CD 100 (x1)</t>
  </si>
  <si>
    <t>SET REPARACION CARBURADOR ZN RX150 (x1)</t>
  </si>
  <si>
    <t>SET REPARACION CARBURADOR HD WAVE 110 S (x1)</t>
  </si>
  <si>
    <t>SEGURO AGUJA CARBURADOR UNIVERSAL (x100)</t>
  </si>
  <si>
    <t>KIT CILINDRO COMPLETO SUNGO HD WAVE 100 / HD BIZ 100 </t>
  </si>
  <si>
    <t>KIT CILINDRO COMPLETO SUNGO ML BIT 110 CC / GL SMASH </t>
  </si>
  <si>
    <t>KIT CILINDRO COMPLETO SUNGO GL SMASH 110 CC </t>
  </si>
  <si>
    <t>KIT CILINDRO COMPLETO SUNGO YH YBR125 / YH XTZ125 </t>
  </si>
  <si>
    <t>KIT CILINDRO COMPLETO SUNGO SZ AX 100 </t>
  </si>
  <si>
    <t>KIT CILINDRO COMPLETO SUNGO YH CRYPTON 110 NEW </t>
  </si>
  <si>
    <t>KIT CILINDRO COMPLETO SUNGO ZN RX 150 / ML SKUA 150 </t>
  </si>
  <si>
    <t>KIT CILINDRO COMPLETO SUNGO ML SKUA 200 </t>
  </si>
  <si>
    <t>KIT CILINDRO COMPLETO SUNGO GL SMASH 125 CC </t>
  </si>
  <si>
    <t>KIT CILINDRO COMPLETO SUNGO HD STORM 125 CC </t>
  </si>
  <si>
    <t>KIT CILINDRO COMPLETO SUNGO HD XR125L VARILLERA </t>
  </si>
  <si>
    <t>KIT CILINDRO COMPLETO SUNGO YH FZ16 </t>
  </si>
  <si>
    <t>KIT CILINDRO COMPLETO SUNGO YH CRYPTON T105 </t>
  </si>
  <si>
    <t>KIT CILINDRO COMPLETO SUNGO HD TITAN 150 / XR150L </t>
  </si>
  <si>
    <t>KIT CILINDRO COMPLETO SUNGO BJ ROUSER 200 NS (x1)</t>
  </si>
  <si>
    <t>KIT CILINDRO COMPLETO SUNGO HD TITAN 150 (190 CC) RACING C/ JUNTA (x1)</t>
  </si>
  <si>
    <t>KIT CILINDRO COMPLETO SUNGO HD TWISTER (RACING 290 CC) C/ JUNTA (x1)</t>
  </si>
  <si>
    <t>KIT CILINDRO COMPLETO SUNGO HD WAVE 110 S (x1)</t>
  </si>
  <si>
    <t>KIT CILINDRO COMPLETO SUNGO HD CBX150 / NX150 (x1)</t>
  </si>
  <si>
    <t>KIT CILINDRO COMPLETO SUNGO HD GLH150 GAUCHA (x1)</t>
  </si>
  <si>
    <t>KIT PISTON + ARO STD SUNGO HD WAVE 100 / HD BIZ 100 </t>
  </si>
  <si>
    <t>KIT PISTON + ARO 1.0 SUNGO HD WAVE 100 / HD BIZ 100 </t>
  </si>
  <si>
    <t>KIT PISTON + ARO 1.5 SUNGO HD WAVE 100 / HD BIZ 100 </t>
  </si>
  <si>
    <t>KIT PISTON + ARO 2.0 SUNGO HD WAVE 100 / HD BIZ 100 </t>
  </si>
  <si>
    <t>KIT PISTON + ARO STD SUNGO ML BIT 110 CC </t>
  </si>
  <si>
    <t>KIT PISTON + ARO 0.5 SUNGO ML BIT 110 CC </t>
  </si>
  <si>
    <t>KIT PISTON + ARO 1.5 SUNGO ML BIT 110 CC </t>
  </si>
  <si>
    <t>KIT PISTON + ARO 2.0 SUNGO ML BIT 110 CC </t>
  </si>
  <si>
    <t>KIT PISTON + ARO STD SUNGO GL SMASH 110 CC </t>
  </si>
  <si>
    <t>KIT PISTON + ARO 0.5 SUNGO GL SMASH 110 CC </t>
  </si>
  <si>
    <t>KIT PISTON + ARO 1.0 SUNGO GL SMASH 110 CC </t>
  </si>
  <si>
    <t>KIT PISTON + ARO 1.5 SUNGO GL SMASH 110 CC </t>
  </si>
  <si>
    <t>KIT PISTON + ARO 2.0 SUNGO GL SMASH 110 CC </t>
  </si>
  <si>
    <t>KIT PISTON + ARO STD SUNGO YH YBR125 / YH XTZ125 </t>
  </si>
  <si>
    <t>KIT PISTON + ARO 0.5 SUNGO YH YBR125 / YH XTZ125 </t>
  </si>
  <si>
    <t>KIT PISTON + ARO 1.0 SUNGO YH YBR125 / YH XTZ125 (x1)</t>
  </si>
  <si>
    <t>KIT PISTON + ARO 1.5 SUNGO YH YBR125 / YH XTZ125 (x1)</t>
  </si>
  <si>
    <t>KIT PISTON + ARO STD SUNGO SZ AX 100 </t>
  </si>
  <si>
    <t>KIT PISTON + ARO 0.5 SUNGO SZ AX 100 </t>
  </si>
  <si>
    <t>KIT PISTON + ARO 1.0 SUNGO SZ AX 100 </t>
  </si>
  <si>
    <t>KIT PISTON + ARO 1.5 SUNGO SZ AX 100 </t>
  </si>
  <si>
    <t>KIT PISTON + ARO STD SUNGO YH CRYPTON 110 NEW </t>
  </si>
  <si>
    <t>KIT PISTON + ARO 0.5 SUNGO YH CRYPTON 110 NEW </t>
  </si>
  <si>
    <t>KIT PISTON + ARO 1.5 SUNGO YH CRYPTON 110 NEW </t>
  </si>
  <si>
    <t>KIT PISTON + ARO 0.5 SUNGO ZN RX150 / ML SKUA 150 </t>
  </si>
  <si>
    <t>KIT PISTON + ARO 1.0 SUNGO ZN RX150 / ML SKUA 150 (x1)</t>
  </si>
  <si>
    <t>KIT PISTON + ARO 1.5 SUNGO ZN RX150 / ML SKUA 150 </t>
  </si>
  <si>
    <t>KIT PISTON + ARO 2.0 SUNGO ZN RX150 / ML SKUA 150 </t>
  </si>
  <si>
    <t>KIT PISTON + ARO STD SUNGO ML SKUA 200 (x1)</t>
  </si>
  <si>
    <t>KIT PISTON + ARO 0.5 SUNGO ML SKUA 200 </t>
  </si>
  <si>
    <t>KIT PISTON + ARO 1.0 SUNGO ML SKUA 200 </t>
  </si>
  <si>
    <t>KIT PISTON + ARO 1.5 SUNGO ML SKUA 200 </t>
  </si>
  <si>
    <t>KIT PISTON + ARO STD SUNGO GL SMASH 125 CC </t>
  </si>
  <si>
    <t>KIT PISTON + ARO 1.5 SUNGO GL SMASH 125 CC </t>
  </si>
  <si>
    <t>KIT PISTON + ARO STD SUNGO HD STORM </t>
  </si>
  <si>
    <t>KIT PISTON + ARO 1.0 SUNGO HD STORM 125 CC </t>
  </si>
  <si>
    <t>KIT PISTON + ARO 1.5 SUNGO HD STORM 125CC </t>
  </si>
  <si>
    <t>KIT PISTON + ARO 2.0 SUNGO HD STORM 125CC </t>
  </si>
  <si>
    <t>KIT PISTON + ARO STD SUNGO HD XR125L VARILLERA </t>
  </si>
  <si>
    <t>KIT PISTON + ARO 0.5 SUNGO HD XR125L VARILLERA </t>
  </si>
  <si>
    <t>KIT PISTON + ARO 1.0 SUNGO HD XR125L VARILLERA </t>
  </si>
  <si>
    <t>KIT PISTON + ARO 1.5 SUNGO HD XR125L VARILLERA </t>
  </si>
  <si>
    <t>KIT PISTON + ARO STD SUNGO YH FZ16 </t>
  </si>
  <si>
    <t>KIT PISTON + ARO 0.5 SUNGO YH FZ16 </t>
  </si>
  <si>
    <t>KIT PISTON + ARO 1.0 SUNGO YH FZ16 </t>
  </si>
  <si>
    <t>KIT PISTON + ARO 1.5 SUNGO YH FZ16 </t>
  </si>
  <si>
    <t>KIT PISTON + ARO STD SUNGO YH CRYPTON T105 </t>
  </si>
  <si>
    <t>KIT PISTON + ARO 0.5 SUNGO YH CRYPTON T105 </t>
  </si>
  <si>
    <t>KIT PISTON + ARO 1.0 SUNGO YH CRYPTON T105 </t>
  </si>
  <si>
    <t>KIT PISTON + ARO 1.5 SUNGO YH CRYPTON T105 </t>
  </si>
  <si>
    <t>KIT PISTON + ARO STD SUNGO HD CG 150 TITAN / HD GLH150 GAUCHA </t>
  </si>
  <si>
    <t>KIT PISTON + ARO 0.5 SUNGO HD CG 150 TITAN / HD GLH150 GAUCHA </t>
  </si>
  <si>
    <t>KIT PISTON + ARO 1.0 SUNGO HD CG 150 TITAN / HD GLH150 GAUCHA </t>
  </si>
  <si>
    <t>KIT PISTON + ARO 1.5 SUNGO HD CG 150 TITAN / HD GLH150 GAUCHA </t>
  </si>
  <si>
    <t>KIT PISTON + ARO 0.25 SUNGO HD WAVE 100 / HD BIZ 100 </t>
  </si>
  <si>
    <t>KIT PISTON + ARO 0.25 SUNGO ML BIT 110 CC </t>
  </si>
  <si>
    <t>KIT PISTON + ARO 0.25 SUNGO GL SMASH 110 CC </t>
  </si>
  <si>
    <t>KIT PISTON + ARO 0.25 SUNGO YH YBR125 / YH XTZ125 </t>
  </si>
  <si>
    <t>KIT PISTON + ARO 0.25 SUNGO SZ AX100 </t>
  </si>
  <si>
    <t>KIT PISTON + ARO 0.25 SUNGO YH CRYPTON 110 NEW </t>
  </si>
  <si>
    <t>KIT PISTON + ARO 0.25 SUNGO ZN RX150 / ML SKUA 150 </t>
  </si>
  <si>
    <t>KIT PISTON + ARO 0.25 SUNGO ML SKUA 200 </t>
  </si>
  <si>
    <t>KIT PISTON + ARO 0.25 SUNGO HD XR125L VARILLERA </t>
  </si>
  <si>
    <t>KIT PISTON + ARO 0.25 SUNGO YH FZ16 </t>
  </si>
  <si>
    <t>KIT PISTON + ARO 0.25 SUNGO YH CRYPTON T105 </t>
  </si>
  <si>
    <t>KIT PISTON + ARO 0.25 SUNGO HD CG 150 TITAN / HD GLH150 GAUCHA </t>
  </si>
  <si>
    <t>KIT PISTON + ARO 0.75 SUNGO HD WAVE 100 /HDBIZ100 </t>
  </si>
  <si>
    <t>KIT PISTON + ARO 0.75 SUNGO ML BIT 110 CC </t>
  </si>
  <si>
    <t>KIT PISTON + ARO 0.75 SUNGO GL SMASH 110 CC </t>
  </si>
  <si>
    <t>KIT PISTON + ARO 0.75 SUNGO YH YBR125 / YH XTZ125 </t>
  </si>
  <si>
    <t>KIT PISTON + ARO 0.75 SUNGO SZ AX100 </t>
  </si>
  <si>
    <t>KIT PISTON + ARO 0.75 SUNGO YH CRYPTON 110 NEW </t>
  </si>
  <si>
    <t>KIT PISTON + ARO 0.75 SUNGO ZN RX150 / ML SKUA 150 </t>
  </si>
  <si>
    <t>KIT PISTON + ARO 0.75 SUNGO ML SKUA 200 </t>
  </si>
  <si>
    <t>KIT PISTON + ARO 0.75 SUNGO GL SMASH 125 CC </t>
  </si>
  <si>
    <t>KIT PISTON + ARO 0.75 SUNGO HD STORM 125CC </t>
  </si>
  <si>
    <t>KIT PISTON + ARO 0.75 SUNGO HD XR125L VARILLERA </t>
  </si>
  <si>
    <t>KIT PISTON + ARO 0.75 SUNGO YH FZ16 </t>
  </si>
  <si>
    <t>KIT PISTON + ARO 0.75 SUNGO YH CRYPTON T105 </t>
  </si>
  <si>
    <t>KIT PISTON + ARO 0.75 SUNGO HD CG 150 TITAN / HD GLH150 GAUCHA (x1)</t>
  </si>
  <si>
    <t>KIT AROS STD SUNGO HD WAVE 100 / HD BIZ 100 </t>
  </si>
  <si>
    <t>KIT AROS 0.5 SUNGO HD WAVE 100 / HD BIZ 100 </t>
  </si>
  <si>
    <t>KIT AROS 1.0 SUNGO HD WAVE 100 / HD BIZ 100 </t>
  </si>
  <si>
    <t>KIT AROS 1.5 SUNGO HD WAVE 100 / HD BIZ 100 </t>
  </si>
  <si>
    <t>KIT AROS 2.0 SUNGO HD WAVE 100 / HD BIZ 100 </t>
  </si>
  <si>
    <t>KIT AROS STD SUNGO MLBIT110CC (x1)</t>
  </si>
  <si>
    <t>KIT AROS 0.5 SUNGO MLBIT110CC (x1)</t>
  </si>
  <si>
    <t>KIT AROS 1.0 SUNGO MLBIT110CC (x1)</t>
  </si>
  <si>
    <t>KIT AROS 1.5 SUNGO MLBIT110CC (x1)</t>
  </si>
  <si>
    <t>KIT AROS 2.0 SUNGO MLBIT110CC (x1)</t>
  </si>
  <si>
    <t>KIT AROS STD SUNGO GL SMASH 110 CC </t>
  </si>
  <si>
    <t>KIT AROS 0.5 SUNGO GL SMASH 110 CC </t>
  </si>
  <si>
    <t>KIT AROS 1.0 SUNGO GL SMASH 110 CC </t>
  </si>
  <si>
    <t>KIT AROS 1.5 SUNGO GL SMASH 110 CC </t>
  </si>
  <si>
    <t>KIT AROS 2.0 SUNGO GL SMASH 110 CC </t>
  </si>
  <si>
    <t>KIT AROS STD SUNGO YH YBR125 / YH XTZ125 </t>
  </si>
  <si>
    <t>KIT AROS 0.5 SUNGO YH YBR125 / YH XTZ125 </t>
  </si>
  <si>
    <t>KIT AROS 1.0 SUNGO YH YBR125 / YH XTZ125 </t>
  </si>
  <si>
    <t>KIT AROS 1.5 SUNGO YH YBR125 / YH XTZ125 </t>
  </si>
  <si>
    <t>KIT AROS STD SUNGO SZ AX 100 </t>
  </si>
  <si>
    <t>KIT AROS 0.5 SUNGO SZ AX 100 </t>
  </si>
  <si>
    <t>KIT AROS 1.0 SUNGO SZ AX 100 </t>
  </si>
  <si>
    <t>KIT AROS 1.5 SUNGO SX AX 100 </t>
  </si>
  <si>
    <t>KIT AROS STD SUNGO YH CRYPTON 110 </t>
  </si>
  <si>
    <t>KIT AROS 0.5 SUNGO YH CRYPTON 110 </t>
  </si>
  <si>
    <t>KIT AROS 1.0 SUNGO YH CRYPTON 110 </t>
  </si>
  <si>
    <t>KIT AROS 1.5 SUNGO YH CRYPTON 110 </t>
  </si>
  <si>
    <t>KIT AROS STD SUNGO ZN RX 150 / ML SKUA 150 </t>
  </si>
  <si>
    <t>KIT AROS 0.5 SUNGO ZN RX 150 / ML SKUA 150 </t>
  </si>
  <si>
    <t>KIT AROS 1.5 SUNGO ZN RX 150 / ML SKUA 150 </t>
  </si>
  <si>
    <t>KIT AROS 2.0 SUNGO ZN RX 150 / ML SKUA 150 </t>
  </si>
  <si>
    <t>KIT AROS STD SUNGO MLSKUA 200 </t>
  </si>
  <si>
    <t>KIT AROS 0.5 SUNGO MLSKUA 200 </t>
  </si>
  <si>
    <t>KIT AROS 1.0 SUNGO MLSKUA 200 (x1)</t>
  </si>
  <si>
    <t>KIT AROS 1.5 SUNGO MLSKUA 200 </t>
  </si>
  <si>
    <t>KIT AROS STD SUNGO GL SMASH 125 CC </t>
  </si>
  <si>
    <t>KIT AROS 0.5 SUNGO GL SMASH 125 CC </t>
  </si>
  <si>
    <t>KIT AROS 1.0 SUNGO GL SMASH 125 CC </t>
  </si>
  <si>
    <t>KIT AROS 1.5 SUNGO GL SMASH 125 CC </t>
  </si>
  <si>
    <t>KIT AROS STD SUNGOHDSTORM125 CC </t>
  </si>
  <si>
    <t>KIT AROS 0.5 SUNGO HDSTORM125 CC </t>
  </si>
  <si>
    <t>KIT AROS 1.0 SUNGO HDSTORM125 CC </t>
  </si>
  <si>
    <t>KIT AROS 1.5 SUNGO HDSTORM125 CC </t>
  </si>
  <si>
    <t>KIT AROS STD SUNGO HD XR125L VARILLERA </t>
  </si>
  <si>
    <t>KIT AROS 0.5 SUNGO HD XR125L VARILLERA </t>
  </si>
  <si>
    <t>KIT AROS 1.0 SUNGO HD XR125L VARILLERA </t>
  </si>
  <si>
    <t>KIT AROS 1.5 SUNGO HD XR125L VARILLERA </t>
  </si>
  <si>
    <t>KIT AROS STD SUNGO YH FZ16 </t>
  </si>
  <si>
    <t>KIT AROS 0.5 SUNGO YH FZ16 </t>
  </si>
  <si>
    <t>KIT AROS 1.0 SUNGO YH FZ16 </t>
  </si>
  <si>
    <t>KIT AROS 1.5 SUNGO YH FZ16 </t>
  </si>
  <si>
    <t>KIT AROS STD SUNGO YH CRYPTON 105 </t>
  </si>
  <si>
    <t>KIT AROS 0.5 SUNGO YH CRYPTON 105 </t>
  </si>
  <si>
    <t>KIT AROS 1.0 SUNGO YH CRYPTON 105 </t>
  </si>
  <si>
    <t>KIT AROS 1.5 SUNGO YH CRYPTON 105 </t>
  </si>
  <si>
    <t>KIT AROS STD SUNGO HD CG 150 TITAN / HD GLH150 GAUCHA </t>
  </si>
  <si>
    <t>KIT AROS 0.5 SUNGO HD CG 150 TITAN / HD GLH150 GAUCHA </t>
  </si>
  <si>
    <t>KIT AROS 1.0 SUNGO HD CG 150 TITAN / HD GLH150 GAUCHA </t>
  </si>
  <si>
    <t>KIT AROS 1.5 SUNGO HD CG 150 TITAN / HD GLH150 GAUCHA </t>
  </si>
  <si>
    <t>KIT AROS 0.25 SUNGO HD WAVE 100 / HD BIZ 100 </t>
  </si>
  <si>
    <t>KIT AROS 0.25 SUNGO ML BIT 110 CC (x1)</t>
  </si>
  <si>
    <t>KIT AROS 0.25 SUNGO GL SMASH 110 CC </t>
  </si>
  <si>
    <t>KIT AROS 0.25 SUNGO YH YBR125 / YH XTZ125 </t>
  </si>
  <si>
    <t>KIT AROS 0.25 SUNGO SZ AX 100 </t>
  </si>
  <si>
    <t>KIT AROS 0.25 SUNGO YH CRYPTON 110 </t>
  </si>
  <si>
    <t>KIT AROS 0.25 SUNGO ZN RX150 / ML SKUA 150 </t>
  </si>
  <si>
    <t>KIT AROS 0.25 SUNGO ML SKUA 200 </t>
  </si>
  <si>
    <t>KIT AROS 0.25 SUNGO GL SMASH 125 CC </t>
  </si>
  <si>
    <t>KIT AROS 0.25 SUNGO HD STORM 125 CC </t>
  </si>
  <si>
    <t>KIT AROS 0.25 SUNGO HD XR125L VARILLERA </t>
  </si>
  <si>
    <t>KIT AROS 0.25 SUNGO YH FZ16 </t>
  </si>
  <si>
    <t>KIT AROS 0.25 SUNGO YH CRYPTON 105 </t>
  </si>
  <si>
    <t>KIT AROS 0.25 SUNGO HD CG 150 TITAN / HD GLH150 GAUCHA </t>
  </si>
  <si>
    <t>KIT AROS 0.75 SUNGO HD WAVE 100 / HD BIZ 100 </t>
  </si>
  <si>
    <t>KIT AROS 0.75 SUNGO ML BIT 110 CC (x1)</t>
  </si>
  <si>
    <t>KIT AROS 0.75 SUNGO GL SMASH 110 CC </t>
  </si>
  <si>
    <t>KIT AROS 0.75 SUNGO YH YBR125 / YH XTZ125 </t>
  </si>
  <si>
    <t>KIT AROS 0.75 SUNGO SZ AX 100 </t>
  </si>
  <si>
    <t>KIT AROS 0.75 SUNGO YH CRYPTON 110 </t>
  </si>
  <si>
    <t>KIT AROS 0.75 SUNGO ZN RX150 / ML SKUA 150 </t>
  </si>
  <si>
    <t>KIT AROS 0.75 SUNGO ML SKUA 200 </t>
  </si>
  <si>
    <t>KIT AROS 0.75 SUNGO GL SMASH 125 CC </t>
  </si>
  <si>
    <t>KIT AROS 0.75 SUNGO HD STORM 125 CC (x1)</t>
  </si>
  <si>
    <t>KIT AROS 0.75 SUNGO HD XR125L VARILLERA </t>
  </si>
  <si>
    <t>KIT AROS 0.75 SUNGO YH FZ16 </t>
  </si>
  <si>
    <t>KIT AROS 0.75 SUNGO YH CRYPTON 105 </t>
  </si>
  <si>
    <t>KIT AROS 0.75 SUNGO HD CG 150 TITAN / HD GLH150 GAUCHA </t>
  </si>
  <si>
    <t>RESORTE FRENO TRASERO HD TITAN 99 / 2000 (x10)</t>
  </si>
  <si>
    <t>RESORTE CABALLETE HD TITAN 150 (x10)</t>
  </si>
  <si>
    <t>RESORTE CABALLETE SZ AX100 (x10)</t>
  </si>
  <si>
    <t>RESORTE MULETA HD STORM (x5)</t>
  </si>
  <si>
    <t>RESORTE MULETA HDTITAN 99 / 2000 (x10)</t>
  </si>
  <si>
    <t>RESORTE MULETA HD XLR125 (x10)</t>
  </si>
  <si>
    <t>RESORTE MULETA SZ AX100 (x10)</t>
  </si>
  <si>
    <t>RESORTE FRENO TRASERO YH YBR125 (x10)</t>
  </si>
  <si>
    <t>RESORTE BULBO FRENO TRASERO BLITZ110 (V8) / ZB110 (GIV) / ENERGY110 (R2) / SMASH110 (UNDER) / TRIPG110 (x10)</t>
  </si>
  <si>
    <t>RETEN DE HORQUILLA HD TITAN TODAS (27 x 39 x 10.5) (x20)</t>
  </si>
  <si>
    <t>RETEN DE HORQUILLA HD XLR125 / HD STORM (31 x 43 x 10.5) (x20)</t>
  </si>
  <si>
    <t>RETEN DE HORQUILLA YH RX100/125/RXZ135/DT125 / KW GTO125/KH125 / HD CD100 (30 x 42 x 10.5) (x20)</t>
  </si>
  <si>
    <t>RETEN DE HORQUILLA HD BIZ / GL SMASH / ML BIT (26 x 37 x 10.5) (x20)</t>
  </si>
  <si>
    <t>RETEN DE HORQUILLA YH YBR125 CHINA/BRASIL (30 x 40,5 x 10.5) (x20)</t>
  </si>
  <si>
    <t>RETEN DE HORQUILLA DE SUSPENSION + GUARDAPOLVO HD CG 150 TITAN / HD GLH150 / HD XR125L / HD XR150L / ZN RX 150 (x10)</t>
  </si>
  <si>
    <t>RETEN DE HORQUILLA DE SUSPENSION + GUARDAPOLVOS HD STORM / HD CG 150 TITAN / HD XR125L / HD XR150L (X10 JGOS) (x10)</t>
  </si>
  <si>
    <t>RETEN DE HORQUILLA DE SUSPENSION + GUARDAPOLVO HD WAVE (X10 JGOS) (x10)</t>
  </si>
  <si>
    <t>RETEN DE SUSPENSION YH FZ16 (41 X 53 X 10.5) (8/10.5) (x20)</t>
  </si>
  <si>
    <t>TABLERO TOWO CON CABLES HD BIZ C100 (98 - 2001) (x1)</t>
  </si>
  <si>
    <t>TABLERO TOWO CON CABLES HD TITAN 94-99 (x1)</t>
  </si>
  <si>
    <t>TABLERO TOWO CON CABLES HD TITAN 2000 KS/ES (x1)</t>
  </si>
  <si>
    <t>TABLERO TOWO CON CABLES HD XLR 125 (x1)</t>
  </si>
  <si>
    <t>TABLERO TOWO CON CABLES YH YBR125/125E (x1)</t>
  </si>
  <si>
    <t>TABLERO TOWO CON CABLES HD TITAN 150 (x1)</t>
  </si>
  <si>
    <t>TABLERO TOWO CON CABLES HD STORM (x1)</t>
  </si>
  <si>
    <t>TABLERO TOWO SIN CABLES YH FZ16 (DIGITAL) (x1)</t>
  </si>
  <si>
    <t>TABLERO TOWO CON CABLES SZ AX 100 (x1)</t>
  </si>
  <si>
    <t>TAPA DE TANQUE REDONDA SZ AX 100 </t>
  </si>
  <si>
    <t>TAPA DE TANQUE CUADRADA SZ AX 100 </t>
  </si>
  <si>
    <t>TAPA DE TANQUE HD C90 / YH CRYPTON T105 / YH V80 </t>
  </si>
  <si>
    <t>TAPA DE TANQUE YH YBR125 BRASIL / YH XTZ </t>
  </si>
  <si>
    <t>TAPA DE TANQUE ZN MONDIAL BETA / HD TITAN 150 / HD XR250 / HD XR150L / HD CB1 125 / HD CBX 250 / ML SKUA 150 V6 </t>
  </si>
  <si>
    <t>SET TAPA TUNING (ALUMINIO ANODIZADO) VALVULA CAMARA MOD. MISIL AZUL (x1)</t>
  </si>
  <si>
    <t>SET TAPA TUNING (ALUMINIO ANODIZADO) VALVULA CAMARA MOD. MISIL ORO </t>
  </si>
  <si>
    <t>SET TAPA TUNING (ALUMINIO ANODIZADO) VALVULA CAMARA MOD. MISIL PLATA </t>
  </si>
  <si>
    <t>SET TAPA TUNING (ALUMINIO ANODIZADO) VALVULA CAMARA MOD. MISIL ROJO </t>
  </si>
  <si>
    <t>SET TAPA TUNING (ALUMINIO ANODIZADO) VALVULA CAMARA MOD. MISIL NEGRO (x1)</t>
  </si>
  <si>
    <t>SET TAPA TUNING (ALUMINIO ANODIZADO) VALVULA CAMARA MOD. SMILE AZUL </t>
  </si>
  <si>
    <t>SET TAPA TUNING (ALUMINIO ANODIZADO) VALVULA CAMARA MOD. SMILE ORO </t>
  </si>
  <si>
    <t>SET TAPA TUNING (ALUMINIO ANODIZADO) VALVULA CAMARA MOD. SMILE PLATA </t>
  </si>
  <si>
    <t>SET TAPA TUNING (ALUMINIO ANODIZADO) VALVULA CAMARA MOD. SMILE ROJO (x1)</t>
  </si>
  <si>
    <t>SET TAPA TUNING (ALUMINIO ANODIZADO) VALVULA CAMARA MOD. SMILE NEGRO </t>
  </si>
  <si>
    <t>SET TAPA TUNING (ALUMINIO ANODIZADO) VALVULA CAMARA MOD. GRANADA AZUL </t>
  </si>
  <si>
    <t>SET TAPA TUNING (ALUMINIO ANODIZADO) VALVULA CAMARA MOD. GRANADA ORO (x1)</t>
  </si>
  <si>
    <t>SET TAPA TUNING (ALUMINIO ANODIZADO) VALVULA CAMARA MOD. GRANADA PLATA (x1)</t>
  </si>
  <si>
    <t>SET TAPA TUNING (ALUMINIO ANODIZADO) VALVULA CAMARA MOD. GRANADA ROJO </t>
  </si>
  <si>
    <t>SET TAPA TUNING (ALUMINIO ANODIZADO) VALVULA CAMARA MOD. GRANADA NEGRO </t>
  </si>
  <si>
    <t>SET TORNILLOS CON LUCES PATENTE TUNING AMARILLO (x1)</t>
  </si>
  <si>
    <t>SET TORNILLOS CON LUCES PATENTE TUNING AZUL (x1)</t>
  </si>
  <si>
    <t>SET TORNILLOS CON LUCES PATENTE TUNING NEGRO (x1)</t>
  </si>
  <si>
    <t>SET TORNILLOS CON LUCES PATENTE TUNING PLATA (x1)</t>
  </si>
  <si>
    <t>SET TORNILLOS CON LUCES PATENTE TUNING ROJO (x1)</t>
  </si>
  <si>
    <t>TORNILLO HEXAGONAL CROMADO C/ PLATINA 6 MM. X 28 MM. NITRO (x50)</t>
  </si>
  <si>
    <t>TORNILLO HEXAGONAL ZINC C/ PLATINA 8 MM. X 35 MM. NITRO (x50)</t>
  </si>
  <si>
    <t>TORNILLO HEXAGONAL ZINC C/ PLATINA 8 MM. X 45 MM. NITRO (x50)</t>
  </si>
  <si>
    <t>TORNILLO HEXAGONAL ZINC C/ PLATINA 5 MM. X 25 MM. NITRO (x50)</t>
  </si>
  <si>
    <t>TORNILLO HEXAGONAL ZINC C/ PLATINA 6 MM. X 25 MM. NITRO (x50)</t>
  </si>
  <si>
    <t>TORNILLO HEXAGONAL CROMADO C/ PLATINA 6 MM. X 55 MM. NITRO (x50)</t>
  </si>
  <si>
    <t>TORNILLO HEXAGONAL CROMADO C/ PLATINA 6 MM. X 95 MM. NITRO (x20)</t>
  </si>
  <si>
    <t>TORNILLO HEXAGONAL CROMADO C/ PLATINA 6 MM. X 50 MM. NITRO (x50)</t>
  </si>
  <si>
    <t>TORNILLO HEXAGONAL CROMADO C/ PLATINA 6 MM. X 40 MM. NITRO (x50)</t>
  </si>
  <si>
    <t>TORNILLO HEXAGONAL CROMADO C/ PLATINA 6 MM. X 22 MM. NITRO (x50)</t>
  </si>
  <si>
    <t>TORNILLO HEXAGONAL ZINC C/ PLATINA 5 MM. X 20 MM. NITRO (x50)</t>
  </si>
  <si>
    <t>TORNILLO HEXAGONAL ZINC C/ PLATINA 6 MM. X 20 MM. NITRO (x50)</t>
  </si>
  <si>
    <t>TORNILLO HEXAGONAL ZINC C/ PLATINA 6 MM. X 12 MM. NITRO (x50)</t>
  </si>
  <si>
    <t>TORNILLO HEXAGONAL ZINC C/ PLATINA 8 MM. X 20 MM. NITRO (x50)</t>
  </si>
  <si>
    <t>TORNILLO HEXAGONAL ZINC C/ PLATINA 6 MM. X 15 MM. NITRO (x50)</t>
  </si>
  <si>
    <t>TORNILLO HEXAGONAL ZINC C/ PLATINA 10 MM. X 20 MM. NITRO (x25)</t>
  </si>
  <si>
    <t>TORNILLO HEXAGONAL ZINC C/ PLATINA 10 MM. X 115 MM. NITRO (x25)</t>
  </si>
  <si>
    <t>TORNILLO HEXAGONAL ZINC C/ PLATINA 8 MM. X 90 MM. NITRO (x25)</t>
  </si>
  <si>
    <t>TORNILLO HEXAGONAL ZINC C/ PLATINA 10 MM. X 65 MM. NITRO (x25)</t>
  </si>
  <si>
    <t>TORNILLO HEXAGONAL VERDE MILITAR C/ PLATINA 8 MM. X 28 MM. NITRO (x25)</t>
  </si>
  <si>
    <t>TORNILLO HEXAGONAL NEGRO C/ PLATINA 10 MM. X 35 MM. NITRO (x25)</t>
  </si>
  <si>
    <t>TORNILLO HEXAGONAL ZINC C/ PLATINA 5 MM. X 16 MM. NITRO (x50)</t>
  </si>
  <si>
    <t>TUERCA ZINC C/ PLATINA 6 MM. NITRO (x50)</t>
  </si>
  <si>
    <t>TUERCA ZINC C/ PLATINA 8 MM. NITRO (x50)</t>
  </si>
  <si>
    <t>TUERCA ZINC C/ PLATINA 10 MM. NITRO (x50)</t>
  </si>
  <si>
    <t>TUERCA CIEGA CROMADA 6 MM. NITRO (x50)</t>
  </si>
  <si>
    <t>TUERCA CIEGA CROMADA 8 MM. NITRO (x50)</t>
  </si>
  <si>
    <t>TUERCA CIEGA CROMADA 10 MM. NITRO (x50)</t>
  </si>
  <si>
    <t>ARANDELA PLANA COBRE 8 MM. X 18 MM. X 2 MM. NITRO (x100)</t>
  </si>
  <si>
    <t>TORNILLOS CORONA GL SMASH (x20)</t>
  </si>
  <si>
    <t>TORNILLOS PORTA CORONA SIN ROSCA (SET X 4) (x1)</t>
  </si>
  <si>
    <t>TORNILLO MANIJA EMBRAGUE FRENO HD TITAN TODAS (x50)</t>
  </si>
  <si>
    <t>REGULADOR EMBRAGUE UNIVERSAL 8 MM. (x25)</t>
  </si>
  <si>
    <t>ASIENTO YH FZ16 (x1)</t>
  </si>
  <si>
    <t>RELAY DE ARRANQUE BJ ROUSER 200 NS / BJ ROUSER 160 NS (x1)</t>
  </si>
  <si>
    <t>SENSOR TPS (SENSOR DE POSICION DEL ACELERADOR) BJ ROUSER 200 NS (x1)</t>
  </si>
  <si>
    <t>CANILLA NAFTA HD XR150L / XR125L / HD NXR125 (2015) / HD TITAN CG 150 NEW (x1)</t>
  </si>
  <si>
    <t>TUBO CAJA DE FILTRO DE AIRE (GOMA CODO) HD BIZ 100 (1999-2010) (x1)</t>
  </si>
  <si>
    <t>DISCO DE EMBRAGUE BJ ROUSER 200 NS (x1)</t>
  </si>
  <si>
    <t>DISCO DE EMBRAGUE SZ AX 100 (x1)</t>
  </si>
  <si>
    <t>VALVULAS ADMISION Y ESCAPE CNK HD XR125 VARILLERO CADENERO (x1)</t>
  </si>
  <si>
    <t>COMANDO DERECHO HD XR150L / HD XR125L (2015) (x1)</t>
  </si>
  <si>
    <t>COMANDO IZQUIERDO HD XR150L / HD XR125L / HD XL125L (2015) (x1)</t>
  </si>
  <si>
    <t>COMANDO DERECHO YH YBR125 BRASIL (x1)</t>
  </si>
  <si>
    <t>COMANDO DERECHO BJ ROUSER 200 NS (x1)</t>
  </si>
  <si>
    <t>COMANDO IZQUIERDO BJ ROUSER 200 NS / BJ ROUSER 160 NS (x1)</t>
  </si>
  <si>
    <t>DISCO DE FRENO YH FZ16 (x1)</t>
  </si>
  <si>
    <t>DISCO DE FRENO DELANTERO YH YBR125 ED (x1)</t>
  </si>
  <si>
    <t>EJE DE CAMBIOS SZ AX 100 (x1)</t>
  </si>
  <si>
    <t>EJE RUEDA DELANTERA HD XR125L / XR150L / XL125L (2015) (x5)</t>
  </si>
  <si>
    <t>EJE RUEDA DELANTERA YH FZ16 (x5)</t>
  </si>
  <si>
    <t>EJE RUEDA TRASERA HD XR125 / XR150L (x5)</t>
  </si>
  <si>
    <t>EJE RUEDA TRASERA YH FZ16 (x5)</t>
  </si>
  <si>
    <t>FLEXIBLE FRENO DELANTERO YH YBR125 ED (x1)</t>
  </si>
  <si>
    <t>EJE DE CABALLETE HD GLH150 GAUCHA (x1)</t>
  </si>
  <si>
    <t>CORREA HD ELITE 125 2014 (x1)</t>
  </si>
  <si>
    <t>CRISTO SUPERIOR HD XR125L (2013) (x1)</t>
  </si>
  <si>
    <t>CRISTO INFERIOR HD XR125L/150L 2013/17 (x1)</t>
  </si>
  <si>
    <t>MANUBRIO NITRO HD XR125 / HD XR150L (x1)</t>
  </si>
  <si>
    <t>MANUBRIO NITRO YH YBR125 ED (x1)</t>
  </si>
  <si>
    <t>MANUBRIO NITRO YH FZ16 (x1)</t>
  </si>
  <si>
    <t>SOPORTE FAROL DELANTERO ML SKUA 150 NEW (x1)</t>
  </si>
  <si>
    <t>MANIJA SOPORTE PASAJERO ML SKUA 150 NEW (x1)</t>
  </si>
  <si>
    <t>SOPORTE GUIÑOS DELANTERO IZQUIERDO ML SKUA 150 NEW (x10)</t>
  </si>
  <si>
    <t>SOPORTE GUIÑOS DELANTERO DERECHO ML SKUA 150 NEW (x10)</t>
  </si>
  <si>
    <t>INDICADOR DE CAMBIOS ML SKUA 150 NEW / ML S2 150 / ZN RX 150 (DESDE EL 2015) (x5)</t>
  </si>
  <si>
    <t>PORTA LAMPARA ML SKUA 150 NEW (x1)</t>
  </si>
  <si>
    <t>REENVIO VELOCIMETRO YH YBR125 ED (x1)</t>
  </si>
  <si>
    <t>RECTIFICADOR HD XR150L / XR125L (2015) (x1)</t>
  </si>
  <si>
    <t>ASIENTO SZ AX 100 (x1)</t>
  </si>
  <si>
    <t>CABALLETE SZ AX 100 (x1)</t>
  </si>
  <si>
    <t>CAJA FILTRO DE AIRE SZ AX 100 (x1)</t>
  </si>
  <si>
    <t>CRISTO INFERIOR SZ AX 100 (x1)</t>
  </si>
  <si>
    <t>EJE HORQUILLON SZ AX 100 (x5)</t>
  </si>
  <si>
    <t>EJE RUEDA DELANTERA SZ AX 100 (x5)</t>
  </si>
  <si>
    <t>EJE RUEDA TRASERA SZ AX 100 (x5)</t>
  </si>
  <si>
    <t>ESCAPE SZ AX 100 (x1)</t>
  </si>
  <si>
    <t>PIERNA COMPLETA DELANTERA DERECHA SZ AX 100 (x1)</t>
  </si>
  <si>
    <t>PIERNA COMPLETA DELANTERA IZQUIERDA SZ AX 100 (x1)</t>
  </si>
  <si>
    <t>MAZA TRASERA C/ RULEMAN SZ AX 100 (x1)</t>
  </si>
  <si>
    <t>BUJES DE HORQUILLON SZ AX 100 (SET) (x1)</t>
  </si>
  <si>
    <t>OJO DE GATO SZ AX 100 (PRECIO POR PAR) (x1)</t>
  </si>
  <si>
    <t>PATIN ROZA CADENA SZ AX 100 (x1)</t>
  </si>
  <si>
    <t>PORTA LAMPARA DELANTERO SZ AX 100 (x1)</t>
  </si>
  <si>
    <t>RECTIFICADOR SZ AX 100 (x10)</t>
  </si>
  <si>
    <t>REENVIO VELOCIMETRO C/RETEN SZ AX 100 (x1)</t>
  </si>
  <si>
    <t>SEGURO CORONA SZ AX 100 (x1)</t>
  </si>
  <si>
    <t>SEGURO PIÑON SZ AX 100 (x50)</t>
  </si>
  <si>
    <t>SEPARADOR DE RUEDA TRAS SZ AX 100 (x1)</t>
  </si>
  <si>
    <t>SOPORTE ASIENTO SZ AX 100 (x1)</t>
  </si>
  <si>
    <t>SOPORTE FAROL DELANTERO IZQUIERDO SZ AX 100 (x1)</t>
  </si>
  <si>
    <t>SOPORTE CABALLETE SZ AX 100 (x10)</t>
  </si>
  <si>
    <t>SOPORTE GUARDABARRO TRASERO SZ AX 100 (x1)</t>
  </si>
  <si>
    <t>SOPORTE PEDALIN DELANTERO SZ AX 100 (x1)</t>
  </si>
  <si>
    <t>SOPORTE TAPA TRASERO SZ AX100 (x1)</t>
  </si>
  <si>
    <t>TANQUE DE ACEITE SZ AX100 (x1)</t>
  </si>
  <si>
    <t>TANQUE DE NAFTA NEGRO SZ AX100 (BLACK) (x1)</t>
  </si>
  <si>
    <t>PORTA ZAPATA DELANTERO SZ AX 100 (x1)</t>
  </si>
  <si>
    <t>PORTA ZAPATA TRASERO SZ AX 100 (x1)</t>
  </si>
  <si>
    <t>TRABA MANUBRIO (BLOQUEO DE DIRECCION) SZ AX100 (x1)</t>
  </si>
  <si>
    <t>TUERCA CRISTO DIRECCION SZ AX100 (x10)</t>
  </si>
  <si>
    <t>VOLANTE MAGNETICO SZ AX 100 (x1)</t>
  </si>
  <si>
    <t>TRABA MANUBRIO HD CG125 FAN (2005-2008) (x1)</t>
  </si>
  <si>
    <t>VARILLA FRENO HD TITAN CG 150 NEW / HD XR 150L / XR 125 / XL 125 (2015) (x10)</t>
  </si>
  <si>
    <t>VARILLA FRENO TRASERO YH YBR 125 ED (x10)</t>
  </si>
  <si>
    <t>VARILLA FRENO TRAS YH FZ16 (x10)</t>
  </si>
  <si>
    <t>PLAQUETA CARBONES YH YBR125 (x1)</t>
  </si>
  <si>
    <t>ESCAPE YH YBR125 (x1)</t>
  </si>
  <si>
    <t>ESTIRA CADENA SET CON TUERCA PAR GL SMASH / ML BIT (10 SETS/ BOLSA) (x10)</t>
  </si>
  <si>
    <t>VARILLA FRENO CON OREJA GL SMASH / ML BIT (x10)</t>
  </si>
  <si>
    <t>EVITA SOLDADURA 8 X 9 MM. BIG (BOLSA X 100) (x100)</t>
  </si>
  <si>
    <t>EVITA SOLDADURA 6 X 9.5 MM. MIDDLE (BOLSA X 100) (x100)</t>
  </si>
  <si>
    <t>EVITA SOLDADURA 4 X 5.5 MM. SMALL (BOLSA X 100) (x100)</t>
  </si>
  <si>
    <t>ESTATOR CATIIMOTO 7 CAMPOS HD STORM </t>
  </si>
  <si>
    <t>PORTA CORONA HD STORM </t>
  </si>
  <si>
    <t>BOMBA DE ACEITE 39 DIENTES HD STORM </t>
  </si>
  <si>
    <t>RECTIFICADOR DE VOLTAJE HD STORM 125 CC (HASTA 2014) </t>
  </si>
  <si>
    <t>FAROL TRASERO COMPLETO HD STORM </t>
  </si>
  <si>
    <t>CABLE APERTURA ASIENTO HD BIZ 125 (x1)</t>
  </si>
  <si>
    <t>COMANDO DERECHO HD STORM (x1)</t>
  </si>
  <si>
    <t>COMANDO DERECHO HD TITAN 2000 ES - KS / HD TITAN 150 (x1)</t>
  </si>
  <si>
    <t>COMANDO DERECHO HD WAVE (x1)</t>
  </si>
  <si>
    <t>COMANDO DERECHO HD XLR 125 (x1)</t>
  </si>
  <si>
    <t>COMANDO IZQUIERDO HD WAVE / BETA 110 (x1)</t>
  </si>
  <si>
    <t>COMANDO IZQUIERDO HD STORM (x1)</t>
  </si>
  <si>
    <t>COMANDO IZQUIERDO HD TITAN 2000 KS (x1)</t>
  </si>
  <si>
    <t>COMANDO IZQUIERDO HD TITAN 2000 ES (x1)</t>
  </si>
  <si>
    <t>COMANDO IZQUIERDO HD XLR 125 (x1)</t>
  </si>
  <si>
    <t>COMANDO IZQUIERDO ML SKUA 150 / CV TRIAX 150 (x1)</t>
  </si>
  <si>
    <t>COMANDO DERECHO ML SKUA 150 / CV TRIAX 150 (x1)</t>
  </si>
  <si>
    <t>COMANDO IZQUIERDO ML SKUA 200 (x1)</t>
  </si>
  <si>
    <t>COMANDO DERECHO ML SKUA 200 / ML SKUA 150 V6 (x1)</t>
  </si>
  <si>
    <t>COMANDO IZQUIERDO HD XR125L (x1)</t>
  </si>
  <si>
    <t>COMANDO IZQUIERDO YH YBR125 (BRASIL / CHINO) (x1)</t>
  </si>
  <si>
    <t>COMANDO DERECHO YH YBR125 CHINO (x1)</t>
  </si>
  <si>
    <t>COMANDO IZQUIERDO YH FZ16 (x1)</t>
  </si>
  <si>
    <t>COMANDO DERECHO YH FZ16 (x1)</t>
  </si>
  <si>
    <t>COMANDO IZQUIERDO YH CRYPTON 110 NEW (x1)</t>
  </si>
  <si>
    <t>COMANDO IZQUIERDO HD GLH150 GAUCHA (x1)</t>
  </si>
  <si>
    <t>JUNTA DE CARBURADOR C/ TUBO ADMISION ML BLITZ 110(V8)/ZB 110(GIV)/ENERGY 110(R2)/GL SMASH 110 (UNDER)/TRIPG 110 (x10)</t>
  </si>
  <si>
    <t>SEGUROPIÑONHD TITAN TODAS (x100)</t>
  </si>
  <si>
    <t>PLAQUETA CARBONES HD TITAN 2000 / HD CBX150/200/XR200 / HD NX SAHARA 350 / HD NX FALCON 400 - PRECIO X U. (x2)</t>
  </si>
  <si>
    <t>SOPORTE GUIÑO HD TITAN (x20)</t>
  </si>
  <si>
    <t>ORING TAPA VALVULA HD TITAN / HD STORM (x20)</t>
  </si>
  <si>
    <t>VARILLA VALVULA HD TITAN (PRECIO X UNIDAD) VTA MINIMA 20 PC (x20)</t>
  </si>
  <si>
    <t>BULON ZAPATA TRASERA HD TITAN (x20)</t>
  </si>
  <si>
    <t>CONJUNTO PLATO EMBRAGUE HD TITAN / STORM / BROSS / XLR / CBX150 </t>
  </si>
  <si>
    <t>RECTIFICADOR DE VOLTAJE HD CG 150 TITAN </t>
  </si>
  <si>
    <t>BRAZO FRENO LARGO HD CG125 / HD TITAN </t>
  </si>
  <si>
    <t>TORNILLO REGULADOR VALVULAS HD CG TITAN (TODAS) / HD GLH150 GAUCHA (x50)</t>
  </si>
  <si>
    <t>RETEN VALVULAS HD CG TITAN (TODAS) / HD GLH150 GAUCHA (SETS) (x25)</t>
  </si>
  <si>
    <t>PEDAL DE FRENO MONDIAL110 / MAX110 / ZN ZB / GUERRERO TRIP </t>
  </si>
  <si>
    <t>PEDAL DE FRENO HD C100 BIZ </t>
  </si>
  <si>
    <t>PEDAL DE FRENO HD STORM </t>
  </si>
  <si>
    <t>PEDAL DE FRENO HD TITAN 150 </t>
  </si>
  <si>
    <t>PEDAL DE FRENO HD TITAN 2000 </t>
  </si>
  <si>
    <t>PEDAL DE FRENO HD TITAN 99 / HD TODAY </t>
  </si>
  <si>
    <t>PEDAL DE FRENO HD XLR 125 / HD XR200 / HD NX150 </t>
  </si>
  <si>
    <t>PEDAL DE FRENO YH YBR125 </t>
  </si>
  <si>
    <t>PEDAL DE FRENO SZ AX 100 </t>
  </si>
  <si>
    <t>PEDAL DE FRENO YH CRYPTON T105 </t>
  </si>
  <si>
    <t>PEDAL DE FRENO YH FZ16 </t>
  </si>
  <si>
    <t>PEDAL DE FRENO YH YBR125 (NUEVO MODELO) </t>
  </si>
  <si>
    <t>TORNILLO FIJACIÓN PARA PLASTICOS 6 MM. 110 CC. TODAS (x100)</t>
  </si>
  <si>
    <t>EJE SOPORTE MOTOR GL SMASH / ML BLITZ (x10)</t>
  </si>
  <si>
    <t>TUERCA FIJACION PARA PLASTICOS 110 GRANDE (x100)</t>
  </si>
  <si>
    <t>GUIA TAPA CILINDRO 8 MM (INTERNA) (x200)</t>
  </si>
  <si>
    <t>GUIA TAPA CILINDRO 6 MM (INTERNA) (x200)</t>
  </si>
  <si>
    <t>TUERCA FIJACION PARA PLASTICOS 110 CHICO (x100)</t>
  </si>
  <si>
    <t>MEDIO BLOCK LADO ENCENDIDO C/ SELECTORA DE CAMBIOS YH YBR125 </t>
  </si>
  <si>
    <t>TABLERO TOWO MECANICO (BRASIL) CON CABLES YH YBR125 (x1)</t>
  </si>
  <si>
    <t>GUARDABARRO DELANTERO AZUL YH YBR125 </t>
  </si>
  <si>
    <t>GUARDABARRO DELANTERO NEGRO YH YBR125 </t>
  </si>
  <si>
    <t>GUARDABARRO DELANTERO PLATA YH YBR125 </t>
  </si>
  <si>
    <t>GUARDABARRO DELANTERO ROJO YH YBR125 </t>
  </si>
  <si>
    <t>PASE DE NAFTA YH FZ16 </t>
  </si>
  <si>
    <t>PASE DE NAFTA YH CRYPTON 110 NEW </t>
  </si>
  <si>
    <t>FAROL DELANTERO YH YBR125 </t>
  </si>
  <si>
    <t>ASIENTO YH YBR 125 </t>
  </si>
  <si>
    <t>CUBRE CADENA YH YBR125 </t>
  </si>
  <si>
    <t>GUARDABARRO TRASERO NEGRO YH YBR125 (x1)</t>
  </si>
  <si>
    <t>HORQUILLON YH YBR125 </t>
  </si>
  <si>
    <t>PIERNA COMPLETA DERECHA YH YBR125 (74,5 x 3) </t>
  </si>
  <si>
    <t>PIERNA COMPLETA IZQUIERDA YH YBR125 (74,5 x 3) </t>
  </si>
  <si>
    <t>SOPORTE PEDALIN TRASERO DERECHO YH YBR125 </t>
  </si>
  <si>
    <t>SOPORTE PEDALIN TRASERO IZQUIERDO YH YBR125 </t>
  </si>
  <si>
    <t>CABALLETE YH YBR125 </t>
  </si>
  <si>
    <t>PARRILLA PORTA EQUIPAJE YH YBR125 </t>
  </si>
  <si>
    <t>SOPORTE FAROL Y GUIÑOS YH YBR125 </t>
  </si>
  <si>
    <t>SOPORTE PEDALIN DELANTERO YH YBR125 </t>
  </si>
  <si>
    <t>BRAZO PORTA ZAPATA TRASERO YH YBR125 </t>
  </si>
  <si>
    <t>PEDALIN TRASERO IZQUIERDO YH YBR125 (x5)</t>
  </si>
  <si>
    <t>PEDALIN TRASERO DERECHO YH YBR125 (x5)</t>
  </si>
  <si>
    <t>MULETA YH YBR125 </t>
  </si>
  <si>
    <t>GOMA PEDALIN DELANTERO NITRO YH YBR125 (PAR) (x1) </t>
  </si>
  <si>
    <t>CRISTO INFERIOR YH YBR125 </t>
  </si>
  <si>
    <t>CRISTO SUPERIOR YH YBR125 </t>
  </si>
  <si>
    <t>INSTALACION ELECTRICA YH YBR125 </t>
  </si>
  <si>
    <t>SOPORTE PATENTE YH YBR125 </t>
  </si>
  <si>
    <t>BOCINA YH YBR125 / ML SKUA 150 V6 </t>
  </si>
  <si>
    <t>CDI YH YBR125 </t>
  </si>
  <si>
    <t>RECTIFICADOR YH YBR125 </t>
  </si>
  <si>
    <t>BULBODEFRENOTRASEROYHYBR125 (x5)</t>
  </si>
  <si>
    <t>CERRADURA CACHA YH YBR125 (x5)</t>
  </si>
  <si>
    <t>PATIN ROZA CADENA YH YBR125 (x5)</t>
  </si>
  <si>
    <t>GOMA APOYA TANQUE YH YBR125 </t>
  </si>
  <si>
    <t>RELAY DE ARRANQUE YH YBR125 </t>
  </si>
  <si>
    <t>PASE DE NAFTA YH YBR125 </t>
  </si>
  <si>
    <t>FLOTANTE NIVEL DE NAFTA YH YBR125 </t>
  </si>
  <si>
    <t>BULBODEFRENODELANTEROYHYBR125 (x5)</t>
  </si>
  <si>
    <t>BULBO DE EMBRAGUE YH YBR125 (x5)</t>
  </si>
  <si>
    <t>REENVIO VELOCIMETRO YH YBR125 (x1)</t>
  </si>
  <si>
    <t>BUJE SEPARADOR RULEMANES MAZA DELANTERA YH YBR125 (x5)</t>
  </si>
  <si>
    <t>SOPORTE MOTOR SUPERIOR YH YBR125 </t>
  </si>
  <si>
    <t>SOPORTE MOTOR INFERIOR YH YBR125 </t>
  </si>
  <si>
    <t>GOMA DE MAZA TRASERA YH YBR125 </t>
  </si>
  <si>
    <t>SOPORTE BATERIA YH YBR125 </t>
  </si>
  <si>
    <t>RELAY DESTELLADOR YH YBR125 / ZN RX 150 </t>
  </si>
  <si>
    <t>EJE RUEDA TRASERA YH YBR125 (x5)</t>
  </si>
  <si>
    <t>SEPARADOR MAZA TRASERA YH YBR125 (SET) </t>
  </si>
  <si>
    <t>ESTATOR TOWO 6 CAMPOS YH YBR125 </t>
  </si>
  <si>
    <t>TUBO ADMISION SIN PIPETA YH YBR125 </t>
  </si>
  <si>
    <t>MOTOR DE ARRANQUE YH YBR125 (x1)</t>
  </si>
  <si>
    <t>EJE RUEDA DELANTERA YH YBR125 (x5)</t>
  </si>
  <si>
    <t>TAPON REGULADOR VALVULAS YH YBR125 (x5)</t>
  </si>
  <si>
    <t>CAJA DE CAMBIOS YH YBR125 </t>
  </si>
  <si>
    <t>EJE DE CAMBIOS YH YBR125 </t>
  </si>
  <si>
    <t>BOMBA DE ACEITE YH YBR125 </t>
  </si>
  <si>
    <t>TAPON NIVEL ACEITE YH YBR125 (x5)</t>
  </si>
  <si>
    <t>CIGUEÑAL COMPLETO NITRO YH YBR125 (CHINA) CADENA A RODILLO </t>
  </si>
  <si>
    <t>TAPA ENCENDIDO YH YBR125 </t>
  </si>
  <si>
    <t>TAPON ENCENDIDO GRANDE YH YBR125 (x5)</t>
  </si>
  <si>
    <t>TAPON ENCENDIDO CHICA YH YBR125 (x5)</t>
  </si>
  <si>
    <t>BALANCEADOR YH YBR 125 </t>
  </si>
  <si>
    <t>EJE PATADA ARRANQUE YH YBR125 </t>
  </si>
  <si>
    <t>RESORTE PATADA ARRANQUE YH YBR125 (x5)</t>
  </si>
  <si>
    <t>SEPARADOR RESORTE DE PATADA YH YBR125 (x10)</t>
  </si>
  <si>
    <t>CRIQUET DE PATADA YH YBR125 </t>
  </si>
  <si>
    <t>CANASTA EMBRAGUE YH YBR125 </t>
  </si>
  <si>
    <t>HORQUILLAS DE CAMBIOS YH YBR125 (SET) </t>
  </si>
  <si>
    <t>EJE HORQUILLAS DE CAMBIOS YH YBR125 (SET) </t>
  </si>
  <si>
    <t>TUBO ADMISION CON PIPETA YH YBR125 </t>
  </si>
  <si>
    <t>ENGRANAJE BOMBA DE ACEITE YH YBR125 </t>
  </si>
  <si>
    <t>EJE DE CABALLETE YH YBR125 </t>
  </si>
  <si>
    <t>RESORTE LEVA DELANTERO YH YBR125 (x5)</t>
  </si>
  <si>
    <t>VARILLA EMBRAGUE YH YBR 125 (x2)</t>
  </si>
  <si>
    <t>TAMBOR DE SELECTORA DE CAMBIOS YH YBR125 </t>
  </si>
  <si>
    <t>ESTRELLA SELECTORA DE CAMBIOS YH YBR125 </t>
  </si>
  <si>
    <t>GUIAS CADENA DISTRIBUCION YH YBR125 (SET) (x1)</t>
  </si>
  <si>
    <t>CORONA DISTRIBUCION 34T YH YBR125 (CHINA) (x5)</t>
  </si>
  <si>
    <t>TAPA DE DISTRIBUCION YH YBR125 </t>
  </si>
  <si>
    <t>ESPARRAGO CILINDRO YH YBR125 (SET X 4) (x1)</t>
  </si>
  <si>
    <t>BULON CARTER YH YBR125 (x5)</t>
  </si>
  <si>
    <t>LEVA EMBRAGUE YH YBR125 </t>
  </si>
  <si>
    <t>FILTRO DE ACEITE YH YBR125 (x10)</t>
  </si>
  <si>
    <t>RESORTE LEVA DE EMBRAGUE YH YBR125 (x10)</t>
  </si>
  <si>
    <t>RESORTE EMBRAGUE YH YBR125 (SET X 4) (x1)</t>
  </si>
  <si>
    <t>BULBO NEUTRAL YH YBR125 (x5)</t>
  </si>
  <si>
    <t>ENGRANAJE PUNTA CIGUEÑAL NITRO YH YBR125 </t>
  </si>
  <si>
    <t>ENGRANAJE INTERMEDIARIO DE PATADA YH YBR125 (x1)</t>
  </si>
  <si>
    <t>ENGRANAJE CIGUEÑAL BOMBA ACEITE NITRO YH YBR125 </t>
  </si>
  <si>
    <t>ENGRANAJE REDUCTOR DE BURRO YH YBR125 </t>
  </si>
  <si>
    <t>RESORTE CABALLETE YH YBR125 (x5)</t>
  </si>
  <si>
    <t>RESORTE MULETA YH YBR125 (x5)</t>
  </si>
  <si>
    <t>SEPARADOR MAZA DELANTERA YH YBR125 (x5)</t>
  </si>
  <si>
    <t>TRABA ESTRELLA YH YBR125 (x1)</t>
  </si>
  <si>
    <t>RESORTE TRABA ESTRELLA YH YBR125 (x5)</t>
  </si>
  <si>
    <t>REGULADOR EMBRAGUE YH YBR125 (x10)</t>
  </si>
  <si>
    <t>VOLANTE MAGNETICO YH YBR 125 </t>
  </si>
  <si>
    <t>CORONA BENDIX YH YBR125 </t>
  </si>
  <si>
    <t>BENDIX YH YBR 125 </t>
  </si>
  <si>
    <t>CONJUNTO PLATO EMBRAGUE YH YBR125 (SET) </t>
  </si>
  <si>
    <t>TAPA EMBRAGUE YH YBR125 </t>
  </si>
  <si>
    <t>CAJA FILTRO DE AIRE YH YBR125 </t>
  </si>
  <si>
    <t>SEPARADOR DISCO EMBRAGUE YH YBR125 / HD WAVE 110 S (SET) (x1)</t>
  </si>
  <si>
    <t>LEVA FRENO DELANTERO YH YBR125 (x5)</t>
  </si>
  <si>
    <t>BRAZO FRENO DELANTERO YH YBR125 (x5)</t>
  </si>
  <si>
    <t>MEDIO BLOCK LADO EMBRAGUE YH YBR125 </t>
  </si>
  <si>
    <t>MEDIO BLOCK LADO ENCENDIDO YH YBR125 </t>
  </si>
  <si>
    <t>TAPA DE TANQUE NAFTA YH YBR125 </t>
  </si>
  <si>
    <t>ARBOL DE LEVAS YH YBR 125 </t>
  </si>
  <si>
    <t>TAPA DE CILINDRO COMPLETA YH YBR125 </t>
  </si>
  <si>
    <t>EJE HOQUILLON YH YBR125 (x5)</t>
  </si>
  <si>
    <t>LLAVE DE CONTACTO YH YBR125 </t>
  </si>
  <si>
    <t>TAPA CUBRE PIÑON YH YBR125 </t>
  </si>
  <si>
    <t>TABLERO TOWO ELECTRONICO CON CABLES YH YBR125 (x1)</t>
  </si>
  <si>
    <t>PIERNA COMPLETA DERECHA FRENO A DISCO YH YBR125 (74 x 3) </t>
  </si>
  <si>
    <t>PIERNA COMPLETA IZQUIERDA FRENO A DISCO YH YBR125 (74 x 3) </t>
  </si>
  <si>
    <t>FAROL TRASERO COMPLETO YH YBR125 (x1)</t>
  </si>
  <si>
    <t>BUJE SEPARADOR PORTA CORONA YH YBR125 (x5)</t>
  </si>
  <si>
    <t>CACHA IZQUIERDA AZUL YH YBR125 </t>
  </si>
  <si>
    <t>CACHA DERECHA AZUL YH YBR125 </t>
  </si>
  <si>
    <t>COLITA Y COLIN AZUL YH YBR125 </t>
  </si>
  <si>
    <t>TANQUE DE NAFTA AZUL YH YBR125 </t>
  </si>
  <si>
    <t>CACHA IZQUIERDA NEGRO YH YBR125 </t>
  </si>
  <si>
    <t>CACHA DERECHA NEGRO YH YBR125 </t>
  </si>
  <si>
    <t>COLITA Y COLIN NEGRO YH YBR125 </t>
  </si>
  <si>
    <t>TANQUE DE NAFTA NEGRO YH YBR125 </t>
  </si>
  <si>
    <t>CACHA IZQUIERDA PLATA YH YBR125 </t>
  </si>
  <si>
    <t>CACHA DERECHA PLATA YH YBR125 </t>
  </si>
  <si>
    <t>COLITA Y COLIN PLATA YH YBR125 </t>
  </si>
  <si>
    <t>TANQUE DE NAFTA PLATA YH YBR125 </t>
  </si>
  <si>
    <t>CACHA IZQUIERDA ROJO YH YBR125 </t>
  </si>
  <si>
    <t>CACHA DERECHA ROJO YH YBR125 </t>
  </si>
  <si>
    <t>COLITA Y COLIN ROJO YH YBR125 </t>
  </si>
  <si>
    <t>TANQUE DE NAFTA ROJO YH YBR125 </t>
  </si>
  <si>
    <t>BOMBA DE ACEITE HD BIZ / HD CD100 / GU MAGIC / ML BIT / HD WAVE 110 S (x1)</t>
  </si>
  <si>
    <t>SELECTORA DE CAMBIOS GU G100 / HD BIZ / HD CD100 </t>
  </si>
  <si>
    <t>CAJADECAMBIOSG100-BIZ / GL SMASH / ML BIT (LARGA) (x1)</t>
  </si>
  <si>
    <t>HORQUILLA SELECTORA DE CAMBIOS GUERRERO G100 / HD BIZ / HD CD100 (x12)</t>
  </si>
  <si>
    <t>CDI CATIIMOTO GL SMASH / ML BIT (FICHA DE 4) </t>
  </si>
  <si>
    <t>CRISTO INFERIOR GL SMASH / ML BIT </t>
  </si>
  <si>
    <t>GOMA PEDALIN TRASERO CATIIMOTO HD WAVE / GL SMASH / ML BIT (x12)</t>
  </si>
  <si>
    <t>AMORTIGUADORES GL SMASH / ML BIT (PAR) (x1)</t>
  </si>
  <si>
    <t>CABALLETE GL SMASH / ML BIT (x1)</t>
  </si>
  <si>
    <t>PATADA ARRANQUE GL SMASH / ML BIT / ZN ZB 110 </t>
  </si>
  <si>
    <t>VARILLA FRENO SIN OREJA GL SMASH / ML BIT (x10)</t>
  </si>
  <si>
    <t>CUBETAS DE DIRECCION GL SMASH / ML BIT </t>
  </si>
  <si>
    <t>TUBO ADMISION GL SMASH / ML BIT </t>
  </si>
  <si>
    <t>PALANCA DE CAMBIOS GL SMASH / ML BIT / ML BLITZ (x1)</t>
  </si>
  <si>
    <t>HORQUILLON TRASERO CON BRAZO GL SMASH / ML BIT </t>
  </si>
  <si>
    <t>BRAZO FRENO DELANTERO GL SMASH / ML BIT / HD WAVE 110 S (x10)</t>
  </si>
  <si>
    <t>EJE HORQUILLON GL SMASH / ML BIT / HD BIZ 125G (x6)</t>
  </si>
  <si>
    <t>PEDAL DE FRENO GL SMASH / ML BIT (x1)</t>
  </si>
  <si>
    <t>RESORTE CABALLETE GL SMASH / ML BIT / HD BIZ 125G (x10)</t>
  </si>
  <si>
    <t>RESORTE FRENO GL SMASH / ML BIT (x10)</t>
  </si>
  <si>
    <t>KIT DE ACCESORIOS EMBRAGUE GL SMASH / ML BIT </t>
  </si>
  <si>
    <t>SOPORTE PEDALIN TRASERO IZQUIERDO GL SMASH / ML BIT </t>
  </si>
  <si>
    <t>SOPORTE PEDALIN TRASERO DERECHO GL SMASH / ML BIT </t>
  </si>
  <si>
    <t>PATIN ROZA CADENA GL SMASH / ML BLITZ (x10)</t>
  </si>
  <si>
    <t>EJE RUEDA DELANTERA DISCO SMASH / ML BIT (x5)</t>
  </si>
  <si>
    <t>SOPORTE PEDALIN DELANTERO GL SMASH / ML BIT (APOYA PIE) (x1)</t>
  </si>
  <si>
    <t>MANUBRIO GL SMASH / ML BIT </t>
  </si>
  <si>
    <t>PEDALIN TRASERO IZQUIERDO GL SMASH / ML BIT (x6)</t>
  </si>
  <si>
    <t>PEDALIN TRASERO DERECHO GL SMASH / ML BIT (x6)</t>
  </si>
  <si>
    <t>SOPORTE CABALLETE GL SMASH / ML BIT (x10)</t>
  </si>
  <si>
    <t>ESTIRACADENALADO FRENO GL SMASH / MLBIT / HD WAVE 110 S(10PCS/BOLSA) (x10)</t>
  </si>
  <si>
    <t>MAZA RUEDA DELANTERA CATIIMOTO ZAPATA 150 MM GL SMASH / ML BIT (HASTA 2009) </t>
  </si>
  <si>
    <t>MAZA TRASERA GL SMASH / ML BIT (x1)</t>
  </si>
  <si>
    <t>MOTOR DE ARRANQUE GL SMASH / ML BIT (x1)</t>
  </si>
  <si>
    <t>DISCO DE FRENO DELANTERO GL SMASH / ML BIT (x1)</t>
  </si>
  <si>
    <t>TAPA PORTA ZAPATA DELANTERO CATIIMOTO 150 MM GL SMASH / ML BIT (HASTA 2009) (x1)</t>
  </si>
  <si>
    <t>BOMBA FRENO DISCO DELANTERO GL SMASH / ML BIT (x2)</t>
  </si>
  <si>
    <t>SEGURO PIÑON GL SMASH / ML BIT / HD BIZ / HD WAVE 110 S (x20)</t>
  </si>
  <si>
    <t>CABLE APERTURA ASIENTO GL SMASH / ML BIT (x10)</t>
  </si>
  <si>
    <t>RESORTE MULETA GL SMASH / ML BIT BLITZ (x10)</t>
  </si>
  <si>
    <t>REENVIO VELOCIMETRO ZAPATA GL SMASH / ML BIT (SET) (x1)</t>
  </si>
  <si>
    <t>REENVIO VELOCIMETRO FRENO DISCO GL SMASH / ML BIT (x1)</t>
  </si>
  <si>
    <t>MULETA GL SMASH / TRIP / ENERGY / ZN ZB110 / BLITZ 110 CC </t>
  </si>
  <si>
    <t>EJE RUEDA DELANTERA ZAPATA GL SMASH / ML BIT (x6)</t>
  </si>
  <si>
    <t>LEVA FRENO DELANTERO GRANDE GL SMASH / ML BIT (x10)</t>
  </si>
  <si>
    <t>SEPARADOR DE RUEDA DELANTERA CON ZAPATA GL SMASH / ML BIT (x10)</t>
  </si>
  <si>
    <t>SEPARADOR DE RUEDA DELANTERA C/ DISCO GL SMASH / ML BIT (x10)</t>
  </si>
  <si>
    <t>BOBINA IGNICION GL SMASH / ML BIT </t>
  </si>
  <si>
    <t>PIERNAS COMPLETAS FRENO TAMBOR SMASH - BIT 110 (47,8 x 2,5) (JUEGO) </t>
  </si>
  <si>
    <t>EJE RUEDA TRASERA GL SMASH / ML BIT (x6)</t>
  </si>
  <si>
    <t>EJE DE CABALLETE GL SMASH / ML BIT </t>
  </si>
  <si>
    <t>FLOTANTE NIVEL DE NAFTA COMPLETO SMASH / ML BIT (x1)</t>
  </si>
  <si>
    <t>CRISTO SUPERIOR GL SMASH / ML BIT </t>
  </si>
  <si>
    <t>PIERNAS COMPLETAS FRENO DISCO GL SMASH / ML BIT 110 (48,8 x 2,5) (JUEGO) </t>
  </si>
  <si>
    <t>BULBODEFRENOTRASEROGLSMASH/MLBIT (x10)</t>
  </si>
  <si>
    <t>CALIPER FRENO DELANTERO GL SMASH / ML BIT (x1)</t>
  </si>
  <si>
    <t>BRAZO FRENO TRASERO CON RESORTE GL SMASH / ML BIT (x10)</t>
  </si>
  <si>
    <t>TRABA ASIENTO GL SMASH / ML BIT (x1)</t>
  </si>
  <si>
    <t>GOMA SUJETA BATERIA GL SMASH / ML BIT (x10)</t>
  </si>
  <si>
    <t>LEVA FRENO TRASERO CHICO GL SMASH / ML BIT / HD BIZ 125G (x10)</t>
  </si>
  <si>
    <t>PORTA ZAPATA TRASERO GL SMASH / ML BLITZ (x1)</t>
  </si>
  <si>
    <t>TAMBOR CERRADURA ASIENTO GL SMASH / ML BIT </t>
  </si>
  <si>
    <t>BUJES DE HORQUILLON SUSPENSION CATIIMOTO 23 MM. GL SMASH / ML BIT / C90 / C90R / B12 / CD100 (x10)</t>
  </si>
  <si>
    <t>TUERCA CRISTO DIRECCION GL SMASH / ML BLITZ (x5)</t>
  </si>
  <si>
    <t>SET RESORTE INTERNO PATADA ML BLITZ (x10)</t>
  </si>
  <si>
    <t>SEPARADORES DE RUEDA TRASERA ML BIT (x10)</t>
  </si>
  <si>
    <t>GOMA PEDALIN DELANTERO CATIIMOTO GL SMASH / ML BIT (x10)</t>
  </si>
  <si>
    <t>TAPA ENCENDIDO ML BLITZ (PARA PLAQUETAS) (x1)</t>
  </si>
  <si>
    <t>ESTATOR TOWO 2 BOBINAS ML BIT (x1)</t>
  </si>
  <si>
    <t>MAZA DELANTERA DISCO ML BIT (x1)</t>
  </si>
  <si>
    <t>SUJECION MANUBRIO GL SMASH / ML BIT (SET) 3 TORNILLOS + 3 ARANDELAS + 3 SUPL. + 6 BUJES (x10)</t>
  </si>
  <si>
    <t>CAJA FILTRO DE AIRE GL SMASH / ML BIT / ZN ZB 110 / ML BLITZ 110 (x1)</t>
  </si>
  <si>
    <t>INTERRUPTOR IZQUIERDO GL SMASH / ML BLITZ / HD BIZ 125G (x10)</t>
  </si>
  <si>
    <t>INTERRUPTOR DERECHO GL SMASH / ML BLITZ / HD BIZ 125G (x10)</t>
  </si>
  <si>
    <t>FAROL TRASERO COMPLETO GL SMASH / ML BIT (x1)</t>
  </si>
  <si>
    <t>FAROL DELANTERO COMPLETO GL SMASH / ML BIT </t>
  </si>
  <si>
    <t>FLEXIBLE FRENO DELANTERO A DISCO SMASH / ML BIT (x1)</t>
  </si>
  <si>
    <t>ASIENTO GL SMASH / ML BIT (x1)</t>
  </si>
  <si>
    <t>ESCAPE CATIIMOTO GL SMASH / ML BIT </t>
  </si>
  <si>
    <t>ESPARRAGO CILINDRO CON TUERCA ML BIT (x20)</t>
  </si>
  <si>
    <t>CORONA DISTRIBUCION 28T ML BLITZ (x10)</t>
  </si>
  <si>
    <t>ENGRANAJE PRIMARIO GL SMASH / ML BIT (x1)</t>
  </si>
  <si>
    <t>TENSOR DISTRIBUCION GL SMASH / ML BLITZ (x10)</t>
  </si>
  <si>
    <t>FILTRO DE ACEITE GL SMASH / ML BIT / HD WAVE 110 S (x20)</t>
  </si>
  <si>
    <t>SEGUROS VALVULA GL SMASH / ML BIT / HD WAVE 110 S (x100)</t>
  </si>
  <si>
    <t>TENSOR DE DISTRIBUCION (FLAUTA Y RESORTE) GL SMASH / ML BIT (x10)</t>
  </si>
  <si>
    <t>ARBOL DE LEVAS LARGO ML BIT </t>
  </si>
  <si>
    <t>TAPON REGULACION VALVULA GL SMASH / ML BIT (x20)</t>
  </si>
  <si>
    <t>ESPARRAGO ESCAPE 6 MM. X 32 MM. C/TUERCA 100/110 SMASH / WAVE / BIT (x20)</t>
  </si>
  <si>
    <t>BULON DE TENSOR DE DISTRIBUCION CON ARANDELA ALUMINIO GL SMASH / ML BIT / HD WAVE 110 S (x20)</t>
  </si>
  <si>
    <t>BULON CARTER CON ARANDELA DE ALUMINIO GL SMASH / ML BIT / HD WAVE 110 S (x20)</t>
  </si>
  <si>
    <t>CAJA DE CAMBIOS CORTA GL SMASH / ML BIT </t>
  </si>
  <si>
    <t>CASQUILLO VALVULA GL SMASH / ML BIT (x20)</t>
  </si>
  <si>
    <t>EJE DE CAMBIOS ML BIT / HD WAVE 110 S </t>
  </si>
  <si>
    <t>PATIN ROZA CADENA GL SMASH / ML BIT (x20)</t>
  </si>
  <si>
    <t>VOLANTE MAGNETICO BAJO ML BIT (6 CAMPOS) </t>
  </si>
  <si>
    <t>EJE PATADA ARRANQUE ML BIT </t>
  </si>
  <si>
    <t>TAPA DE CILINDRO ML BIT (C/ GUIAS DE VALVULAS) </t>
  </si>
  <si>
    <t>RESORTE VALVULA GL SMASH / ML BIT (x5)</t>
  </si>
  <si>
    <t>BALANCINES VALVULAS CON REGULADOR GL SMASH / ML BIT / HD BIZ (PAR) (x10)</t>
  </si>
  <si>
    <t>TORNILLO REGULADOR DE VALVULA GL SMASH / ML BLITZ (x50)</t>
  </si>
  <si>
    <t>KITDISTRIBUCION GL SMASH110-125 / ML BIT / HDCD100 (x1)</t>
  </si>
  <si>
    <t>CRISTO INFERIOR TUNING GL SMASH / ML BIT </t>
  </si>
  <si>
    <t>BRAZO SELECTOR DE CAMBIOS GL SMASH / ML BIT (x10)</t>
  </si>
  <si>
    <t>SILENT BLOCK HD TITAN 19MM (x20)</t>
  </si>
  <si>
    <t>PERNOS Y TUERCAS CORONA HD TITAN (SET) (x1)</t>
  </si>
  <si>
    <t>RETEN VALVULAS GL SMASH / ML BIT / HD BIZ / HD WAVE 110 S (x20)</t>
  </si>
  <si>
    <t>SILENT BLOCK Y PERNO CORONA HD TITAN (SET) </t>
  </si>
  <si>
    <t>PEDALIN DELANTERO CHATO GL SMASH / ML BIT </t>
  </si>
  <si>
    <t>TABLERO CATIIMOTO CON CABLES Y NIVEL NAFTA GL SMASH / ML BIT 110 (x1)</t>
  </si>
  <si>
    <t>SOPORTE PEDALIN PLANOS GL SMASH / ML BIT </t>
  </si>
  <si>
    <t>CIGUEÑAL COMPLETO CORTO CATIIMOTO GL SMASH / ML BIT </t>
  </si>
  <si>
    <t>EMBRAGUE COMPLETO 17T (ESTRIA CHICA) GL SMASH / ML BIT 110 </t>
  </si>
  <si>
    <t>ESTIRA CADENA CON TUERCA GL SMASH / ML BIT LADO CORONA (x20)</t>
  </si>
  <si>
    <t>RECTIFICADOR C/ BOBINA 9 CAMPOS SMASH </t>
  </si>
  <si>
    <t>CUBRE CADENA NEGRO GL SMASH / ML BIT (33 CM. ENTRE AGUJEROS) </t>
  </si>
  <si>
    <t>ESTATOR CATIIMOTO 5 CAMPOS GL SMASH / ML BIT (x1)</t>
  </si>
  <si>
    <t>SOPORTE CABLE ACELERADOR GL SMASH / ML BLITZ (x10)</t>
  </si>
  <si>
    <t>INTERRUPTOR DERECHO GL SMASH / ML BLITZ (x10)</t>
  </si>
  <si>
    <t>CEBADOR GL SMASH / ML BIT (x10)</t>
  </si>
  <si>
    <t>PORTA CORONA GL SMASH / ML BIT CON RULEMAN (x1)</t>
  </si>
  <si>
    <t>PEDALIN TRASERO ALUMINIO ORO GL SMASH / ML BIT (PAR) </t>
  </si>
  <si>
    <t>PEDALIN TRASERO ALUMINIO AZUL GL SMASH / ML BIT (PAR) </t>
  </si>
  <si>
    <t>PEDALIN TRASERO ALUMINIO NEGRO GL SMASH / ML BIT (PAR) </t>
  </si>
  <si>
    <t>TANQUE DE NAFTA GL SMASH 110 / ML BIT 110 (x1)</t>
  </si>
  <si>
    <t>PEDALIN DELANTERO TUNING GL SMASH / ML BIT (x6)</t>
  </si>
  <si>
    <t>TAPA CILINDRO IZQ REDONDA CHICA ENGRANAJE DE DISTRIBUCION GL SMASH / ML BIT (72 MM.) </t>
  </si>
  <si>
    <t>TAPA BALANCIN GL SMASH (x1)</t>
  </si>
  <si>
    <t>TAPA CILINDRO IZQ CUADRADA ALETADA ENGRANAJE DE DISTRIBUCION ML BIT (72 MM.) </t>
  </si>
  <si>
    <t>GOMA CODO - TUBO FILTRO DE AIRE GL SMASH / ML BIT (x5)</t>
  </si>
  <si>
    <t>INTERRUPTOR IZQUIERDO GL FU 110 / GUERRERO 110 / HD WAVE 110 S (x10)</t>
  </si>
  <si>
    <t>INTERRUPTOR DERECHO GL FU 110 / GUERRERO 110 / HD WAVE 110 S (x10) (x10)</t>
  </si>
  <si>
    <t>INTERRUPTOR IZQUIERDO GL FU 110 / GUERRERO 110 (x10)</t>
  </si>
  <si>
    <t>INTERRUPTOR IZQUIERDO GL 110 / GUERRERO 110 / HD WAVE 110 S (x10)</t>
  </si>
  <si>
    <t>PALANCA DE CAMBIOS GL SMASH / ML BIT (ESTRIA 40 MM.) (x1)</t>
  </si>
  <si>
    <t>MANIJA FRENO GL SMASH / ML BIT / 110 CC </t>
  </si>
  <si>
    <t>KIT REPARACION BOMBA FRENO DELANTERO GL SMASH / ML BIT (x1)</t>
  </si>
  <si>
    <t>RELAY DE ARRANQUE UNIVERSAL SIN FUSIBLE </t>
  </si>
  <si>
    <t>RESORTE LARGO BARRAL INTERNO (315 MM.) GL SMASH / ML BLITZ (x1)</t>
  </si>
  <si>
    <t>VASTAGO INTERIOR COMPLETO BARRAL INTERNO GL SMASH / ML BIT </t>
  </si>
  <si>
    <t>BARRAL INTERNO SUSPENSION GL SMASH / ML BIT / 110 CC (26 X 360) </t>
  </si>
  <si>
    <t>PIERNA SIN BARRAL IZQUIERDO GL SMASH / ML BIT 110 CC (30 X 2,5) (x1)</t>
  </si>
  <si>
    <t>PIERNA SIN BARRAL DERECHO GL SMASH / ML BIT 110 CC (30x2.5) (x1)</t>
  </si>
  <si>
    <t>FAROL TRASERO COMPLETO CON LED GL SMASH </t>
  </si>
  <si>
    <t>TAPA CILINDRO IZQ REDONDA GRANDE ENGRANAJE DE DISTRIBUCION GL SMASH (82 MM.) </t>
  </si>
  <si>
    <t>PORTALAMPARA NITRO UNIVERSAL (x5)</t>
  </si>
  <si>
    <t>PORTA LAMPARA NITRO YH YBR125 (x1) </t>
  </si>
  <si>
    <t>PORTALAMPARA HD BIZ / HD BIZ 2015 </t>
  </si>
  <si>
    <t>PORTA LAMPARA NITRO (FAROL Y POSICION) GL SMASH </t>
  </si>
  <si>
    <t>PORTA LAMPARA NITRO HD CG 150 TITAN (x5)</t>
  </si>
  <si>
    <t>PORTA LAMPARA DEL HD XR125L (x5)</t>
  </si>
  <si>
    <t>PORTA LAMPARA FAROL TRAS. GUER. TRIPG-110 (x5)</t>
  </si>
  <si>
    <t>PORTA LAMPARA FAROL DELANTERO ML BLITZ 110 (V8) (x5)</t>
  </si>
  <si>
    <t>PORTA LAMPARA FAROL DELANTERO ZN ZB 110 (GIV) (x5)</t>
  </si>
  <si>
    <t>TORNILLOS ANODIZADOS SILVER CABEZA FORMA MISIL ROSCA 8 MM. (SET X 25) (x25)</t>
  </si>
  <si>
    <t>TORNILLOS ANODIZADOS GOLD CABEZA FORMA MISIL ROSCA 8 MM. (SET X 25) (x25)</t>
  </si>
  <si>
    <t>SOPORTE CABLE ACELERADOR GL SMASH 110 (UNDERBONE) / GUE TRIP G110 (x10)</t>
  </si>
  <si>
    <t>FUNDA INTERNA DE BAUL ZN ZB 110 (GIV) / CV ENERGY 110 (R2) / GU TRIP 110 (x1)</t>
  </si>
  <si>
    <t>MOTOR DE ARRANQUE ZN ZB110 (GIV) (x1)</t>
  </si>
  <si>
    <t>MOTOR DE ARRANQUE GL SMASH 110 (UNDERBONE) / GUE TRIPG-110 (x1)</t>
  </si>
  <si>
    <t>BRAZO FRENO TRASERO ML BLITZ 110 (V8) / ZB110 (GIV) / ENERGY 110 (R2) / GL SMASH 110(UNDER) / TRIPG-110 (x10)</t>
  </si>
  <si>
    <t>BULBO DE FRENO TRASERO ML BLITZ 110 (V8) / ZN ZB 110 (GIV) / GL SMASH 110 (UNDER) / TRIPG-110 (x10)</t>
  </si>
  <si>
    <t>BULBODEFRENOTRASEROCVENERGY110(R2) (x10)</t>
  </si>
  <si>
    <t>BULBODEFRENODEL.MLBLITZ110(V8)/ZNZB110(GIV)/GLSMASH110(UNDER)/TRIPG-110 (x10)</t>
  </si>
  <si>
    <t>CALIPER COMPLETO ZB110 (GIV) / ENER 110 (R2) / SMASH110 (UNDER) / TRIPG-110 (x1)</t>
  </si>
  <si>
    <t>CDI HD XR125L (2013-2015) (x1)</t>
  </si>
  <si>
    <t>CDI HD XR150L (A BATERIA) (2015) (x1)</t>
  </si>
  <si>
    <t>CDI HD CG 125 FAN (2005-2008) (x1)</t>
  </si>
  <si>
    <t>CDI YH FZ16 (x1)</t>
  </si>
  <si>
    <t>CDI ML BLITZ 110 5 PINES (V8) (x1)</t>
  </si>
  <si>
    <t>CUBRE ESCAPE ZN ZB 110 (GIV) / TRIPG-110 (x1)</t>
  </si>
  <si>
    <t>EJE HORQUILLON BLITZ 110 (V8) / ZB 110 (GIV) / ENERGY 110 (R2) / TRIPG-110 (x1) (x5)</t>
  </si>
  <si>
    <t>ESCAPE ML BLITZ 110 (V8) / CV ENERGY 110 (R2) (x1)</t>
  </si>
  <si>
    <t>ESCAPE C/ CUBRE ESCAPE ZN ZB 110 (GIV) / GU TRIP 110 (x1)</t>
  </si>
  <si>
    <t>FLOTANTE NIVEL DE NAFTA ML BLITZ 110 (V8) / CV ENERGY 110 (R2) (x1)</t>
  </si>
  <si>
    <t>FLOTANTE NIVEL DE NAFTA ZN ZB 110 (GIV) (x1)</t>
  </si>
  <si>
    <t>SOPORTE FLEXIBLE ZN ZB110 (GIV) / ENERGY 110 (R2) / SMASH 110 (UNDER) / TRIP G-110 (x1)</t>
  </si>
  <si>
    <t>FLEXIBLE FRENO DEL. ZN ZB 110 (GIV) / ENERGY 110 (R2) / SMASH 110 (UNDER) / TRIPG-110 (x5)</t>
  </si>
  <si>
    <t>HORQUILLON TRASERO ML BLITZ 110 (V8) / CV ENERGY 110 (R2) (x1)</t>
  </si>
  <si>
    <t>HORQUILLON TRASERO ZN ZB110 (GIV) / GUERRERO TRIPG-110 (x1)</t>
  </si>
  <si>
    <t>JUNTAS COMPLETAS BBR BJ ROUSER 135CC </t>
  </si>
  <si>
    <t>CABLE DE VELOCIMETRO BJ ROUSER 135CC </t>
  </si>
  <si>
    <t>CABLE DE EMBRAGUE BJ ROUSER 135CC </t>
  </si>
  <si>
    <t>MANIJA FRENO R/H BJ ROUSER 135CC (x2)</t>
  </si>
  <si>
    <t>SOPORTE MANIJA EMBRAGUE BJ ROUSER 135CC (x1)</t>
  </si>
  <si>
    <t>ESPEJOS NITRO BJ ROUSER 135 CC (PAR) </t>
  </si>
  <si>
    <t>GUIÑOSDEL BAJAJROUSER135 CAJA X 2 U - PRECIO POR UNIDAD (x2)</t>
  </si>
  <si>
    <t>GUIÑOSTRAS. BAJAJROUSER135CAJA X 2 U - PRECIO POR UNIDAD (x2)</t>
  </si>
  <si>
    <t>PASE DE NAFTA BJ ROUSER 135CC (x1)</t>
  </si>
  <si>
    <t>ESTIRA CADENA R/H BJ ROUSER 135CC (x1)</t>
  </si>
  <si>
    <t>GOMA DE MAZA TRASERA BJ ROUSER 135 NS / BJ ROUSER 160 NS </t>
  </si>
  <si>
    <t>RETEN DE SUSPENSION + COVER BJ ROUSER 135cc (x10)</t>
  </si>
  <si>
    <t>DISCO DE EMBRAGUE BJ ROUSER 135CC (SET) (x1)</t>
  </si>
  <si>
    <t>FAROL TRASERO BJ ROUSER 135 CC </t>
  </si>
  <si>
    <t>TABLERO TOWO SIN CABLES BJ ROUSER 135 CC (x1)</t>
  </si>
  <si>
    <t>ESTIRA CADENA L/H BJ ROUSER 135CC (x1)</t>
  </si>
  <si>
    <t>JUNTAS COMPLETAS BBR BJ ROUSER 220CC </t>
  </si>
  <si>
    <t>CABLE DE ACELERADOR BJ ROUSER 220CC (x1)</t>
  </si>
  <si>
    <t>CABLE DE VELOCIMETRO BJ ROUSER 220CC (x1)</t>
  </si>
  <si>
    <t>CABLE DE EMBRAGUE BJ ROUSER 220CC </t>
  </si>
  <si>
    <t>MANIJA EMBRAGUE BJ ROUSER 220CC (x2)</t>
  </si>
  <si>
    <t>ESPEJOS NITRO BJ ROUSER 220 CC (PAR) (x1)</t>
  </si>
  <si>
    <t>GUIÑOSTRAS.BJROUSER220 CAJA X2U- PRECIO POR UNIDAD (x2)</t>
  </si>
  <si>
    <t>GUIÑOSDELBAJAJROUSER220CAJA X 2 U - PRECIO POR UNIDAD (x2)</t>
  </si>
  <si>
    <t>LLAVE DE CONTACTO BJ ROUSER 220CC / 200 NS </t>
  </si>
  <si>
    <t>PASE DE NAFTA BJ ROUSER 220CC </t>
  </si>
  <si>
    <t>ESTIRA CADENA BJ ROUSER 220CC </t>
  </si>
  <si>
    <t>RETEN DE SUSPENSION BJ ROUSER 220cc - NS 200 - 180 (x10)</t>
  </si>
  <si>
    <t>DISCO DE EMBRAGUE BJ ROUSER 220CC (SET) (x1)</t>
  </si>
  <si>
    <t>FAROL DELANTERO BJ ROUSER 220/220F CC </t>
  </si>
  <si>
    <t>TABLERO TOWO CON CABLES BJ ROUSER 220 CC (x1)</t>
  </si>
  <si>
    <t>FAROL DELANTERO BJ ROUSER 180/220 CC </t>
  </si>
  <si>
    <t>FILTRO DE AIRE BJ ROUSER 200 NS </t>
  </si>
  <si>
    <t>FILTRO DE ACEITE BJ ROUSER 200 NS / KTM DUKE 200 </t>
  </si>
  <si>
    <t>AMORTIGUADOR BJ ROUSER 200 CC </t>
  </si>
  <si>
    <t>RECTIFICADOR BJ ROUSER 200 NS </t>
  </si>
  <si>
    <t>CUBRE OPTICA DELANTERA NEGRO BJ ROUSER 200 NS </t>
  </si>
  <si>
    <t>CUBRE LATERALES OPTICA DELANTERO BJ ROUSER 200 CC (PAR) (x1)</t>
  </si>
  <si>
    <t>CALIPER DELANTERO BJ ROUSER 200 CC (x1)</t>
  </si>
  <si>
    <t>DISCO DE FRENO DELANTERO BJ ROUSER 200 CC </t>
  </si>
  <si>
    <t>BOMBA FRENO TRASERA BJ ROUSER 200 CC (x2)</t>
  </si>
  <si>
    <t>ESPEJOS NITRO BJ ROUSER 200 NS / BJ ROUSER 160 NS (PAR) </t>
  </si>
  <si>
    <t>GUIÑOSTRASBJROUSER200NS/ BJ ROUSER 160 NS (x2)</t>
  </si>
  <si>
    <t>GUIÑOSDELBJROUSER200NS / BJ ROUSER 160 NS (x2)</t>
  </si>
  <si>
    <t>CALIPER TRASERO BJ ROUSER 200 CC </t>
  </si>
  <si>
    <t>DISCO DE FRENO TRASERO BJ ROUSER 200 CC </t>
  </si>
  <si>
    <t>MOTOR DE ARRANQUE BJ ROUSER 200 CC (x1)</t>
  </si>
  <si>
    <t>GUARDABARRO DELANTERO NEGRO BJ ROUSER 200 CC </t>
  </si>
  <si>
    <t>ESTIRA CADENA BJ ROUSER 200 NS </t>
  </si>
  <si>
    <t>GUARDABARRO TRASERO NEGRO BJ ROUSER 200 CC (x1)</t>
  </si>
  <si>
    <t>CACHA NEGRO BJ ROUSER 200 CC (SET) (x1)</t>
  </si>
  <si>
    <t>COLIN NEGRO BJ ROUSER 200 CC </t>
  </si>
  <si>
    <t>MULETA COMPLETA BJ ROUSER 200 CC (x1)</t>
  </si>
  <si>
    <t>FAROL DELANTERO BJ ROUSER 200 CC </t>
  </si>
  <si>
    <t>FAROL TRASERO BJ ROUSER 200 CC </t>
  </si>
  <si>
    <t>TABLERO TOWO SIN CABLES BJ ROUSER 200 CC (x1)</t>
  </si>
  <si>
    <t>GOMA DE MAZA TRASERA BJ ROUSER 200 NS (x1)</t>
  </si>
  <si>
    <t>PEDAL DE FRENO TRASERO BJ ROUSER 200 NS (x1)</t>
  </si>
  <si>
    <t>INTERRUPTOR DERECHO ZN ZB 110 (GIV) (x10)</t>
  </si>
  <si>
    <t>INTERRUPTOR DERECHO ML BLITZ 110 (V8) (x10)</t>
  </si>
  <si>
    <t>INTERRUPTOR DERECHO GL SMASH 110 (UNDERBONE) (x10)</t>
  </si>
  <si>
    <t>LEVA FRENO TRASERO BLITZ 110 (V8) / ZB 110 (GIV) / ENERGY 110 (R2) / SMASH 110 (UNDER) / TRIPG-110 (x1) (x5)</t>
  </si>
  <si>
    <t>MANUBRIO ML BLITZ 110 (V8) / CV ENERGY 110 (R2) (x1)</t>
  </si>
  <si>
    <t>MANUBRIO ZN ZB110 (GIV) (x1)</t>
  </si>
  <si>
    <t>MULETA YH FZ16 (x1)</t>
  </si>
  <si>
    <t>MULETA ML BLITZ 110 (V8) (x1)</t>
  </si>
  <si>
    <t>SOPORTE PATENTEBLITZ110 (V8) / ZB110 (GIV) / ENERGY110 (R2) / SMASH 110 (UNDER) /TRIP G-110 (x1)</t>
  </si>
  <si>
    <t>PORTA BATERIA ZN ZB 110 (GIV) / CV ENERGY 110 (R2) / TRIP G-110 (x1)</t>
  </si>
  <si>
    <t>RELAY DE ARRANQUE HD XR125L / HD XR150L (x1)</t>
  </si>
  <si>
    <t>RELAY DE ARRANQUE YH FZ16 (x1)</t>
  </si>
  <si>
    <t>RELAY DE ARRANQUE ML BLITZ 110 (V8) (x1)</t>
  </si>
  <si>
    <t>RELAY DE ARRANQUE ZN ZB 110 (GIV) (x1)</t>
  </si>
  <si>
    <t>RELAY DE ARRANQUE CV ENERGY 110 / GL SMASH (UNDERBONE) / GUERRERO TRIP 110 (x1)</t>
  </si>
  <si>
    <t>RECTIFICADOR ML BLITZ 110 (V8) (x1)</t>
  </si>
  <si>
    <t>RECTIFICADOR ZN ZB 110 (GIV) (x1)</t>
  </si>
  <si>
    <t>RECTIFICADOR CORVEN ENERGY 110 (R2) (x1)</t>
  </si>
  <si>
    <t>RECTIFICADOR TRIFASICO GL SMASH 110 (UNDERBONE) / GUER. TRIPG-110 (x1)</t>
  </si>
  <si>
    <t>SOPORTE ESPEJO DER. ML BLITZ 110 (V8) / CV ENERGY 110 (R2) / GL SMASH 110 (UNDER ) / GUE TRIPG 110 (x1)</t>
  </si>
  <si>
    <t>SOPORTE CEBADOR ZN ZB 110 (GIV) (x10)</t>
  </si>
  <si>
    <t>SOPORTE TAPA PORTA ZAPATA ML BLITZ 110 (V8) / ZN ZB110 (GIV) / CV ENERGY 110 (R2) / GL SMASH 110 (UNDER) / GUE TRIPG 110</t>
  </si>
  <si>
    <t>SOPORTE POLLERA ML BLITZ 110 V8 / ZN ZB110 GIV / CV ENERGY 110 R2 / GL SMASH 110 (UNDER) / GUE TRIPG 110 (x1)</t>
  </si>
  <si>
    <t>SOPORTE ESCAPE ZN ZB 110 (GIV) / GUERRERO TRIP G-110 (x1)</t>
  </si>
  <si>
    <t>SOPORTE PEDALIN DELANTERO ML BLITZ 110 (V8) (x1)</t>
  </si>
  <si>
    <t>SOPORTE PEDALIN ZN ZB 110 (GIV) (x1)</t>
  </si>
  <si>
    <t>TUBO ADMISION ZN ZB 110 (GIV) (x1)</t>
  </si>
  <si>
    <t>TAPA DE PIÑON ML BLITZ 110 (V8) / GIL SMASH 110 (UNDERBONE) / GUER TRIPG-110 (x1)</t>
  </si>
  <si>
    <t>TAPA MOTOR LADO IZQ. ZN ZB 110 (GIV) / CORVEN ENERGY 110 (R2) (x1)</t>
  </si>
  <si>
    <t>TAPA MOTOR LADO DERECHO ZN ZB 110 (GIV) / CV ENERGY 110 (R2) (x1)</t>
  </si>
  <si>
    <t>CUBRE TRABA DE ASIENTO BLITZ 110 (V8) / ZB 110 (GIV) / ENER.110 (R2) / SMASH 110 (UNDER) / TRIPG110 (x1)</t>
  </si>
  <si>
    <t>ENCHUFE USB ZN ZB 110 (GIV) (x1)</t>
  </si>
  <si>
    <t>SEGURO CORONA GL SMASH (x100)</t>
  </si>
  <si>
    <t>ESTIRA CADENA ML C110 (PAR) (x10)</t>
  </si>
  <si>
    <t>TAPA DERECHA CILINDRO GL SMASH </t>
  </si>
  <si>
    <t>KIT DISTRIBUCION C/ EJE HD C90 / HD CD100 / GL SMASH 110 (x1) (x1)</t>
  </si>
  <si>
    <t>CUBRE CADENA HD CG125 / ZN SAPUCAI 125 / ML CG125 (x1)</t>
  </si>
  <si>
    <t>BOBINA IGNICION HD GLH150 GAUCHA (x1)</t>
  </si>
  <si>
    <t>EJE RUEDA DELANTERA HD GLH150 GAUCHA (x2)</t>
  </si>
  <si>
    <t>EJE RUEDA TRASERA HD GAUCHA GLH150 (x1)</t>
  </si>
  <si>
    <t>GUIÑOSTRAS. HDWAVE CAJA X 2U - PRECIO POR UNIDAD (x2)</t>
  </si>
  <si>
    <t>GUIÑOS DEL HD WAVE CAJA X2 U- PRECIO POR PAR (x1)</t>
  </si>
  <si>
    <t>HGC001</t>
  </si>
  <si>
    <t>ASIENTO HD GAUCHA GLH 150 (x1)</t>
  </si>
  <si>
    <t>COLLARIN BENDIX HD GAUCHA GLH 150 (x1)</t>
  </si>
  <si>
    <t>BOMBA DE NAFTA HD GAUCHA GLH 150 (x1)</t>
  </si>
  <si>
    <t>BUJE HORQUILLON HD GAUCHA GLH 150 (x1)</t>
  </si>
  <si>
    <t>CALIPER DELANTERO NEGRO HD GAUCHA GLH 150 (x1)</t>
  </si>
  <si>
    <t>CUERPO MARIPOSA HD GAUCHA GLH 150 (x1)</t>
  </si>
  <si>
    <t>CERRADURA ASIENTO HD GAUCHA GLH 150 (x1)</t>
  </si>
  <si>
    <t>CORONA BENDIX HD GAUCHA GLH 150 (x1)</t>
  </si>
  <si>
    <t>CRISTO INFERIOR + TORNILLOS HD GAUCHA GLH 150 (x1)</t>
  </si>
  <si>
    <t>CRISTO SUPERIOR COMPLETO HD GAUCHA GLH 150 (x1)</t>
  </si>
  <si>
    <t>CUBRE CADENA HD GAUCHA GLH 150 (x1)</t>
  </si>
  <si>
    <t>BENDIX HD GAUCHA GLH 150 (x1)</t>
  </si>
  <si>
    <t>CUPULINA NEGRA HD GAUCHA GLH 150 (x1)</t>
  </si>
  <si>
    <t>DISCO DE FRENO DELANTERO HD GAUCHA GLH 150 / HD CB 125 TWISTER (x1)</t>
  </si>
  <si>
    <t>EJE DE HORQUILLAS DE CAMBIOS 94MM HD GAUCHA GLH 150 (x1)</t>
  </si>
  <si>
    <t>EJE DE HORQUILLAS DE CAMBIOS 58MM HD GAUCHA GLH 150 (x1)</t>
  </si>
  <si>
    <t>EJEHORQUILLONHDGAUCHAGLH150 (x2)</t>
  </si>
  <si>
    <t>ENGRANAJE BALANCEADOR HD GAUCHA GLH 150 (x1)</t>
  </si>
  <si>
    <t>ENGRANAJE BALANCEADOR INTERNO HD GAUCHA GLH 150 (x1)</t>
  </si>
  <si>
    <t>ENGRANAJE CIGUEÑAL HD GAUCHA GLH 150 (x1)</t>
  </si>
  <si>
    <t>ESTRELLA SELECTORA DE CAMBIOS HD GAUCHA GLH 150 (x1)</t>
  </si>
  <si>
    <t>FAROL TRASERO HD GAUCHA GLH 150 (x1)</t>
  </si>
  <si>
    <t>FAROL DELANTERO HD GAUCHA GLH 150 (x1)</t>
  </si>
  <si>
    <t>FLEXIBLE FRENO HD GAUCHA GLH 150 (x1)</t>
  </si>
  <si>
    <t>GOMA APOYO TANQUE TRASERO HD GAUCHA GLH 150 (SET) (x1)</t>
  </si>
  <si>
    <t>GOMA APOYO TANQUE FRONTAL HD GAUCHA GLH 150 (SET) (x1)</t>
  </si>
  <si>
    <t>GUARDABARRO DELANTERO AZUL HD GAUCHA GLH 150 (x1)</t>
  </si>
  <si>
    <t>GUARDABARRO DELANTERO NEGRO HD GAUCHA GLH 150 (x1)</t>
  </si>
  <si>
    <t>GUARDABARRO DELANTERO ROJO HD GAUCHA GLH 150 (x1)</t>
  </si>
  <si>
    <t>GUARDABARRO TRASERO NEGRO HD GAUCHA GLH 150 (x1)</t>
  </si>
  <si>
    <t>HORQUILLAS SELECTORA DE CAMBIOS HD GAUCHA GLH 150 (x1)</t>
  </si>
  <si>
    <t>HORQUILLON HD GAUCHA GLH 150 (x1)</t>
  </si>
  <si>
    <t>INYECTOR HD GAUCHA GLH 150 (x1)</t>
  </si>
  <si>
    <t>JUNTA DE CARBURADOR HD GAUCHA GLH 150 (x10)</t>
  </si>
  <si>
    <t>PATIN ROZA CADENA HD GAUCHA GLH 150 (x1)</t>
  </si>
  <si>
    <t>PEDALINES ACOMPAÑANTE HD GLH150 GAUCHA (PAR) (x1)</t>
  </si>
  <si>
    <t>PEDALINES CONDUCTOR HD GAUCHA GLH 150 (PAR) (x1)</t>
  </si>
  <si>
    <t>PORTA CORONA HD GAUCHA GLH 150 (x1)</t>
  </si>
  <si>
    <t>REENVIO VELOCIMETRO HD GAUCHA GLH 150 (SET) (x1)</t>
  </si>
  <si>
    <t>RELAY DESTELLADOR HD GAUCHA GLH 150 (x1)</t>
  </si>
  <si>
    <t>RESORTE CABALLETE HD GAUCHA GLH 150 (x5)</t>
  </si>
  <si>
    <t>RESORTE MULETA HD GAUCHA GLH 150 (x5)</t>
  </si>
  <si>
    <t>SELECTORA DE CAMBIOS HD GAUCHA GLH 150 (x1)</t>
  </si>
  <si>
    <t>SENSOR DE MULETA HD GLH150 GAUCHA (x1)</t>
  </si>
  <si>
    <t>SENSOR DE TEMPERATURA HD GLH150 GAUCHA (x1)</t>
  </si>
  <si>
    <t>SEPARADOR EXTERNO RUEDA TRASERA HD GAUCHA GLH 150 (x1)</t>
  </si>
  <si>
    <t>SEPARADOR INTERNO RUEDA TRASERA HD GAUCHA GLH 150 (x5)</t>
  </si>
  <si>
    <t>TAPA DE CILINDRO HD GAUCHA GLH 150 (x1)</t>
  </si>
  <si>
    <t>SENSOR TPS (SENSOR DE POSICION DEL ACELERADOR) HD GAUCHA GLH 150 (x1)</t>
  </si>
  <si>
    <t>TRABA ESTRELLA DE CAMBIOS HD GAUCHA GLH 150 (x5)</t>
  </si>
  <si>
    <t>TUBO ACOPLE INYECTOR HD GAUCHA GLH 150 (x5)</t>
  </si>
  <si>
    <t>VALVULA DE RALENTI HD GAUCHA GLH 150 (x1)</t>
  </si>
  <si>
    <t>VARILLA FRENO TRASERO HD GAUCHA GLH 150 (x10)</t>
  </si>
  <si>
    <t>VOLANTE MAGNÉTICO HD GAUCHA GLH 150 (x1)</t>
  </si>
  <si>
    <t>CUBRE OPTICA AZUL SET IZQUIERDA Y DERECHA HD GAUCHA GLH 150 (PAR) (x1)</t>
  </si>
  <si>
    <t>CUBRE OPTICA NEGRO SET IZQUIERDA Y DERECHA HD GAUCHA GLH 150 (PAR) (x1)</t>
  </si>
  <si>
    <t>CUBRE OPTICA ROJO SET IZQUIERDA Y DERECHA HD GAUCHA GLH 150 (PAR) (x1)</t>
  </si>
  <si>
    <t>SENSOR DE OXIGENO HD GLH 150 GAUCHA (x1)</t>
  </si>
  <si>
    <t>PLASTICO LLAVE ENCENDIDO HD GLH150 GAUCHA (x1)</t>
  </si>
  <si>
    <t>HORQUILLON TRASERO HD TITAN 150 </t>
  </si>
  <si>
    <t>CABALLETE HD TITAN 150 (x1)</t>
  </si>
  <si>
    <t>MULETA HD TITAN 150 (x1)</t>
  </si>
  <si>
    <t>SOPORTE PEDALIN DELANTERO HD TITAN 150 </t>
  </si>
  <si>
    <t>MANUBRIO HD CG 150 TITAN (x1)</t>
  </si>
  <si>
    <t>SOPORTE TABLERO Y GUIÑO HD TITAN 150 </t>
  </si>
  <si>
    <t>CUBRE CADENA HD TITAN 150 (2014) (x1)</t>
  </si>
  <si>
    <t>CACHA DERECHA NEGRO HD CG 150 TITAN (x1)</t>
  </si>
  <si>
    <t>CACHA DERECHA AZUL HD CG 150 TITAN (x1)</t>
  </si>
  <si>
    <t>CACHA DERECHA PLATA HD CG 150 TITAN (x1)</t>
  </si>
  <si>
    <t>CACHA DERECHA ROJO HD CG 150 TITAN (x1)</t>
  </si>
  <si>
    <t>CACHA IZQUIERDA NEGRO HD CG 150 TITAN (x1)</t>
  </si>
  <si>
    <t>CACHA IZQUIERDA AZUL HD CG 150 TITAN (x1)</t>
  </si>
  <si>
    <t>CACHA IZQUIERDA PLATA HD CG 150 TITAN (x1)</t>
  </si>
  <si>
    <t>CACHA IZQUIERDA ROJO HD CG 150 TITAN (x1)</t>
  </si>
  <si>
    <t>COLIN DERECHO NEGRO HD CG 150 TITAN </t>
  </si>
  <si>
    <t>COLIN DERECHO AZUL HD CG 150 TITAN </t>
  </si>
  <si>
    <t>COLIN DERECHO PLATA HD CG 150 TITAN </t>
  </si>
  <si>
    <t>COLIN DERECHO ROJO HD CG 150 TITAN </t>
  </si>
  <si>
    <t>COLIN IZQUIERDO NEGRO HD CG 150 TITAN </t>
  </si>
  <si>
    <t>COLIN IZQUIERDO AZUL HD CG 150 TITAN </t>
  </si>
  <si>
    <t>COLIN IZQUIERDO PLATA HD CG 150 TITAN </t>
  </si>
  <si>
    <t>COLIN IZQUIERDO ROJO HD CG 150 TITAN </t>
  </si>
  <si>
    <t>COLITA TRASERA NEGRO HD CG 150 TITAN </t>
  </si>
  <si>
    <t>COLITA TRASERA AZUL HD CG 150 TITAN </t>
  </si>
  <si>
    <t>COLITA TRASERA PLATA HD CG 150 TITAN </t>
  </si>
  <si>
    <t>COLITA TRASERA ROJO HD CG 150 TITAN </t>
  </si>
  <si>
    <t>GUARDABARRO TRASERO NEGRO HD CG 150 TITAN </t>
  </si>
  <si>
    <t>GUARDABARRO DELANTERO NEGRO HD CG 150 TITAN </t>
  </si>
  <si>
    <t>GUARDABARRO DELANTERO AZUL HD CG 150 TITAN </t>
  </si>
  <si>
    <t>GUARDABARRO DELANTERO PLATA HD CG 150 TITAN </t>
  </si>
  <si>
    <t>GUARDABARRO DELANTERO ROJO HD CG 150 TITAN </t>
  </si>
  <si>
    <t>SOPORTE GUARDABARRO DELANTERO HD CG 150 TITAN </t>
  </si>
  <si>
    <t>ASIENTO HD TITAN CG 150 (x1)</t>
  </si>
  <si>
    <t>TANQUE DE NAFTA NEGRO TITAN CG 150 </t>
  </si>
  <si>
    <t>TANQUE DE NAFTA AZUL HD TITAN CG 150 </t>
  </si>
  <si>
    <t>TANQUE DE NAFTA PLATA HD TITAN CG 150 </t>
  </si>
  <si>
    <t>TANQUE DE NAFTA ROJO HD TITAN CG 150 </t>
  </si>
  <si>
    <t>PIERNA COMPLETA DERECHA FRENO DISCO HD TITAN 150 (72,5 x 3) </t>
  </si>
  <si>
    <t>PIERNA COMPLETA IZQUIERDA FRENO DISCO HD TITAN 150 (72,5 x 3) </t>
  </si>
  <si>
    <t>MAZA DELANTERA FRENO DISCO HD TITAN 150 </t>
  </si>
  <si>
    <t>BUJE SEPARADOR RULEMANES RUEDA DELANTERA HD TITAN 150 (x5)</t>
  </si>
  <si>
    <t>DISCO DE FRENO DELANTERO HD TITAN 150 </t>
  </si>
  <si>
    <t>CRISTO INFERIOR HD TITAN 150 </t>
  </si>
  <si>
    <t>CRISTO SUPERIOR HD TITAN 150 </t>
  </si>
  <si>
    <t>FLOTANTE NIVEL DE NAFTA HD TITAN 150 </t>
  </si>
  <si>
    <t>CERRADURA CACHA HD TITAN 150 </t>
  </si>
  <si>
    <t>COMANDO IZQUIERDO HD TITAN 150 (x1)</t>
  </si>
  <si>
    <t>CDI HD TITAN 150 (x1)</t>
  </si>
  <si>
    <t>INSTALACION ELECTRICA HD TITAN 150 </t>
  </si>
  <si>
    <t>RELAY DE ARRANQUE HD TITAN 150 </t>
  </si>
  <si>
    <t>BULBO DE FRENO TRASERO HD TITAN 150 (x10)</t>
  </si>
  <si>
    <t>BOBINA IGNICION CATIIMOTO HD TITAN 150 (x1) </t>
  </si>
  <si>
    <t>RELAY DESTELLADOR HD TITAN 150 </t>
  </si>
  <si>
    <t>BULBODEFRENODELANTEROHDTITAN150 (x1)</t>
  </si>
  <si>
    <t>BULBO DEEMBRAGUEHDCG150TITAN/HDGLH150GAUCHA (x10)</t>
  </si>
  <si>
    <t>SOPORTE DE EMBRAGUE HD TITAN 150 (x4)</t>
  </si>
  <si>
    <t>MANIJA SOPORTE PASAJERO HD TITAN 150 (x1)</t>
  </si>
  <si>
    <t>VARILLA FRENO COMPLETO HD TITAN 150 (x10)</t>
  </si>
  <si>
    <t>SOPORTE GIRO TRASERO HD TITAN 150 (x1)</t>
  </si>
  <si>
    <t>SOPORTE GUARDABARRO TRASERO HD CG 150 TITAN </t>
  </si>
  <si>
    <t>SOPORTE CABALLETE CON RESORTE HD TITAN 150 (x5)</t>
  </si>
  <si>
    <t>RESORTE PEDAL FRENO HD TITAN 150 (x10)</t>
  </si>
  <si>
    <t>RESORTE BULBO FRENO TRASERO HD TITAN 150 (x10)</t>
  </si>
  <si>
    <t>REENVIO VELOCIMETRO HD TITAN 150 </t>
  </si>
  <si>
    <t>PEDALIN DELANTERO HD CG 150 TITAN (PAR) </t>
  </si>
  <si>
    <t>EJE DE CABALLETE HD TITAN 150 </t>
  </si>
  <si>
    <t>PEDALIN TRASERO COMPLETO HD CG 150 TITAN (PAR) (x1)</t>
  </si>
  <si>
    <t>GOMA DE MAZA TRASERA HD TITAN 150 </t>
  </si>
  <si>
    <t>PATIN ROZA CADENA HD TITAN 150 (x1)</t>
  </si>
  <si>
    <t>EJE HORQUILLON HD TITAN 150 (x2)</t>
  </si>
  <si>
    <t>MAZA TRASERA HD TITAN 150 (x1)</t>
  </si>
  <si>
    <t>BUJE SEPARADOR RULEMANES RUEDA TRASERA HD TITAN 150 (x1)</t>
  </si>
  <si>
    <t>PORTA CORONA HD TITAN 150 (x1)</t>
  </si>
  <si>
    <t>PORTA ZATAPA TRASERO HD TITAN 150 (x1)</t>
  </si>
  <si>
    <t>SOPORTE PEDALIN TRASERO DER/IZQ HD TITAN 150 (PAR) (x1)</t>
  </si>
  <si>
    <t>MOTOR DE ARRANQUE HD TITAN 150 (x1)</t>
  </si>
  <si>
    <t>BENDIX HD TITAN 150 (x1)</t>
  </si>
  <si>
    <t>CORONA BENDIX 58T HD TITAN 150 (x1)</t>
  </si>
  <si>
    <t>VOLANTE MAGNETICO CATIIMOTO HD TITAN 150 (x1)</t>
  </si>
  <si>
    <t>CARBURADOR HD CG 150 TITAN (SIN BOMBA DE PIQUE) (x1)</t>
  </si>
  <si>
    <t>TUBO ADMISION BRIDA HD TITAN 150 (x1)</t>
  </si>
  <si>
    <t>TAPON NIVEL ACEITE HD TITAN 150 (x5)</t>
  </si>
  <si>
    <t>INDICADOR DE CAMBIOS HD TITAN 150 (x1)</t>
  </si>
  <si>
    <t>GUIAS CADENA DISTRIBUCION HD CG 150 TITAN / HD GLH150 GAUCHA (x5)</t>
  </si>
  <si>
    <t>EJE SELECTOR DE CAMBIOS HD CG 150 TITAN / HD GLH150 GAUCHA </t>
  </si>
  <si>
    <t>BOMBA DE ACEITE HD CG 150 TITAN / HD GLH150 GAUCHA (x1)</t>
  </si>
  <si>
    <t>ENGRANAJE BOMBA DE ACEITE HD CG 150 TITAN / HD GLH150 GAUCHA (x1)</t>
  </si>
  <si>
    <t>CANASTA EMBRAGUE HD CG 150 TITAN / HD GLH150 GAUCHA (x1)</t>
  </si>
  <si>
    <t>CENTRO EMBRAGUE HD CG 150 TITAN / HD GLH150 GAUCHA (x1)</t>
  </si>
  <si>
    <t>TAPA CENTRO EMBRAGUE COMPLETO HD CG 150 TITAN / HD GLH150 GAUCHA (x1)</t>
  </si>
  <si>
    <t>LEVA EMBRAGUE COMPLETA HD CG 150 TITAN / HD GLH150 GAUCHA (x1)</t>
  </si>
  <si>
    <t>BUJE CANASTA EMBRAGUE HD CG 150 TITAN / HD GLH150 GAUCHA (x1)</t>
  </si>
  <si>
    <t>CORONA DISTRIBUCION 34T HD CG 150 TITAN / HD GLH150 GAUCHA (x1)</t>
  </si>
  <si>
    <t>SOPORTE CADENA DISTRIBUCION HD CG 150 TITAN </t>
  </si>
  <si>
    <t>CIGUEÑAL CATIIMOTO HD TITAN 150 (x1)</t>
  </si>
  <si>
    <t>TAPA CUBRE PIÑON HD CG 150 TITAN </t>
  </si>
  <si>
    <t>TAPONESENCENDIDOHDTITAN150 (JUEGO) (x10)</t>
  </si>
  <si>
    <t>ESPARRAGO CILINDRO HD TITAN 150 X 20U (x20)</t>
  </si>
  <si>
    <t>ARBOL DE LEVAS HD CG 150 TITAN / HD GLH150 GAUCHA (x1)</t>
  </si>
  <si>
    <t>BALANCIN HD CG 150 TITAN / HD GLH 150 GAUCHA (x2)</t>
  </si>
  <si>
    <t>EJE DE BALANCIN HD CG 150 TITAN / HD GLH150 GAUCHA (x1)</t>
  </si>
  <si>
    <t>FAROL DELANTERO HD CG 150 TITAN (x1)</t>
  </si>
  <si>
    <t>TABLERO CATIIMOTO CON CABLES HD TITAN 150 (x1)</t>
  </si>
  <si>
    <t>MANIJA EMBRAGUE HD TITAN 150 (2015-17) (x10)</t>
  </si>
  <si>
    <t>MANIJA FRENO DISCO UNIVERSAL C/ MUESCAS HD TITAN / ZN RX150 / ML SKUA (x10)</t>
  </si>
  <si>
    <t>BOMBA FRENO DELANTERA CON SOPORTE HD TITAN 150 (2015-17) (x1)</t>
  </si>
  <si>
    <t>FLEXIBLE FRENO HD TITAN 150 (x1)</t>
  </si>
  <si>
    <t>LLAVE DE CONTACTO HD TITAN 150 (x1)</t>
  </si>
  <si>
    <t>TRABA SEGURIDAD HD TITAN 150 (x1)</t>
  </si>
  <si>
    <t>CALIPER COMPLETO HD TITAN 150 (x1)</t>
  </si>
  <si>
    <t>ESTIRA CADENA SET CON TUERCA HD TITAN (x5)</t>
  </si>
  <si>
    <t>PASE DE NAFTA HD TITAN 150 (x1)</t>
  </si>
  <si>
    <t>TAPA DE TANQUE HD CG 150 TITAN / HD GLH150 GAUCHA / HD NXR 125 BROSS (x1)</t>
  </si>
  <si>
    <t>PALANCA DE CAMBIOS HD TITAN 150 (x1)</t>
  </si>
  <si>
    <t>PEDAL DE FRENO HD TITAN 150 (x1)</t>
  </si>
  <si>
    <t>PATADA ARRANQUE HD TITAN 150 (x1)</t>
  </si>
  <si>
    <t>GUIÑOSDEL/TRAS HDTITAN CG150  CAJA X4U- PRECIO POR SET (x1)</t>
  </si>
  <si>
    <t>FAROL TRASERO HD CG 150 TITAN (x1)</t>
  </si>
  <si>
    <t>RECTIFICADOR DE VOLTAJE HD TITAN 150 / HD STORM 125 CC (HASTA 2017) (x1)</t>
  </si>
  <si>
    <t>RESORTE MULETA HD TITAN 150 (x10)</t>
  </si>
  <si>
    <t>BUJES DE HORQUILLON HD TITAN 150 (x20)</t>
  </si>
  <si>
    <t>BRAZO FRENO TRASERO SZ AX100 (x5)</t>
  </si>
  <si>
    <t>BRAZO FRENO DELANTERO SZ AX 100 (x5)</t>
  </si>
  <si>
    <t>BULBODEFRENOTRASEROSZAX100 (x10)</t>
  </si>
  <si>
    <t>GUARDABARRO TRASERO EXTERNO NEGRO SZ AX 100 (x1)</t>
  </si>
  <si>
    <t>GUARDABARRO TRASERO INTERNO NEGRO SZ AX 100 (x1)</t>
  </si>
  <si>
    <t>LEVA FRENO DELANTERO Y TRASERO SZ AX100 (x5)</t>
  </si>
  <si>
    <t>MANUBRIO NITRO SZ AX100 (x1)</t>
  </si>
  <si>
    <t>GUARDABARRO DELANTERO NEGRO SZ AX 100 (x1)</t>
  </si>
  <si>
    <t>RESORTE BULBO FRENO TRASERO SZ AX100 (x10)</t>
  </si>
  <si>
    <t>RESORTE FRENO TRASERO SZ AX 100 (x10)</t>
  </si>
  <si>
    <t>VARILLA FRENO TRAS SZ AX 100 (x10)</t>
  </si>
  <si>
    <t>PASE DE NAFTA SZ GN 125 / SZ AX 100 (x1)</t>
  </si>
  <si>
    <t>SELECTORA DE CAMBIOS G70 MAGIC </t>
  </si>
  <si>
    <t>CAJA DE CAMBIOS GUERRERO G70 MAGIC </t>
  </si>
  <si>
    <t>FAROL DELANTERO ML SKUA 150 V6 (x1)</t>
  </si>
  <si>
    <t>CERRADURA PORTA CASCO ML SKUA 150 V6 (x1)</t>
  </si>
  <si>
    <t>CACHA DERECHA TRASERA AZUL ML SKUA 150 V6 (x1)</t>
  </si>
  <si>
    <t>CACHA DERECHA TRASERA BLANCO ML SKUA 150 V6 (x1)</t>
  </si>
  <si>
    <t>CACHA DERECHA TRASERA NEGRO ML SKUA 150 V6 (x1)</t>
  </si>
  <si>
    <t>CACHA DERECHA TRASERA ROJO ML SKUA 150 V6 (x1)</t>
  </si>
  <si>
    <t>CACHA IZQUIERDA TRASERA AZUL/BLANCO ML SKUA 150 V6 (x1)</t>
  </si>
  <si>
    <t>CACHA IZQUIERDA TRASERA BLANCO/AZUL ML SKUA 150 V6 (x1)</t>
  </si>
  <si>
    <t>CACHA IZQUIERDA TRASERA NEGRO/ROJO ML SKUA 150 V6 (x1)</t>
  </si>
  <si>
    <t>CACHA IZQUIERDA TRASERA ROJO/NEGRO ML SKUA 150 V6 (x1)</t>
  </si>
  <si>
    <t>GOMA APOYA TANQUE ML SKUA 150 V6 (x1)</t>
  </si>
  <si>
    <t>CACHA DERECHA DELANTERA AZUL ML SKUA 150 V6 (x1)</t>
  </si>
  <si>
    <t>CACHA DERECHA DELANTERA BLANCO ML SKUA 150 V6 (x1)</t>
  </si>
  <si>
    <t>CACHA DERECHA DELANTERA NEGRO ML SKUA 150 V6 (x1)</t>
  </si>
  <si>
    <t>CACHA DERECHA DELANTERA ROJO ML SKUA 150 V6 (x1)</t>
  </si>
  <si>
    <t>BULBO DEEMBRAGUEMLSKUA150V6 (x10)</t>
  </si>
  <si>
    <t>CACHA IZQUIERDA DELANTERA AZUL ML SKUA 150 V6 (x1)</t>
  </si>
  <si>
    <t>CACHA IZQUIERDA DELANTERA BLANCO ML SKUA 150 V6 (x1)</t>
  </si>
  <si>
    <t>CACHA IZQUIERDA DELANTERA NEGRO ML SKUA 150 V6 (x1)</t>
  </si>
  <si>
    <t>CACHA IZQUIERDA DELANTERA ROJO ML SKUA 150 V6 (x1)</t>
  </si>
  <si>
    <t>PEDALIN DE ACOMPAÑANTE IZQUIERDO ML SKUA 150 V6 (x2)</t>
  </si>
  <si>
    <t>PEDALIN DE ACOMPAÑANTE DERECHO ML SKUA 150 V6 (x2)</t>
  </si>
  <si>
    <t>BULBO DE FRENO TRASERO ML SKUA 150 V6 (x10)</t>
  </si>
  <si>
    <t>RESORTE BULBO FRENO TRASERO ML SKUA 150 V6 (x10)</t>
  </si>
  <si>
    <t>CAJA FILTRO DE AIRE ML SKUA 150 V6 (x1)</t>
  </si>
  <si>
    <t>GUARDABARRO DELANTERO AZUL ML SKUA 150 V6 (x1)</t>
  </si>
  <si>
    <t>GUARDABARRO DELANTERO BLANCO ML SKUA 150 V6 (x1)</t>
  </si>
  <si>
    <t>GUARDABARRO DELANTERO NEGRO ML SKUA 150 V6 (x1)</t>
  </si>
  <si>
    <t>GUARDABARRO DELANTERO ROJO ML SKUA 150 V6 (x1)</t>
  </si>
  <si>
    <t>EJE RUEDA DELANTERA ML SKUA 150 V6 (x5)</t>
  </si>
  <si>
    <t>SEPARADOR DE RUEDA DELANTERO ML SKUA 150 V6 (x5)</t>
  </si>
  <si>
    <t>SEGURO DE DISCO DEL. ML SKUA 150 V6 (x1)</t>
  </si>
  <si>
    <t>EJE RUEDA TRASERA ML SKUA 150 V6 (x5)</t>
  </si>
  <si>
    <t>SEPARADORES DE RUEDA TRASERA ML SKUA 150 V6 (x1)</t>
  </si>
  <si>
    <t>ESTIRA CADENA ML SKUA150 V.6 (SET) (x1)</t>
  </si>
  <si>
    <t>BRAZO FRENO TRASERO ML SKUA 150 V6 (x5)</t>
  </si>
  <si>
    <t>LEVA DE FRENO TRAS. ML SKUA 150 V6 (x5)</t>
  </si>
  <si>
    <t>AMORTIGUADOR MONOSHOCK ML SKUA 150 V6 (x1)</t>
  </si>
  <si>
    <t>TUBO FILTRO DE AIRE ML SKUA 150 V6 (x5)</t>
  </si>
  <si>
    <t>BULBO DE FRENO DELANTERO ML SKUA 150 V6 (x10)</t>
  </si>
  <si>
    <t>MULETA ML SKUA 150 V6 (x1)</t>
  </si>
  <si>
    <t>RESORTE MULETA ML SKUA 150 V6 (x10)</t>
  </si>
  <si>
    <t>VARILLA FRENO ML SKUA 150 V6 (x10)</t>
  </si>
  <si>
    <t>RESORTE FRENO TRASERO ML SKUA 150 V6 (x10)</t>
  </si>
  <si>
    <t>PATIN ROZA CADENA ML SKUA 150 V6 (x1)</t>
  </si>
  <si>
    <t>EJE HORQUILLON ML SKUA 150 V6 (x5)</t>
  </si>
  <si>
    <t>RECUPERADOR DE GASES ML SKUA 150 V6 (x5)</t>
  </si>
  <si>
    <t>RELAY DE ARRANQUE HD GLH150 GAUCHA  / HD XR125L / HD XR150 (x1)</t>
  </si>
  <si>
    <t>SOPORTE MANIJA DERECHO CON BOMBA DE FRENO HD GLH150 GAUCHA (x2)</t>
  </si>
  <si>
    <t>SOPORTE MANIJA IZQUIERDO HD GLH150 GAUCHA (x2)</t>
  </si>
  <si>
    <t>TAPA DE TANQUE NAFTA GIL SMASH / ML BIT / HD WAVE 110 S / HD BIZ 125G (x1)</t>
  </si>
  <si>
    <t>BOCINA 12VUNIVERSAL GLSMASH / ML BIT / HD WAVE 110 S (x1)</t>
  </si>
  <si>
    <t>RELAY DE ARRANQUE UNIVERSAL CON FUSIBLE (x1)</t>
  </si>
  <si>
    <t>TAPA DE CILINDRO COMPLETA ML BLITZ NEW (x1)</t>
  </si>
  <si>
    <t>ORING TAPA (SET) GL SMASH / ML BIT 110 </t>
  </si>
  <si>
    <t>ACRILICO TABLERO GL SMASH / ML BIT (x1)</t>
  </si>
  <si>
    <t>TAPA DE CILINDRO COMPLETA GL SMASH NEW (x1)</t>
  </si>
  <si>
    <t>EMBRAGUE COMPLETO HD WAVE </t>
  </si>
  <si>
    <t>RECUPERADOR DE GASES HD WAVE (x1)</t>
  </si>
  <si>
    <t>GUARDABARRO TRASERO INTERNO NEGRO HD WAVE </t>
  </si>
  <si>
    <t>CAJA FILTRO DE AIRE HD WAVE </t>
  </si>
  <si>
    <t>CUBRE CUADRO HD WAVE </t>
  </si>
  <si>
    <t>PORTA BATERIA HD WAVE </t>
  </si>
  <si>
    <t>GUANTERA HD WAVE (x1)</t>
  </si>
  <si>
    <t>FRENTE NEGRO HD WAVE </t>
  </si>
  <si>
    <t>FRENTE AZUL HD WAVE </t>
  </si>
  <si>
    <t>FRENTE ROJO HD WAVE </t>
  </si>
  <si>
    <t>FRENTE PLATA HD WAVE </t>
  </si>
  <si>
    <t>COLITA TRASERA NEGRO HD WAVE </t>
  </si>
  <si>
    <t>COLITA TRASERA AZUL HD WAVE </t>
  </si>
  <si>
    <t>COLITA TRASERA ROJO HD WAVE </t>
  </si>
  <si>
    <t>COLITA TRASERA PLATA HD WAVE </t>
  </si>
  <si>
    <t>CUBRE PIERNA IZQUIERDO NEGRO HD WAVE 100 (2005-2013) BASE </t>
  </si>
  <si>
    <t>CUBRE PIERNA 2DA IZQUIERDO ROJO HD WAVE 100 BASE (2005-2013) </t>
  </si>
  <si>
    <t>CUBRE PIERNA IZQUIERDO ROJO HD WAVE 100 (2005-2013) BASE </t>
  </si>
  <si>
    <t>CUBRE PIERNA IZQUIERDO PLATA HD WAVE 100 (2005-2013) BASE </t>
  </si>
  <si>
    <t>FAROL TRASERO COMPLETO CON LED HD WAVE </t>
  </si>
  <si>
    <t>EMBRAGUE CENTRIFUGO HD WAVE (x1)</t>
  </si>
  <si>
    <t>CUBRE PIERNA DERECHO NEGRO HD WAVE 100 (2005-2013) BASE </t>
  </si>
  <si>
    <t>CUBRE PIERNA 2DA DERECHO ROJO HD WAVE 100 (2005-2013) BASE </t>
  </si>
  <si>
    <t>CUBRE PIERNA DERECHO ROJO HD WAVE 100 (2005-2013) BASE </t>
  </si>
  <si>
    <t>CUBRE PIERNA DERECHO PLATA HD WAVE 100 (2005-2013) BASE </t>
  </si>
  <si>
    <t>TAPA GUIÑO IZQUIERDO NEGRO HD WAVE </t>
  </si>
  <si>
    <t>TAPA GUIÑO IZQUIERDO AZUL HD WAVE </t>
  </si>
  <si>
    <t>TAPA GUIÑO IZQUIERDO ROJO HD WAVE </t>
  </si>
  <si>
    <t>TAPA GUIÑO IZQUIERDO PLATA HD WAVE </t>
  </si>
  <si>
    <t>CUBRE HORQUILLA DERECHA NEGRO HD WAVE </t>
  </si>
  <si>
    <t>CUBRE HORQUILLA DERECHA AZUL HD WAVE </t>
  </si>
  <si>
    <t>CUBRE HORQUILLA DERECHA ROJO HD WAVE </t>
  </si>
  <si>
    <t>CUBRE HORQUILLA DERECHA PLATA HD WAVE </t>
  </si>
  <si>
    <t>TAPA GUIÑO DERECHO NEGRO HD WAVE </t>
  </si>
  <si>
    <t>TAPA GUIÑO DERECHO AZUL HD WAVE </t>
  </si>
  <si>
    <t>TAPA GUIÑO DERECHO ROJO HD WAVE </t>
  </si>
  <si>
    <t>TAPA GUIÑO DERECHO PLATA HD WAVE </t>
  </si>
  <si>
    <t>EMBRAGUE CENTRIFUGO COMPLETO HD WAVE </t>
  </si>
  <si>
    <t>CIGUEÑAL COMPLETO CATIIMOTO HD WAVE 100 (x1)</t>
  </si>
  <si>
    <t>CUBRE HORQUILLA IZQUIERDA NEGRO HD WAVE </t>
  </si>
  <si>
    <t>CUBRE HORQUILLA IZQUIERDA ROJO HD WAVE </t>
  </si>
  <si>
    <t>AMORTIGUADORES HD WAVE (PAR) </t>
  </si>
  <si>
    <t>FAROL TRASERO COMPLETO HD WAVE </t>
  </si>
  <si>
    <t>BENDIX HD WAVE </t>
  </si>
  <si>
    <t>HORQUILLON TRASERO HD WAVE </t>
  </si>
  <si>
    <t>SOPORTE PEDALIN DERECHO HD WAVE / HD WAVE 110 S (x1)</t>
  </si>
  <si>
    <t>PATIN ROZA CADENA HD WAVE (x4)</t>
  </si>
  <si>
    <t>SOPORTE PEDALIN TRASERO IZQUIERDO HD WAVE </t>
  </si>
  <si>
    <t>RECTIFICADOR HD WAVE </t>
  </si>
  <si>
    <t>CDI HD WAVE </t>
  </si>
  <si>
    <t>RELAY DESTELLADOR HD WAVE / HD WAVE 110 S </t>
  </si>
  <si>
    <t>RELAY LUCES HD WAVE (x1)</t>
  </si>
  <si>
    <t>INSTALACION ELECTRICA COMPLETA HD WAVE </t>
  </si>
  <si>
    <t>CABALLETE HD WAVE </t>
  </si>
  <si>
    <t>SOPORTE MANIJA FRENO HD WAVE (x5)</t>
  </si>
  <si>
    <t>BULBO STOP DELANTERO HD WAVE (x20)</t>
  </si>
  <si>
    <t>MANUBRIO CATIIMOTO HD WAVE (x1)</t>
  </si>
  <si>
    <t>PALANCA DE CAMBIOS HD WAVE </t>
  </si>
  <si>
    <t>SOPORTE PEDALIN DELANTERO (APOYAPIE) HD WAVE </t>
  </si>
  <si>
    <t>PEDAL DE FRENO TRASERO HD WAVE (x1)</t>
  </si>
  <si>
    <t>MULETA HD WAVE / HD WAVE 110 S </t>
  </si>
  <si>
    <t>GOMA PEDALIN DELANTERO CATIIMOTO HD WAVE (x2)</t>
  </si>
  <si>
    <t>SOPORTE MANUBRIO HD WAVE </t>
  </si>
  <si>
    <t>RESORTE VARILLA FRENO HD WAVE (x20)</t>
  </si>
  <si>
    <t>PORTA ZAPATA FRENO DELANTERO HD WAVE / HD WAVE 110 S </t>
  </si>
  <si>
    <t>SEPARADORES EJE RUEDA TRASERA HD WAVE (x5)</t>
  </si>
  <si>
    <t>SEPARADOR DE RUEDA DELANTERA HD WAVE (x10)</t>
  </si>
  <si>
    <t>RESORTE LEVA FRENO DELANTERO HD WAVE / HD WAVE 110 S (x10)</t>
  </si>
  <si>
    <t>KIT REENVIO VELOCIMETRO HD WAVE / HD WAVE 110 S </t>
  </si>
  <si>
    <t>EJE RUEDA DELANTERA HD WAVE / HD WAVE 110 S (x5)</t>
  </si>
  <si>
    <t>SOPORTE RESORTE CABALLETE HD WAVE (x5)</t>
  </si>
  <si>
    <t>TABLERO CATIIMOTO CON CABLES HD WAVE (x1)</t>
  </si>
  <si>
    <t>GUARDABARRO TRASERO NEGRO HD WAVE </t>
  </si>
  <si>
    <t>CUBRE CADENA HD WAVE </t>
  </si>
  <si>
    <t>FAROL DELANTERO COMPLETO HD WAVE </t>
  </si>
  <si>
    <t>CUBRE OPTICA AZUL HD WAVE 100 (2005-2013) BASE </t>
  </si>
  <si>
    <t>FLOTANTE NIVEL DE NAFTA HD WAVE </t>
  </si>
  <si>
    <t>PORTA ZAPATA TRASERO HD WAVE (x1)</t>
  </si>
  <si>
    <t>PORTA CORONA HD WAVE (x1)</t>
  </si>
  <si>
    <t>GOMA DE MAZA TRASERA HD WAVE / HD WAVE 110 S (4xSET) (x1)</t>
  </si>
  <si>
    <t>EJE RUEDA TRASERA CON TUERCA HD WAVE (x5)</t>
  </si>
  <si>
    <t>LEVA DE FRENO DEL. Y TRAS. HD WAVE / HD WAVE 110 S (x1) </t>
  </si>
  <si>
    <t>ESTIRA CADENA CON TUERCA HD WAVE (x10)</t>
  </si>
  <si>
    <t>EJE PERFORADO CORONA HD WAVE (x10)</t>
  </si>
  <si>
    <t>MAZA DELANTERA ZAPATA HD WAVE / HD WAVE 110 S (x1)</t>
  </si>
  <si>
    <t>BUJE SEPARADOR RULEMANES DELANTERO HD WAVE (x5)</t>
  </si>
  <si>
    <t>ASIENTO HD WAVE </t>
  </si>
  <si>
    <t>RESORTE CABALLETE HD WAVE / HD WAVE 110 S (x10)</t>
  </si>
  <si>
    <t>CERRADURA ASIENTO HD WAVE </t>
  </si>
  <si>
    <t>COMANDO DERECHO CON PUÑO HD WAVE / BETA 110 (x1)</t>
  </si>
  <si>
    <t>OJO DE GATO HD WAVE (PRECIO POR PAR) (x5)</t>
  </si>
  <si>
    <t>MAZA TRASERA HD WAVE / HD WAVE 110 S </t>
  </si>
  <si>
    <t>SEPARADOR DE RUEDA TRASERA (RULEMANES) HD WAVE (x5)</t>
  </si>
  <si>
    <t>LLAVE DE CONTACTO CON TRABA MANUBRIO HD WAVE </t>
  </si>
  <si>
    <t>ESPARRAGO ESCAPE 6 MM. x 32 MM. 100/110 GL SMASH / HD WAVE / ML BIT (x100)</t>
  </si>
  <si>
    <t>ESPARRAGO CILINDRO HD WAVE (x20)</t>
  </si>
  <si>
    <t>TUBO ADMISION HD WAVE </t>
  </si>
  <si>
    <t>ESTATOR CATIIMOTO 5 CAMPOS HD WAVE </t>
  </si>
  <si>
    <t>TAPA DE CILINDRO HD WAVE </t>
  </si>
  <si>
    <t>CAJA DE CAMBIOS COMPLETA HD WAVE </t>
  </si>
  <si>
    <t>ARBOL DE LEVAS CATIIMOTO HD WAVE </t>
  </si>
  <si>
    <t>PATIN ROZA CADENA HD WAVE (x10)</t>
  </si>
  <si>
    <t>CUBRE OPTICA NEGRO HD WAVE 100 (2005-2013) BASE </t>
  </si>
  <si>
    <t>CUBRE OPTICA PLATA HD WAVE 100 (2005-2013) BASE </t>
  </si>
  <si>
    <t>CUBRE OPTICA ROJO HD WAVE 100 (2005-2013) BASE </t>
  </si>
  <si>
    <t>BOBINA IGNICION HD WAVE </t>
  </si>
  <si>
    <t>VOLANTE MAGNETICO HD WAVE (6 CAMPOS) </t>
  </si>
  <si>
    <t>SET RESORTE INTERNO PATADA GL SMASH (x10)</t>
  </si>
  <si>
    <t>TAPA DE TANQUE NAFTA HD WAVE / HD WAVE 110 S </t>
  </si>
  <si>
    <t>SEPARADORES DE RUEDA TRASERA GL SMASH (x10)</t>
  </si>
  <si>
    <t>ESTATOR TOWO C/ CAPTOR 9 CAMPOS GL SMASH (x1)</t>
  </si>
  <si>
    <t>TORNILLO REGULADOR EMBRAGUE GL SMASH (VTA MINIMA 10 UNIDADES) (x10)</t>
  </si>
  <si>
    <t>INDICADOR ELECTRONICO DE CAMBIOS GL SMASH (x1)</t>
  </si>
  <si>
    <t>CIGUEÑAL COMPLETO NITRO GL SMASH </t>
  </si>
  <si>
    <t>CONJUNTO BENDIX GL SMASH </t>
  </si>
  <si>
    <t>RECTIFICADOR GL SMASH (NUEVA) 5 CABLES </t>
  </si>
  <si>
    <t>VOLANTE MAGNETICO GL SMASH (6 CAMPOS) </t>
  </si>
  <si>
    <t>TAPA MOTOR LADO DERECHO GL SMASH (x1)</t>
  </si>
  <si>
    <t>TAPONES ENCENDIDO GL SMASH / HD WAVE 110 S (JUEGO) (x10)</t>
  </si>
  <si>
    <t>TUERCA TAPA CILINDRO GL SMASH (x20)</t>
  </si>
  <si>
    <t>CARCAZA MOTOR DERECHA GL SMASH (x1)</t>
  </si>
  <si>
    <t>TAPA ENCENDIDO GL SMASH (x1)</t>
  </si>
  <si>
    <t>TAPON NIVEL DE ACEITE GL SMASH (x10)</t>
  </si>
  <si>
    <t>TAPA DISTRIBUCION CARTER GL SMASH (x1)</t>
  </si>
  <si>
    <t>BULBODEFRENODELANTEROGLSMASH (x10)</t>
  </si>
  <si>
    <t>PUNTERA MANUBRIO GL SMASH (X SET) (x1)</t>
  </si>
  <si>
    <t>KIT REPARACION BENDIX GL SMASH (10 KITS) (x10)</t>
  </si>
  <si>
    <t>EMBRAGUE COMPLETO 18T GL SMASH 110 </t>
  </si>
  <si>
    <t>ESPARRAGO CILINDRO CON TUERCA GL SMASH (x20)</t>
  </si>
  <si>
    <t>CORONA DISTRIBUCION 32T GL SMASH (x10)</t>
  </si>
  <si>
    <t>ARBOL DE LEVAS CORTO CATIIMOTO GL SMASH </t>
  </si>
  <si>
    <t>TUBO RECUPERADOR DE GASES HD WAVE </t>
  </si>
  <si>
    <t>EJE DE CAMBIOS GL SMASH (x1)</t>
  </si>
  <si>
    <t>VOLANTE MAGNETICO ALTO GL SMASH (4 CAMPOS) </t>
  </si>
  <si>
    <t>EJE PATADA ARRANQUE GL SMASH </t>
  </si>
  <si>
    <t>CILINDRO GL SMASH (50MM) (x1)</t>
  </si>
  <si>
    <t>TAPA DE CILINDRO GL SMASH ARBOL DE LEVAS LARGO (C/ GUIAS DE VALVULAS) </t>
  </si>
  <si>
    <t>BOMBA DE ACEITE GL SMASH (x1)</t>
  </si>
  <si>
    <t>VARILLA FRENO TRASERO HD WAVE (x10)</t>
  </si>
  <si>
    <t>ESCAPE HD WAVE </t>
  </si>
  <si>
    <t>LATERAL IZQUIERDO NEGRO HD WAVE </t>
  </si>
  <si>
    <t>LATERAL IZQUIERDO AZUL HD WAVE </t>
  </si>
  <si>
    <t>LATERAL IZQUIERDO ROJO HD WAVE </t>
  </si>
  <si>
    <t>LATERAL IZQUIERDO PLATA HD WAVE </t>
  </si>
  <si>
    <t>INDICADOR ELECTRONICO DE CAMBIOS HD WAVE </t>
  </si>
  <si>
    <t>LATERAL DERECHO NEGRO HD WAVE </t>
  </si>
  <si>
    <t>LATERAL DERECHO AZUL HD WAVE </t>
  </si>
  <si>
    <t>LATERAL DERECHO ROJO HD WAVE </t>
  </si>
  <si>
    <t>LATERAL DERECHO PLATA HD WAVE </t>
  </si>
  <si>
    <t>ASIENTO HD WAVE 110 S (x1)</t>
  </si>
  <si>
    <t>CUBRE CUADRO HD WAVE 110 S (x1)</t>
  </si>
  <si>
    <t>FRENTE BAJO ASIENTO HD WAVE 110 S (x1)</t>
  </si>
  <si>
    <t>ACCESORIO FRENTE HD WAVE 110 S (x1)</t>
  </si>
  <si>
    <t>GUARDABARRO DELANTERO INTERNO NEGRO HD WAVE 110 S (x1)</t>
  </si>
  <si>
    <t>FRENTE OPTICA INTERNA HD WAVE 110 S (x1)</t>
  </si>
  <si>
    <t>CUBRE TABLERO HD WAVE 110 S (x1)</t>
  </si>
  <si>
    <t>LATERAL INFERIOR IZQUIERDO HD WAVE 110 S (x1)</t>
  </si>
  <si>
    <t>LATERAL INFERIOR DERECHO HD WAVE 110 S (x1)</t>
  </si>
  <si>
    <t>CUBRE PIERNA IZQUIERDO INTERNO HD WAVE 110 S (x1)</t>
  </si>
  <si>
    <t>CUBRE PIERNA DERECHO INTERNO HD WAVE 110 S (x1)</t>
  </si>
  <si>
    <t>CUBRE CUADRO SUPERIOR IZQUIERDO HD WAVE 110 S (x1)</t>
  </si>
  <si>
    <t>CUBRE CUADRO SUPERIOR DERECHO HD WAVE 110 S (x1)</t>
  </si>
  <si>
    <t>CUBRE CUADRO INFERIOR IZQUIERDO HD WAVE 110 S (x1)</t>
  </si>
  <si>
    <t>CUBRE CUADRO INFERIOR DERECHO HD WAVE 110 S (x1)</t>
  </si>
  <si>
    <t>FRENTE BAJO ASIENTO IZQUIERDO HD WAVE 110 S (x1)</t>
  </si>
  <si>
    <t>FRENTE BAJO ASIENTO DERECHO HD WAVE 110 S (x1)</t>
  </si>
  <si>
    <t>QUILLA LADO DERECHO HD WAVE 110 S (x1)</t>
  </si>
  <si>
    <t>QUILLA LADO IZQUIERDO HD WAVE 110 S (x1)</t>
  </si>
  <si>
    <t>GUARDABARRO TRASERO EXTERNO NEGRO HD WAVE 110 S (x1)</t>
  </si>
  <si>
    <t>ACCESORIO GUARDABARRO TRASERO HD WAVE 110 S (x1)</t>
  </si>
  <si>
    <t>RELAY DE ARRANQUE HD WAVE 110 S (x1)</t>
  </si>
  <si>
    <t>CDI HD WAVE 110 S (x1)</t>
  </si>
  <si>
    <t>BOBINA IGNICION HD WAVE 110 S (x1)</t>
  </si>
  <si>
    <t>ESTATOR CATIIMOTO HD WAVE 110 S (x1)</t>
  </si>
  <si>
    <t>MOTOR DE ARRANQUEHDWAVE110S (x1)</t>
  </si>
  <si>
    <t>RECTIFICADOR HD WAVE 110 S (x1)</t>
  </si>
  <si>
    <t>INSTALACION ELECTRICA HD WAVE 110 S (x1)</t>
  </si>
  <si>
    <t>TABLERO CATIIMOTO SIN CABLES HD WAVE 110 S (x1)</t>
  </si>
  <si>
    <t>FAROL DELANTERO HD WAVE 110 S (x1)</t>
  </si>
  <si>
    <t>FAROL TRASERO HD WAVE 110 S (x1)</t>
  </si>
  <si>
    <t>GUIÑOS DEL IZQ/DER HD WAVE 110 S  CAJA X2U- PRECIO POR PAR (x1)</t>
  </si>
  <si>
    <t>GUIÑOS TRAS IZQ/DER HD WAVE 110 S CAJA X2U- PRECIO POR PAR (x1)</t>
  </si>
  <si>
    <t>INSTALACION ELECTRICA FRENTE HD WAVE 110 S (x1)</t>
  </si>
  <si>
    <t>LLAVE DE CONTACTO HD WAVE 110 S (x1)</t>
  </si>
  <si>
    <t>PORTA LAMPARA GUIÑOS DEL. HD WAVE 110 S (x10)</t>
  </si>
  <si>
    <t>BULBO DE FRENO TRASERO HD WAVE 110 S (x10)</t>
  </si>
  <si>
    <t>FAROL PATENTE HD WAVE 110 S (x5)</t>
  </si>
  <si>
    <t>INDICADOR DE CAMBIOS HD WAVE 110 S (x1)</t>
  </si>
  <si>
    <t>FLOTANTE NIVEL DE NAFTA HD WAVE 110 S (x1)</t>
  </si>
  <si>
    <t>SOPORTE PEDALIN DELANTERO HD WAVE 110 S (x1)</t>
  </si>
  <si>
    <t>GOMA PEDALIN DELANTERO CATIIMOTO HD WAVE 110 S (PAR) (x1)</t>
  </si>
  <si>
    <t>HORQUILLON HD WAVE 110 S (x1)</t>
  </si>
  <si>
    <t>AMORTIGUADOR HD WAVE 110 S (PRECIO POR SET) (x1)</t>
  </si>
  <si>
    <t>TANQUE DE NAFTA HD WAVE 110 S (x1)</t>
  </si>
  <si>
    <t>SOPORTE PORTA ZAPATA TRAS. HD WAVE 110 S (x1)</t>
  </si>
  <si>
    <t>PORTA CORONA HD WAVE 110 S (x1)</t>
  </si>
  <si>
    <t>SEPARADORES DE RUEDA TRASERO HD WAVE 110 S (SET) (x5)</t>
  </si>
  <si>
    <t>SEPARADOR DE RUEDA DELANTERO HD WAVE 110 S (x5)</t>
  </si>
  <si>
    <t>PATADA DE ARRANQUE HD WAVE 110 S (x1)</t>
  </si>
  <si>
    <t>TAMBOR CERRADURA ASIENTO HD WAVE 110 S (x1)</t>
  </si>
  <si>
    <t>CRISTO INFERIOR HD WAVE 110 S (x1)</t>
  </si>
  <si>
    <t>PALANCA DE CAMBIOS HD WAVE 110 S (x1)</t>
  </si>
  <si>
    <t>CARBURADOR HD WAVE 110 S (x1)</t>
  </si>
  <si>
    <t>TUBO ADMISION HD WAVE 110 S (x1)</t>
  </si>
  <si>
    <t>EJE DE CABALLETE HD WAVE 110 S (x1)</t>
  </si>
  <si>
    <t>CAJA FILTRO DE AIRE HD WAVE 110 S (x1)</t>
  </si>
  <si>
    <t>TAPA PIÑON HD WAVE 110 S (x1)</t>
  </si>
  <si>
    <t>VARILLA FRENO DEL HD WAVE 110 S (x5)</t>
  </si>
  <si>
    <t>PEDAL DE FRENO TRASERO HD WAVE 110 S (x1)</t>
  </si>
  <si>
    <t>PEDALIN TRASERO IZQUIERDO HD WAVE 110 S (x2)</t>
  </si>
  <si>
    <t>PEDALIN TRASERO DERECHO HD WAVE 110 S (x2)</t>
  </si>
  <si>
    <t>FILTRO DE AIRE HD WAVE 110 S (x1)</t>
  </si>
  <si>
    <t>CABALLETE HD WAVE 110 S (x1)</t>
  </si>
  <si>
    <t>PORTA ZAPATA TRASERO HD WAVE 110 S (x1)</t>
  </si>
  <si>
    <t>BENDIX HD WAVE 110 S (x1)</t>
  </si>
  <si>
    <t>OJO DE GATO HD WAVE 110 S / HD GLH150 GAUCHA (x1)</t>
  </si>
  <si>
    <t>LATERAL SUPERIOR IZQUIERDO BLANCO HD WAVE 110 S (x1)</t>
  </si>
  <si>
    <t>LATERAL SUPERIOR IZQUIERDO NEGRO HD WAVE 110 S (x1)</t>
  </si>
  <si>
    <t>LATERAL SUPERIOR IZQUIERDO ROJO HD WAVE 110 S (x1)</t>
  </si>
  <si>
    <t>EJE PATADA ARRANQUE HD WAVE 110 S (x1)</t>
  </si>
  <si>
    <t>SET RESORTE INTERNO PATADA HD WAVE 110 S (x1)</t>
  </si>
  <si>
    <t>LATERAL SUPERIOR DERECHO BLANCO HD WAVE 110 S (x1)</t>
  </si>
  <si>
    <t>LATERAL SUPERIOR DERECHO NEGRO HD WAVE 110 S (x1)</t>
  </si>
  <si>
    <t>LATERAL SUPERIOR DERECHO ROJO HD WAVE 110 S (x1)</t>
  </si>
  <si>
    <t>CORONA DISTRIBUCION HD WAVE 110 S (x1)</t>
  </si>
  <si>
    <t>EJE DE CAMBIOS HD WAVE 110 S (x1)</t>
  </si>
  <si>
    <t>CENTRO EMBRAGUE HD WAVE 110 S (x1)</t>
  </si>
  <si>
    <t>CANASTA EMBRAGUE HD WAVE 110 S (x1)</t>
  </si>
  <si>
    <t>RESORTE EMBRAGUE HD WAVE 110 S (x1)</t>
  </si>
  <si>
    <t>EMBRAGUE COMPLETO HD WAVE 110 S (x1)</t>
  </si>
  <si>
    <t>TAPA CENTRO EMBRAGUE HD WAVE 110 S (x1)</t>
  </si>
  <si>
    <t>CASQUILLO VALVULA HD WAVE 110 S (x20)</t>
  </si>
  <si>
    <t>EJE DE BALANCIN ADMISION/ESCAPE HD WAVE 110 S (x6)</t>
  </si>
  <si>
    <t>BALANCIN HD WAVE 110 S (x1)</t>
  </si>
  <si>
    <t>ARBOL DE LEVAS HD WAVE 110 S (x1)</t>
  </si>
  <si>
    <t>EMBRAGUE CENTRIFUGO HD WAVE 110 S (x1)</t>
  </si>
  <si>
    <t>PROTECTOR EMBRAGUE HD WAVE 110 S (x1)</t>
  </si>
  <si>
    <t>ESTRELLA SELECTORA DE CAMBIOS HD WAVE 110 S (x1)</t>
  </si>
  <si>
    <t>TRABA ESTRELLA DE CAMBIOS HD WAVE 110 S (x1)</t>
  </si>
  <si>
    <t>TENSOR CADENA DISTRIBUCION HD WAVE 110 S SET (x5)</t>
  </si>
  <si>
    <t>BUJE SEPARADOR EMBRAGUE CENTRIFUGO HD WAVE 110 S (x10)</t>
  </si>
  <si>
    <t>CONJUNTO PLACA EMBRAGUE HD WAVE 110 S (x1)</t>
  </si>
  <si>
    <t>CAMPANA EMBRAGUE CENTRIFUGO HD WAVE 110 S (x1)</t>
  </si>
  <si>
    <t>TUERCA FIJACIÓN PARA PLASTICOS 5 MM. X 15,30 MM. HD WAVE 110 S (x10)</t>
  </si>
  <si>
    <t>TUERCA FIJACIÓN PARA PLASTICOS 4 MM. X 14,50 MM. HD WAVE 110 S (x10)</t>
  </si>
  <si>
    <t>CUBRE PIERNA IZQUIERDO EXTERNO BLANCO HD WAVE 110 S (x1)</t>
  </si>
  <si>
    <t>CUBRE PIERNA IZQUIERDO EXTERNO NEGRO HD WAVE 110 S (x1)</t>
  </si>
  <si>
    <t>CUBRE PIERNA IZQUIERDO EXTERNO ROJO HD WAVE 110 S (x1)</t>
  </si>
  <si>
    <t>CUBRE PIERNA DERECHO EXTERNO BLANCO HD WAVE 110 S (x1)</t>
  </si>
  <si>
    <t>CUBRE PIERNA DERECHO EXTERNO NEGRO HD WAVE 110 S (x1)</t>
  </si>
  <si>
    <t>CUBRE PIERNA DERECHO EXTERNO ROJO HD WAVE 110 S (x1)</t>
  </si>
  <si>
    <t>FRENTE BLANCO HD WAVE 110 S (x1)</t>
  </si>
  <si>
    <t>FRENTE NEGRO HD WAVE 110 S (x1)</t>
  </si>
  <si>
    <t>FRENTE ROJO HD WAVE 110 S (x1)</t>
  </si>
  <si>
    <t>GUARDABARRO DELANTERO EXTERNO BLANCO HD WAVE 110 S (x1)</t>
  </si>
  <si>
    <t>GUARDABARRO DELANTERO EXTERNO NEGRO HD WAVE 110 S (x1)</t>
  </si>
  <si>
    <t>GUARDABARRO DELANTERO EXTERNO ROJO HD WAVE 110 S (x1)</t>
  </si>
  <si>
    <t>FRENTE OPTICA EXTERNA BLANCO HD WAVE 110 S (x1)</t>
  </si>
  <si>
    <t>FRENTE OPTICA EXTERNA NEGRO HD WAVE 110 S (x1)</t>
  </si>
  <si>
    <t>FRENTE OPTICA EXTERNA ROJO HD WAVE 110 S (x1)</t>
  </si>
  <si>
    <t>LLAVE DE CONTACTO HD GLH150 GAUCHA (x1)</t>
  </si>
  <si>
    <t>COLIN TRASERO ML SKUA 150 V6 (x1)</t>
  </si>
  <si>
    <t>GUARDABARRO TRASERO NEGRO ML SKUA 150 V6 (x1)</t>
  </si>
  <si>
    <t>CUBRE CADENA DE TRANSMISION ML SKUA 150 V6 (x1)</t>
  </si>
  <si>
    <t>PORTA HERRAMIENTA ML SKUA 150 V6 (x1)</t>
  </si>
  <si>
    <t>CUBRE OPTICA ML SKUA 150 V6 (x1)</t>
  </si>
  <si>
    <t>ASIENTO ML SKUA 150 V6 (x1)</t>
  </si>
  <si>
    <t>CUBRE OREJA DE FAROL DERECHO ML SKUA 150 V6 (x1)</t>
  </si>
  <si>
    <t>CUBRE OREJA DE FAROL IZQUIERDO ML SKUA 150 V6 (x1)</t>
  </si>
  <si>
    <t>PORTA BATERIA ML SKUA 150 V6 (x1)</t>
  </si>
  <si>
    <t>SOPORTE GUARDABARRO DELANTERO ML SKUA 150 V6 (x5)</t>
  </si>
  <si>
    <t>SOPORTE DE PATENTE ML SKUA 150 V6 (x1)</t>
  </si>
  <si>
    <t>FAROL TRASERO ML SKUA 150 V6 (x1)</t>
  </si>
  <si>
    <t>PORTA LAMPARA DE FAROL DELANTERO ML SKUA 150 V6 - PRECIO UNITARIO (x3)</t>
  </si>
  <si>
    <t>PORTA LAMPARA FAROL TRASERO ML SKUA 150 V6 (PRECIO UNITARIO) (x3)</t>
  </si>
  <si>
    <t>GUIÑOS LED DEL. ML SKUA 150 V6 / CV TRIAX 150 (x1)</t>
  </si>
  <si>
    <t>GUIÑOS LEDTRAS. ML SKUA150V6 CAJA X2U- PRECIO POR PAR (x1)</t>
  </si>
  <si>
    <t>SOPORTE CUBRE OPTICA ML SKUA 150 V6 (x1)</t>
  </si>
  <si>
    <t>TABLERO TOWO CON CABLES ML SKUA 150 V6 (x1)</t>
  </si>
  <si>
    <t>SOPORTE DE TABLERO ML SKUA 150 V6 (x1)</t>
  </si>
  <si>
    <t>COMANDOIZQUIERDOMLSKUA150V6 (x1)</t>
  </si>
  <si>
    <t>TANQUE DE NAFTA ML SKUA 150 V6 (x1)</t>
  </si>
  <si>
    <t>OJO DE GATO ML SKUA 150 V6 (PRECIO POR PAR) (x1)</t>
  </si>
  <si>
    <t>SOPORTES DE OJO DE GATO (PAR) ML SKUA 150 V6 (x2)</t>
  </si>
  <si>
    <t>CALIPER FRENO DELANTERO ML SKUA 150 V6 (x1)</t>
  </si>
  <si>
    <t>FLEXIBLE FRENO ML SKUA 150 V6 (x1)</t>
  </si>
  <si>
    <t>CABLE DE VELOCIMETRO ML SKUA 150 V6 / ML S2 (x1)</t>
  </si>
  <si>
    <t>CABLE DE EMBRAGUE ML SKUA 150 V6 (x1)</t>
  </si>
  <si>
    <t>CABLE DE ACELERADOR ML SKUA 150 V6 / ML S2 150 (x1)</t>
  </si>
  <si>
    <t>BOBINA IGNICION W/BOLT ML SKUA 150 V6 (x1) (x1)</t>
  </si>
  <si>
    <t>RECTIFICADOR C/ TORNILLO ML SKUA 150 V6 (x1)</t>
  </si>
  <si>
    <t>CARBURADOR ML SKUA 150 V6 (x1)</t>
  </si>
  <si>
    <t>SOPORTE MANIJA EMBRAGUE ML SKUA 150 / 150 V6 / 200 / ML S2 150 / CV TRIAX 150 (x1)</t>
  </si>
  <si>
    <t>MANIJA EMBRAGUE ML SKUA 150 V6 (x10)</t>
  </si>
  <si>
    <t>SOPORTE DE CABLE ACELERADOR ML SKUA 150 V6 (x1)</t>
  </si>
  <si>
    <t>TUBO ADMISION ML SKUA 150 V6 / CV TRIAX 150 (x1)</t>
  </si>
  <si>
    <t>SOPORTE MANGUERA DE FRENO DELANTERO ML SKUA 150 V6 (x1)</t>
  </si>
  <si>
    <t>SOPORTE PEDALIN IZQUIERDO ML SKUA 150 V6 (x1)</t>
  </si>
  <si>
    <t>SOPORTE PEDALIN DERECHO ML SKUA 150 V6 (x1)</t>
  </si>
  <si>
    <t>SOPORTE MANIJA ACOMPAÑANTE ML SKUA 150 V6 (x1)</t>
  </si>
  <si>
    <t>SOPORTE DE CACHAS DELANTERAS ML SKUA 150 V6 (x1)</t>
  </si>
  <si>
    <t>CABLE MAZA DE BATERIA ML SKUA 150 V6 (x10)</t>
  </si>
  <si>
    <t>DESTELLADOR ML SKUA 150 V6 (x1)</t>
  </si>
  <si>
    <t>CDI ML SKUA 150 V6 (x1)</t>
  </si>
  <si>
    <t>RELAY DE ARRANQUE ML SKUA 150 V6 (x1)</t>
  </si>
  <si>
    <t>INSTALACION ELECTRICA ML SKUA 150 V6 (x1)</t>
  </si>
  <si>
    <t>MANUBRIO NITRO ML SKUA 150 V6 (x1)</t>
  </si>
  <si>
    <t>PIERNA COMPLETA IZQUIERDA ML SKUA 150 V6 (91,5 x 3) (x1)</t>
  </si>
  <si>
    <t>PIERNA COMPLETA DERECHA ML SKUA 150 V6 (91,5 x 3) (x1)</t>
  </si>
  <si>
    <t>SOPORTE DE CABLE VELOCIMETRO ML SKUA 150 V6 (x5)</t>
  </si>
  <si>
    <t>REENVIO VELOCIMETRO ML SKUA 150 V6 (x1)</t>
  </si>
  <si>
    <t>DISCO DE FRENO DELANTERO ML SKUA 150 V6 (x1)</t>
  </si>
  <si>
    <t>PORTA CORONA CON RULEMAN ML SKUA 150 V6 (x1)</t>
  </si>
  <si>
    <t>GOMA DE MAZA TRASERA ML SKUA 150 V6 (x1)</t>
  </si>
  <si>
    <t>CRISTO SUPERIOR ML SKUA 150 V6 (x1)</t>
  </si>
  <si>
    <t>SOPORTE MANIJA FRENO CON BOMBA ML SKUA 150 V6 / ML S2 150 / CV TRIAX 150 (x2)</t>
  </si>
  <si>
    <t>MOTOR DE ARRANQUE ML SKUA 150 V6 (x1)</t>
  </si>
  <si>
    <t>MANIJA FRENO ML SKUA 150 V6 (x10)</t>
  </si>
  <si>
    <t>PEDAL DE FRENO ML SKUA 150 V6 / CV TRIAX 150 (x1)</t>
  </si>
  <si>
    <t>PEDALIN DELANTERO ML SKUA 150 V6 / CV TRIAX 150 (PAR) (x1)</t>
  </si>
  <si>
    <t>PALANCA DE CAMBIOS ML SKUA 150 V6 (x1)</t>
  </si>
  <si>
    <t>PATADA DE ARRANQUE ML SKUA 150 V6 (x1)</t>
  </si>
  <si>
    <t>BUJES DE HORQUILLON ML SKUA 150 V6 (SET) (x1)</t>
  </si>
  <si>
    <t>HORQUILLON ML SKUA 150 V6 (x1)</t>
  </si>
  <si>
    <t>ESCAPE NITRO ML SKUA 150 V6 (x1)</t>
  </si>
  <si>
    <t>CUBETAS DE DIRECCION ML SKUA 150 V6 (x1)</t>
  </si>
  <si>
    <t>CRISTO INFERIOR ML SKUA 150 V6 (x1)</t>
  </si>
  <si>
    <t>ESTATOR TOWO ML SKUA 150 V6 (x1)</t>
  </si>
  <si>
    <t>VOLANTE MAGNETICO ML SKUA 150 V6 (x1)</t>
  </si>
  <si>
    <t>CORONA BENDIX 57T CON BUJE ML SKUA 150 V6 (x1)</t>
  </si>
  <si>
    <t>INDICADOR DE CAMBIOS ML SKUA 150 V6 (x5)</t>
  </si>
  <si>
    <t>MANIJA SOPORTE PASAJERO IZQ ML SKUA 150 V6 (x1)</t>
  </si>
  <si>
    <t>MANIJA SOPORTE PASAJERO DER ML SKUA 150 V6 (x1)</t>
  </si>
  <si>
    <t>BOMBA DE ACEITE ML SKUA 150 / 150 V6 (SIN GUARDA) (x1)</t>
  </si>
  <si>
    <t>MEDIO BLOCK LADO EMBRAGUE ZN RX150 (x1)</t>
  </si>
  <si>
    <t>CAJA DE CAMBIOS ZN RX 150 / ML S2 150 (x1)</t>
  </si>
  <si>
    <t>TAMBOR DE SELECTORADECAMBIOSZNRX150 </t>
  </si>
  <si>
    <t>HORQUILLAS DE CAMBIOS ZN RX150 (SET) </t>
  </si>
  <si>
    <t>EJE DE HORQUILLAS DE CAMBIOS ZN RX150 </t>
  </si>
  <si>
    <t>EJE DE CAMBIOS ZN RX 150 </t>
  </si>
  <si>
    <t>ESTRELLA SELECTORA DE CAMBIOS ZN RX 150 (x1)</t>
  </si>
  <si>
    <t>CIGUEÑAL COMPLETO CATIIMOTO ZN RX150 </t>
  </si>
  <si>
    <t>VOLANTE MAGNETICO ZN RX 150 </t>
  </si>
  <si>
    <t>BENDIX ZN RX 150 / ML SKUA 150 V6 / ML S2 150 (x1)</t>
  </si>
  <si>
    <t>CORONA BENDIX ZN RX 150 </t>
  </si>
  <si>
    <t>ESTATOR CATIIMOTO 7 CAMPOS ZN RX 150 </t>
  </si>
  <si>
    <t>EJE PATADA COMPLETO ZN RX150 / ML S2 150 (x1)</t>
  </si>
  <si>
    <t>PATADA ARRANQUE ZN RX150 </t>
  </si>
  <si>
    <t>ENGRANAJE PUNTA CIGUEÑAL CATIIMOTO ZN RX150 / ML S2 150 (x1)</t>
  </si>
  <si>
    <t>ROTOR BOMBA DE ACEITE ZN RX150 (CORNETA) / ML S2 150 (x1)</t>
  </si>
  <si>
    <t>BOMBA DE ACEITE 39 DIENTES ZN RX 150 </t>
  </si>
  <si>
    <t>CANASTA EMBRAGUE ZN RX150 </t>
  </si>
  <si>
    <t>CONJUNTO PLATO EMBRAGUE ZN RX150 / ML S2 150 (x1)</t>
  </si>
  <si>
    <t>RESORTE EMBRAGUE ZN RX150 / ML S2 150 (SET X 4) (x1)</t>
  </si>
  <si>
    <t>CONJUNTO PLACA EMBRAGUE ZN RX 150 </t>
  </si>
  <si>
    <t>LEVA EMBRAGUE COMPLETA ZN RX150 </t>
  </si>
  <si>
    <t>TAPA EMBRAGUE ZN RX 150 (x1)</t>
  </si>
  <si>
    <t>TAPON NIVEL ACEITE ZN RX 150 (x10)</t>
  </si>
  <si>
    <t>MEDIO BLOCK LADO ENCENDIDO ZN RX150 (x1)</t>
  </si>
  <si>
    <t>BALANCINES INFERIORES CON EJE ZN RX 150 / ML S2 150 (SET) (x1)</t>
  </si>
  <si>
    <t>VARILLA VALVULA ZN RX 150 - PAR (x10)</t>
  </si>
  <si>
    <t>ARBOL DE LEVAS ZN RX 150 / ML S2 150 (x1)</t>
  </si>
  <si>
    <t>EJE ARBOL DE LEVAS ZN RX150 / ML S2 150 (x1)</t>
  </si>
  <si>
    <t>TAPA DE CILINDRO ZN RX 150 </t>
  </si>
  <si>
    <t>BALANCINES SUPERIORES CON EJE ZN RX 150 (SET) </t>
  </si>
  <si>
    <t>MOTOR DE ARRANQUE ZN RX150 (x1)</t>
  </si>
  <si>
    <t>INTERMEDIARIO BURRO SUPERIOR ZN RX 150 / ML SKUA 150 V6 </t>
  </si>
  <si>
    <t>INTERMEDIARIO BURRO INFERIOR ZN RX 150 / ML SKUA 150 V6 </t>
  </si>
  <si>
    <t>TAPA ENGRANAJE BURRO ZN RX 150 </t>
  </si>
  <si>
    <t>TAPA ENCENDIDO ZN RX 150 (x1)</t>
  </si>
  <si>
    <t>TAPA ENCENDIDO GRANDE ZN RX150 (x2)</t>
  </si>
  <si>
    <t>TAPA ENCENDIDO CHICA ZN RX150 (x10)</t>
  </si>
  <si>
    <t>TAPA INSPECCION VALVULA ZANELLA RX150 </t>
  </si>
  <si>
    <t>PALANCA DE CAMBIOS ZN RX 150 (x1)</t>
  </si>
  <si>
    <t>TAPA DE PIÑON ZN RX150 </t>
  </si>
  <si>
    <t>MANGUERA RESPIRADERO DE GASES ZANELLA RX150 </t>
  </si>
  <si>
    <t>TUBO ADMISION ZN RX 150 (x1)</t>
  </si>
  <si>
    <t>BULBODEFRENODELANTEROZNRX150 (x10)</t>
  </si>
  <si>
    <t>BULBODEFRENOTRASEROZNRX150 (x10)</t>
  </si>
  <si>
    <t>FLOTANTE NIVEL DE NAFTA ZN RX150 </t>
  </si>
  <si>
    <t>TABLERO CATIIMOTO CON CABLES ZN RX150 (x1)</t>
  </si>
  <si>
    <t>FAROL DELANTERO COMPLETO ZN RX150 </t>
  </si>
  <si>
    <t>COMANDO DERECHO ZN RX 150 (x1)</t>
  </si>
  <si>
    <t>COMANDO IZQUIERDO ZN RX 150 (x1)</t>
  </si>
  <si>
    <t>LLAVE DE CONTACTO ZN RX 150 (x1)</t>
  </si>
  <si>
    <t>GUIÑOS TRAS. ZN RX150 CAJA X2U- PRECIO POR PAR (x1)</t>
  </si>
  <si>
    <t>CDI (A MAGNETO) ZN RX 150 </t>
  </si>
  <si>
    <t>RECTIFICADOR ZN RX 150 (FICHA HEMBRA) (x1)</t>
  </si>
  <si>
    <t>INSTALACION ELECTRICA ZN RX 150 </t>
  </si>
  <si>
    <t>BOBINA IGNICION ZN RX 150 </t>
  </si>
  <si>
    <t>RELAY DE ARRANQUE ZN RX 150 (x1)</t>
  </si>
  <si>
    <t>RESISTENCIA ZN RX150 (x10)</t>
  </si>
  <si>
    <t>DESTELLADOR ZN RX 150 (x1)</t>
  </si>
  <si>
    <t>PEDAL DE FRENO ZN RX 150 (x1)</t>
  </si>
  <si>
    <t>VARILLA FRENO TRASERO ZN RX 150 (x5)</t>
  </si>
  <si>
    <t>LEVA FRENO TRASERO ZN RX150 (x10)</t>
  </si>
  <si>
    <t>LEVA FRENO DELANTERO ZN RX150 (x10)</t>
  </si>
  <si>
    <t>PORTA ZAPATA TRASERO ZN RX150 (x1)</t>
  </si>
  <si>
    <t>PORTA ZAPATA DELANTERO ZN RX150 (x1)</t>
  </si>
  <si>
    <t>MAZA TRASERA ZN RX150 (x1)</t>
  </si>
  <si>
    <t>MAZA DELANTERA ZN RX150 </t>
  </si>
  <si>
    <t>BUJE SEPARADORES RULEMANES MAZA TRASERA ZN RX150 (x10)</t>
  </si>
  <si>
    <t>EJE RUEDA DELANTERA ZN RX 150 (x1)</t>
  </si>
  <si>
    <t>EJE RUEDA TRASERA ZN RX 150 (x5)</t>
  </si>
  <si>
    <t>ESTIRA CADENA ZN RX 150 (SET) (x1)</t>
  </si>
  <si>
    <t>PASE DE NAFTA ZN RX 150 / CB1 / HD XR250 / XR125L / STORM / HD CG 150 TITAN / SKUA 150 V6 / S2 150 / CV TRIAX 150 (x1)</t>
  </si>
  <si>
    <t>TAPA DE TANQUE ZN RX 150 / GL VC150 </t>
  </si>
  <si>
    <t>EJE DE CABALLETE ZN RX150 </t>
  </si>
  <si>
    <t>CABALLETE ZN RX150 </t>
  </si>
  <si>
    <t>MULETA ZN RX150 </t>
  </si>
  <si>
    <t>RESORTE CABALLETE ZN RX150 (x10)</t>
  </si>
  <si>
    <t>RESORTE MULETA ZN RX150 (x10)</t>
  </si>
  <si>
    <t>RESORTE FRENO ZN RX150 (x10)</t>
  </si>
  <si>
    <t>RESORTE BULBO FRENO TRASERO ZN RX150 (x10)</t>
  </si>
  <si>
    <t>EJE HORQUILLON ZN RX150 </t>
  </si>
  <si>
    <t>HORQUILLON ZN RX150 </t>
  </si>
  <si>
    <t>AMORTIGUADORES ZN RX 150 (PAR) </t>
  </si>
  <si>
    <t>TORNILLO CORONA ZN RX 150 (SET) </t>
  </si>
  <si>
    <t>SEGURO CORONA ZN RX 150 (x5)</t>
  </si>
  <si>
    <t>CAJA FILTRO DE AIRE ZN RX 150 </t>
  </si>
  <si>
    <t>MANUBRIO ZN RX150 / ML S2 150 (x1)</t>
  </si>
  <si>
    <t>CRISTO INFERIOR ZN RX150 </t>
  </si>
  <si>
    <t>CRISTO SUPERIOR ZN RX150 </t>
  </si>
  <si>
    <t>TUERCA CRISTO SUPERIOR ZN RX150 (x5)</t>
  </si>
  <si>
    <t>PATIN ROZA CADENA ZN RX150 (x10)</t>
  </si>
  <si>
    <t>SOPORTE PEDALIN DELANTERO ZN RX150 </t>
  </si>
  <si>
    <t>GOMA PEDALIN DELANTERO CATIIMOTO ZN RX 150 (x2)</t>
  </si>
  <si>
    <t>SOPORTE PEDALIN TRASERO DERECHO ZN RX150 </t>
  </si>
  <si>
    <t>SOPORTE PEDALIN TRASERO IZQUIERDO ZN RX150 </t>
  </si>
  <si>
    <t>PEDALIN TRASERO DERECHO ZN RX 150 (x1)</t>
  </si>
  <si>
    <t>PEDALIN TRASERO IZQUIERDO ZN RX 150 (x1)</t>
  </si>
  <si>
    <t>CERRADURA CACHA ZN RX 150 </t>
  </si>
  <si>
    <t>CEBADOR ZN RX150 (x10)</t>
  </si>
  <si>
    <t>PUNTERA MANUBRIO ZN RX150 (PAR) (x1)</t>
  </si>
  <si>
    <t>PARRILLA PORTA EQUIPAJE ZN RX150 </t>
  </si>
  <si>
    <t>SOPORTE OJO DE GATO ZN RX150 (x1)</t>
  </si>
  <si>
    <t>PORTA BATERIA ZN RX 150 (x1)</t>
  </si>
  <si>
    <t>SOPORTE MOTOR ESCUADRA ZN RX150 SET (x1)</t>
  </si>
  <si>
    <t>SOPORTE MOTOR ZN RX150 (x1)</t>
  </si>
  <si>
    <t>SOPORTE PATENTE ZN RX150 (x1)</t>
  </si>
  <si>
    <t>SOPORTE CUBRE LLAVE ENCENDIDO ZN RX150 (x10)</t>
  </si>
  <si>
    <t>KIT REENVIO VELOCIMETRO ZN RX150 </t>
  </si>
  <si>
    <t>SOPORTE RESORTE CABALLETE ZN RX150 (x5)</t>
  </si>
  <si>
    <t>ASIENTO ZN RX 150 </t>
  </si>
  <si>
    <t>SOPORTE ASIENTO ZN RX 150 (SET) (x1)</t>
  </si>
  <si>
    <t>TANQUE DE NAFTA ZN RX150 </t>
  </si>
  <si>
    <t>COLIN TRASERO ZN RX 150 </t>
  </si>
  <si>
    <t>GUARDABARRO DELANTERO NEGRO ZN RX 150 </t>
  </si>
  <si>
    <t>CUBRE CADENA ZN RX 150 (x1)</t>
  </si>
  <si>
    <t>GUARDABARRO TRASERO INTERNO ZN RX 150 (x1)</t>
  </si>
  <si>
    <t>GUARDABARRO TRASERO NEGRO ZN RX 150 (x1)</t>
  </si>
  <si>
    <t>CACHA IZQUIERDA NEGRO ZN RX 150 (x1)</t>
  </si>
  <si>
    <t>CACHA DERECHA NEGRO ZN RX 150 (x1)</t>
  </si>
  <si>
    <t>CUBRE LLAVE ENCENDIDO ZN RX 150 (x1)</t>
  </si>
  <si>
    <t>CUBRE OREJA DE FAROL IZQUIERDO ZN RX 150 (x1)</t>
  </si>
  <si>
    <t>CUBRE OREJA DE FAROL DERECHO ZN RX 150 (x1)</t>
  </si>
  <si>
    <t>SOPORTE MANIJA EMBRAGUE ZN RX 150 (x2)</t>
  </si>
  <si>
    <t>SOPORTE MANIJA FRENO ZN RX 150 (x2)</t>
  </si>
  <si>
    <t>BARRAL INTERNO SUSPENSION ZN RX 150 (56 x 3) (x1)</t>
  </si>
  <si>
    <t>BRAZO FRENO TRASERO ZN RX150 (x10)</t>
  </si>
  <si>
    <t>BRAZO FRENO DELANTERO ZN RX 150 (x10)</t>
  </si>
  <si>
    <t>BULBO DE EMBRAGUE ZN RX150 (x10)</t>
  </si>
  <si>
    <t>ESPEJOS CATIIMOTO ZN RX 150 </t>
  </si>
  <si>
    <t>RESORTE LEVA FRENO DELANTERO ZN RX150 (x10)</t>
  </si>
  <si>
    <t>RECTIFICADOR ZN RX 150 (FICHA MACHO) (x1)</t>
  </si>
  <si>
    <t>TABLERO CATIIMOTO CON CABLES ZN RX150 (REDONDO) (x1)</t>
  </si>
  <si>
    <t>FAROL TRASERO COMPLETO CON LED ZN RX 150 </t>
  </si>
  <si>
    <t>SEGURO DE VALVULA ZN RX150 PAR (x50)</t>
  </si>
  <si>
    <t>ENGRANAJE PUESTA A PUNTO RX150 / ML S2 150 (x1)</t>
  </si>
  <si>
    <t>CABLE SCHERER ACELERADOR HD NX350 SAHARA A ORIGEN BRASIL (x1)</t>
  </si>
  <si>
    <t>CABLE SCHERER DESCOMPRESOR HD NX350 SAHARA ORIGEN BRASIL (x1)</t>
  </si>
  <si>
    <t>CABLE SCHERER TACOMETRO HD NX350 SAHARA ORIGEN BRASIL (x1)</t>
  </si>
  <si>
    <t>CABLE SCHERER ACELERADOR HD CBX150 AERO ORIGEN BRASIL (x1)</t>
  </si>
  <si>
    <t>CABLE SCHERER EMBRAGUE CAGIVA AGRALE ORIGEN BRASIL (x1)</t>
  </si>
  <si>
    <t>CABLE SCHERER CEBADOR HD CBX150 AERO ORIGEN BRASIL (x1)</t>
  </si>
  <si>
    <t>CABLE SCHERER VELOCIMETRO HD NX350 SAHARA ORIGEN BRASIL (x1)</t>
  </si>
  <si>
    <t>FILTRO DE AIRE HD ELITE 150 1986 - ORIGEN TAIWAN (x1)</t>
  </si>
  <si>
    <t>FILTRO DE ACEITE BANDIT 600-650 CC (x1)</t>
  </si>
  <si>
    <t>EXTRACTOR FILTRO DE ACEITE 80 MM. (x1)</t>
  </si>
  <si>
    <t>KIT REPARACION CARBURADOR SIVERST YAMAHA RD135 ORIGEN BRASIL (x1)</t>
  </si>
  <si>
    <t>CABLE SCHERER ACELERADOR HD NX350 SAHARA B RETORNO ORIGEN BRASIL (x1)</t>
  </si>
  <si>
    <t>JUNTAS COMPLETAS ATHENA HONDA C70 ST70 C90 69-91 (x1)</t>
  </si>
  <si>
    <t>JUNTAS COMPLETAS ATHENA HONDA CB250 85-89 (x1)</t>
  </si>
  <si>
    <t>JUNTAS COMPLETAS ATHENA HONDA XR100 R 79-91 (x1)</t>
  </si>
  <si>
    <t>JUNTAS TOP ATHENA SUZUKI TS125 89 - 93 (x1)</t>
  </si>
  <si>
    <t>JUNTAS TOP ATHENA YAMAHA YZ125 86 - 94 (x1)</t>
  </si>
  <si>
    <t>JUNTAS TOP ATHENA SUZUKI DR650 90 - 96 (x1)</t>
  </si>
  <si>
    <t>JUNTAS TOP ATHENA YAMAHA XT600 87 - 97 (x1)</t>
  </si>
  <si>
    <t>JUNTAS TOP ATHENA YAMAHA TT350 85 - 93 (x1)</t>
  </si>
  <si>
    <t>JUNTAS COMPLETAS ATHENA YAMAHA TT350 85-93 (x1)</t>
  </si>
  <si>
    <t>JUNTAS COMPLETAS ATHENA YAMAHA TENERE750 89-93 (x1)</t>
  </si>
  <si>
    <t>JUNTAS COMPLETAS ATHENA YAMAHA XV353 83-96 (x1)</t>
  </si>
  <si>
    <t>JUNTAS COMPLETAS ATHENA YAMAHA YZ125 86-94 (x1)</t>
  </si>
  <si>
    <t>JUNTAS COMPLETAS ATHENA SUZUKI RM80 91-95 (x1)</t>
  </si>
  <si>
    <t>JUNTAS COMPLETAS ATHENA HONDA XR80 77-91 (x1)</t>
  </si>
  <si>
    <t>VISOR V-CAN 603 </t>
  </si>
  <si>
    <t>VISOR V-CAN 510 NORMAL </t>
  </si>
  <si>
    <t>VISOR V-CAN MAX 617 NORMAL </t>
  </si>
  <si>
    <t>VISOR V-CAN V130 NORMAL </t>
  </si>
  <si>
    <t>VISOR V-CAN V130 AHUMADO </t>
  </si>
  <si>
    <t>VISOR V-CAN MAX VI122 TRANSPARENTE </t>
  </si>
  <si>
    <t>VISOR V-CAN V210 NORMAL </t>
  </si>
  <si>
    <t>VISOR V-CAN MAX 270 TRANSPARENTE </t>
  </si>
  <si>
    <t>VISOR V-CAN V340 NORMAL </t>
  </si>
  <si>
    <t>VISOR V-CAN V370 NORMAL </t>
  </si>
  <si>
    <t>VISOR HALCON H57 AHUMADO EN CAJA (x6)</t>
  </si>
  <si>
    <t>VISOR HALCON H5 KIDS TRANSPARENTE </t>
  </si>
  <si>
    <t>VISOR HALCON H57 TRANSPARENTE EN CAJA (x6)</t>
  </si>
  <si>
    <t>VISOR HALCON H5 TRANSPARENTE EN CAJA (x10)</t>
  </si>
  <si>
    <t>VISOR HAWK RS9 ANTISCRATCH TRANSPARENTE </t>
  </si>
  <si>
    <t>VISOR HALCON H5 AHUMADO EN CAJA (x10)</t>
  </si>
  <si>
    <t>VISOR HAWK RS5 / RS5 VECTOR / RS5 RESISTANCE / RS5 STRIPE / RS11 ANTISCRATCH TRANSPARENTE </t>
  </si>
  <si>
    <t>VISOR HAWK RS5 / RS5 VECTOR / RS5 RESISTANCE / RS5 STRIPE / RS11 ANTISCRATCH AHUMADO </t>
  </si>
  <si>
    <t>VISOR BURBUJA HAWK 721 AMARILLO (x1)</t>
  </si>
  <si>
    <t>VISOR BURBUJA HAWK 721 AHUMADO (x1)</t>
  </si>
  <si>
    <t>VISOR BURBUJA HAWK 721 TORNASOLADO (x1)</t>
  </si>
  <si>
    <t>VISOR BURBUJA HAWK 721 BLACK MIRROR </t>
  </si>
  <si>
    <t>VISOR HAWK RS1 / RS1 F / RS1 ALPHA ANTISCRATCH TRANSPARENTE EN CAJA (x6)</t>
  </si>
  <si>
    <t>VISOR HAWK RS1 / RS1 F / RS1 ALPHA ANTISCRATCH AHUMADO EN CAJA (x6)</t>
  </si>
  <si>
    <t>VISOR HAWK RS1 / RS1 F / RS1 ALPHA ANTISCRATCH BLACK MIRROR (x1)</t>
  </si>
  <si>
    <t>VISOR HAWK RS1 / RS1 F / RS1 ALPHA ANTISCRATCH TORNASOLADO (x1)</t>
  </si>
  <si>
    <t>VISOR HAWK RS5 / RS5 RESISTANCE / RS5 STRIPE / RS5 VECTOR / RS11 ANTISCRATCH BLACK MIRROR (x1)</t>
  </si>
  <si>
    <t>VISOR HAWK JUNIOR TRANSPARENTE ANTISCRATCH (x1)</t>
  </si>
  <si>
    <t>VHRS5T</t>
  </si>
  <si>
    <t>VISOR HAWK RS5 / RS5 VECTOR / RS5 RESISTANCE / RS5 STRIPE / RS11 ANTISCRATCH TORNASOLADO (x1)</t>
  </si>
  <si>
    <t>VISOR ROCKWELL R929 ANTISCRATCH TRANSPARENTE (x1)</t>
  </si>
  <si>
    <t>VISOR ROCKWELL R929 ANTISCRATCH AHUMADO (x1)</t>
  </si>
  <si>
    <t>VISOR ROCKWELL R929 ANTISCRATCH BLACK MIRROR (x1)</t>
  </si>
  <si>
    <t>VISOR ROCKWELL R929 ANTISCRATCH TORNASOLADO (x1)</t>
  </si>
  <si>
    <t>ZAPATA BBR HD CG 125 77-82 / 83-99 TRASERA (x30/x1)</t>
  </si>
  <si>
    <t>ZAPATA BBR HD NX200 / HD XR200 / HD XLR125 / HD NX150 / HD XLR 250 (x30/x1)</t>
  </si>
  <si>
    <t>ZAPATA BBR HD CG 125 83-99 (DELANTERA) / HD XLR250 / HD XLR 250 R / HD CG125 / HD TITAN 2000 (x30/x1) (x30/x1)</t>
  </si>
  <si>
    <t>ZAPATA BBR RESORTE CRUZADO HD C100 BIZ 98-06 / HD BIZ 125 07 / HD BIZ 125 KS-ES 07 / HD NXR 150 BROSS ESD (x30/x1/x1)</t>
  </si>
  <si>
    <t>ZAPATA BBR HD NX350 92-98 (x30/x1)</t>
  </si>
  <si>
    <t>ZAPATA BBR HD GLH150 GAUCHA / HD XR250 01-08 / HD CBX 250 02-09 / HD C100 BIZ 98-06 / HD CG 150 04-11 (x30/x1)</t>
  </si>
  <si>
    <t>ZAPATA BBR YH CRYPTON T105-110 NEW T115K 09-10 / YH RX80 (x30/x1)</t>
  </si>
  <si>
    <t>ZAPATA BBR YH YBR125 ED 01-08 / YH YBR125 KE 06-08 / HD XTZ 125 03 (x30/x1/x1)</t>
  </si>
  <si>
    <t>ZAPATA BBR YH CRYP T105-110 NEW / YH CRYP T115K 11 / YH CRYP T115ED 11 / YH FAZ150 / YH YS250 FAZ / YH FZ-FZ16 (x30/x1/x</t>
  </si>
  <si>
    <t>ZAPATA BBR ZN RX 150 / ML S2 150 (x1/x1/x30)</t>
  </si>
  <si>
    <t>CASCO ABIERTO HALCON BIKE RIDER NEGRO BRILLANTE BICI (x1/x12)</t>
  </si>
  <si>
    <t>CASCO INTEGRAL HALCON H5 ROJO BRILLANTE S-(56cm) (x1/x4/x8)</t>
  </si>
  <si>
    <t>CASCO INTEGRAL HALCON H5 NEGRO BRILLANTE S-(56cm) (x1/x4/x8)</t>
  </si>
  <si>
    <t>CASCO INTEGRAL HALCON H5 BLANCO BRILLANTE S-(56cm) (x1/x4/x8)</t>
  </si>
  <si>
    <t>CASCO INTEGRAL HALCON H5 ROJO BRILLANTE M-(58cm) (x1/x4/x8)</t>
  </si>
  <si>
    <t>CASCO INTEGRAL HALCON H5 NEGRO BRILLANTE M-(58cm) (x1/x4/x8)</t>
  </si>
  <si>
    <t>CASCO INTEGRAL HALCON H5 BLANCO BRILLANTE M-(58cm) (x1/x4/x8)</t>
  </si>
  <si>
    <t>CASCO INTEGRAL HALCON H5 ROJO BRILLANTE L-(60cm) (x1/x4/x8)</t>
  </si>
  <si>
    <t>CASCO INTEGRAL HALCON H5 NEGRO BRILLANTE L-(60cm) (x1/x4/x8)</t>
  </si>
  <si>
    <t>CASCO INTEGRAL HALCON H5 BLANCO BRILLANTE L-(60cm) (x1/x4/x8)</t>
  </si>
  <si>
    <t>CASCO INTEGRAL HALCON H5 ROJO BRILLANTE XL-(62cm) (x1/x4/x12)</t>
  </si>
  <si>
    <t>CASCO INTEGRAL HALCON H5 NEGRO BRILLANTE XL-(62cm) (x1/x4/x8)</t>
  </si>
  <si>
    <t>CASCO INTEGRAL HALCON H5 BLANCO BRILLANTE XL-(62cm) (x1/x4/x8)</t>
  </si>
  <si>
    <t>CASCO INTEGRAL HALCON H5 KIDS AZUL CLARO CON STICKERS XS (54 CM) (x1/x4)</t>
  </si>
  <si>
    <t>CASCO INTEGRAL HALCON H5 KIDS NEGRO CON STICKERS XS (54cm) (x1/x1/x8)</t>
  </si>
  <si>
    <t>CASCO INTEGRAL HALCON H5 KIDS MAGENTA CON STICKERS XS (54 CM) (x1/x4)</t>
  </si>
  <si>
    <t>CASCO CROSS HALCON MX ROAD NEGRO S (56 CM) (x1/x4/x8)</t>
  </si>
  <si>
    <t>CASCO CROSS HALCON MX ROAD NEGRO M (58 CM) (x1/x4/x8)</t>
  </si>
  <si>
    <t>SILENCIADOR FCR ALUMINIO PLATA UNIVERSAL </t>
  </si>
  <si>
    <t>SILENCIADOR FCR ALUMINIO NEGRO UNIVERSAL </t>
  </si>
  <si>
    <t>ESCAPE FMF RACING CORTO NEGRO 110 CC (x1)</t>
  </si>
  <si>
    <t>ESCAPE FMF RACING CORTO PLATA 110 CC (x1)</t>
  </si>
  <si>
    <t>SILENCIADOR WERKES UNIVERSAL NEGRO/PLATA (DIAMETRO INTERNO 35 MM) (x1)</t>
  </si>
  <si>
    <t>SILENCIADOR WERKES UNIVERSAL NEGRO (DIAMETRO INTERNO 35MM) (x1)</t>
  </si>
  <si>
    <t>CASCO REBATIBLE HAWK RS5 RESISTANCE SOPHIE MATE S (56 CM) (x1/x4)</t>
  </si>
  <si>
    <t>CASCO REBATIBLE HAWK RS5 RESISTANCE SOPHIE MATE M (58 CM) (x1/x4)</t>
  </si>
  <si>
    <t>CASCO REBATIBLE HAWK RS5 RESISTANCE SOPHIE MATE L (60 CM) (x1/x4)</t>
  </si>
  <si>
    <t>CASCO REBATIBLE HAWK RS5 RESISTANCE SOPHIE MATE XL (62 CM) (x1/x4)</t>
  </si>
  <si>
    <t>CASCO REBATIBLE HAWK RS5 VECTOR NEGRO BRILLANTE S (56 CM) (x1/x4)</t>
  </si>
  <si>
    <t>CASCO REBATIBLE HAWK RS5 VECTOR NEGRO BRILLANTE M (58 CM) (x1/x4)</t>
  </si>
  <si>
    <t>CASCO REBATIBLE HAWK RS5 VECTOR NEGRO BRILLANTE L (60 CM) (x1/x4)</t>
  </si>
  <si>
    <t>CASCO REBATIBLE HAWK RS5 VECTOR NEGRO BRILLANTE XL (62 CM) (x1/x4)</t>
  </si>
  <si>
    <t>CASCO REBATIBLE HAWK RS5 VECTOR FLUO XL (62 CM) (x1/x4)</t>
  </si>
  <si>
    <t>CASCO REBATIBLE HAWK RS5 VECTOR NEGRO MATE S (56 CM) (x1/x4)</t>
  </si>
  <si>
    <t>CASCO REBATIBLE HAWK RS5 VECTOR NEGRO MATE M (58 CM) (x1/x4)</t>
  </si>
  <si>
    <t>CASCO REBATIBLE HAWK RS5 VECTOR NEGRO MATE L (60 CM) (x1/x4)</t>
  </si>
  <si>
    <t>CASCO REBATIBLE HAWK RS5 VECTOR NEGRO MATE XL (62 CM) (x1/x4)</t>
  </si>
  <si>
    <t>CASCO REBATIBLE HAWK RS5 FLIP UP NEGRO MATE S (56 CM) (x1/x6)</t>
  </si>
  <si>
    <t>CASCO REBATIBLE HAWK RS5 FLIP UP NEGRO MATE M (58 CM) (x1/x6)</t>
  </si>
  <si>
    <t>CASCO REBATIBLE HAWK RS5 FLIP UP NEGRO MATE L (60 CM) (x1/x6)</t>
  </si>
  <si>
    <t>CASCO REBATIBLE HAWK RS5 FLIP UP NEGRO MATE XL (62 CM) (x1/x6)</t>
  </si>
  <si>
    <t>CASCO REBATIBLE HAWK RS5 FLIP UP NEGRO M (58 CM) (x1/x1/x6)</t>
  </si>
  <si>
    <t>CASCO REBATIBLE HAWK RS5 FLIP UP PLATA M-(58cm) (x1/x1/x6)</t>
  </si>
  <si>
    <t>CASCO REBATIBLE HAWK RS5 FLIP UP NEGRO L (60 CM) (x1/x1/x6)</t>
  </si>
  <si>
    <t>CASCO INTEGRAL HALCON H57 ROJO BRILLANTE S (56 CM) (x1/x4)</t>
  </si>
  <si>
    <t>CASCO INTEGRAL HALCON H57 NEGRO BRILLANTE S (56 CM) (x1/x4)</t>
  </si>
  <si>
    <t>CASCO INTEGRAL HALCON H57 BLANCO BRILLANTE S (56 CM) (x1/x4)</t>
  </si>
  <si>
    <t>CASCO INTEGRAL HALCON H57 MAGENTA BRILLANTE S (56 CM) (x1/x4)</t>
  </si>
  <si>
    <t>CASCO INTEGRAL HALCON H57 ROJO BRILLANTE M (58 CM) (x1/x4)</t>
  </si>
  <si>
    <t>CASCO INTEGRAL HALCON H57 NEGRO BRILLANTE M (58 CM) (x1/x4)</t>
  </si>
  <si>
    <t>CASCO INTEGRAL HALCON H57 BLANCO BRILLANTE M (58 CM) (x1/x4)</t>
  </si>
  <si>
    <t>CASCO INTEGRAL HALCON H57 MAGENTA BRILLANTE M (58 CM) (x1/x4)</t>
  </si>
  <si>
    <t>CASCO INTEGRAL HALCON H57 ROJO BRILLANTE L (60 CM) (x1/x4)</t>
  </si>
  <si>
    <t>CASCO INTEGRAL HALCON H57 NEGRO BRILLANTE L (60 CM) (x1/x4)</t>
  </si>
  <si>
    <t>CASCO INTEGRAL HALCON H57 BLANCO BRILLANTE L (60 CM) (x1/x4)</t>
  </si>
  <si>
    <t>CASCO INTEGRAL HALCON H57 MAGENTA BRILLANTE L (60 CM) (x1/x4)</t>
  </si>
  <si>
    <t>CASCO INTEGRAL HALCON H57 ROJO BRILLANTE XL (62 CM) (x1/x4)</t>
  </si>
  <si>
    <t>CASCO INTEGRAL HALCON H57 NEGRO BRILLANTE XL (62 CM) (x1/x4)</t>
  </si>
  <si>
    <t>CASCO INTEGRAL HALCON H57 BLANCO BRILLANTEXL(62CM) (x1/x4)</t>
  </si>
  <si>
    <t>CASCO INTEGRAL HALCON H57 MAGENTA BRILLANTE XL (62 CM) (x1/x4)</t>
  </si>
  <si>
    <t>CASCO ABIERTO HAWK 721 CLASSIC NEGRO BRILLANTE S (56 CM) (x1/x4)</t>
  </si>
  <si>
    <t>CASCO ABIERTO HAWK 721 CLASSIC NEGRO BRILLANTE M (58 CM) (x1/x4)</t>
  </si>
  <si>
    <t>CASCO ABIERTO HAWK 721 CLASSIC NEGRO BRILLANTE L (60 CM) (x1/x4)</t>
  </si>
  <si>
    <t>CASCO ABIERTO HAWK 721 CLASSIC NEGRO BRILLANTE XL (62 CM) (x1/x4)</t>
  </si>
  <si>
    <t>CASCO ABIERTO HALCON PAMPA NEGRO BRILLANTE L (60 CM) (x1/x12/x4)</t>
  </si>
  <si>
    <t>CASCO ABIERTO HALCON PAMPA NEGRO BRILLANTE XL (62 CM) (x1/x12/x4)</t>
  </si>
  <si>
    <t>CASCO ABIERTO HAWK 721 NEVER GIVE UP VANILA S (56 CM) (x1/x4)</t>
  </si>
  <si>
    <t>CASCO ABIERTO HAWK 721 NEVER GIVE UP VANILA M (58 CM) (x1/x4)</t>
  </si>
  <si>
    <t>CASCO ABIERTO HAWK 721 NEVER GIVE UP VANILA L (60 CM) (x1/x4)</t>
  </si>
  <si>
    <t>CASCO ABIERTO HAWK 721 NEVER GIVE UP VANILA XL (62 CM) (x1/x4)</t>
  </si>
  <si>
    <t>CASCO ABIERTO HAWK 721 RUTA 40 NEGRO GREY MATE S (56 CM) (x1/x4)</t>
  </si>
  <si>
    <t>CASCO ABIERTO HAWK 721 RUTA 40 NEGRO GREY MATE M (58 CM) (x1/x4)</t>
  </si>
  <si>
    <t>CASCO ABIERTO HAWK 721 RUTA 40 NEGRO GREY MATE L (60 CM) (x1/x4)</t>
  </si>
  <si>
    <t>CASCO ABIERTO HAWK 721 RUTA 40 NEGRO GREY MATE XL (62 CM) (x1/x4)</t>
  </si>
  <si>
    <t>CASCO ABIERTO HAWK 721 CLASSIC NEGRO MATE S (56 CM) (x1/x4)</t>
  </si>
  <si>
    <t>CASCO ABIERTO HAWK 721 CLASSIC NEGRO MATE M (58 CM) (x1/x4)</t>
  </si>
  <si>
    <t>CASCO ABIERTO HAWK 721 CLASSIC NEGRO MATE L (60 CM) (x1/x4)</t>
  </si>
  <si>
    <t>CASCO ABIERTO HAWK 721 CLASSIC NEGRO MATE XL (62 CM) (x1/x4)</t>
  </si>
  <si>
    <t>CASCO INTEGRAL HAWK RS1 ALPHA NEGRO/CELESTE BRILLANTE S (56CM) (x1/x4)</t>
  </si>
  <si>
    <t>CASCO INTEGRAL HAWK RS1 ALPHA NEGRO/CELESTE BRILLANTE M (58 CM) (x1/x4)</t>
  </si>
  <si>
    <t>CASCO INTEGRAL HAWK RS1 ALPHA NEGRO/CELESTE BRILLANTE L (60 CM) (x1/x4)</t>
  </si>
  <si>
    <t>CASCO INTEGRAL HAWK RS1 ALPHA NEGRO/CELESTE BRILLANTE XL (62 CM) (x1/x4)</t>
  </si>
  <si>
    <t>CASCO INTEGRAL HAWK RS1F SOPHIE GREY/NEGRO MATE S (56 CM) (x1/x4)</t>
  </si>
  <si>
    <t>CASCO INTEGRAL RS1F BLANCO/FUCSIA MATE C/GRAFICO S (56 CM) (x1/x4)</t>
  </si>
  <si>
    <t>CASCO INTEGRAL HAWK RS1F SOPHIE GREY/NEGRO MATE M (58 CM) (x1/x4)</t>
  </si>
  <si>
    <t>CASCO INTEGRAL RS1F BLANCO/FUCSIA MATE C/GRAFICO M (58 CM) (x1/x4)</t>
  </si>
  <si>
    <t>CASCO INTEGRAL HAWK RS1F SOPHIE GREY/NEGRO MATE L (60 CM) (x1/x4)</t>
  </si>
  <si>
    <t>CASCO INTEGRAL RS1F BLANCO/FUCSIA MATE C/GRAFICO L (60 CM) (x1/x4)</t>
  </si>
  <si>
    <t>CASCO INTEGRAL HAWK RS1F SOPHIE GREY/NEGRO MATE XL (62 CM) (x1/x4)</t>
  </si>
  <si>
    <t>CASCO INTEGRAL RS1F BLANCO/FUCSIA MATE C/GRAFICO XL (62CM) (x1/x4)</t>
  </si>
  <si>
    <t>CASCO INTEGRAL HAWK RS11 NEGRO BRILLANTE S (56 CM) (x1/x4)</t>
  </si>
  <si>
    <t>CASCO INTEGRAL HAWK RS1 NEGRO BRILLANTE S (56 CM) (x1/x4)</t>
  </si>
  <si>
    <t>CASCO INTEGRAL HAWK RS1 NEGRO BRILLANTE M (58 CM) (x1/x4)</t>
  </si>
  <si>
    <t>CASCO INTEGRAL HAWK RS1 NEGRO BRILLANTE L (60 CM) (x1/x4)</t>
  </si>
  <si>
    <t>CASCO INTEGRAL HAWK RS1 NEGRO BRILLANTE XL (62 CM) (x1/x4)</t>
  </si>
  <si>
    <t>CASCO INTEGRAL HAWK RS11 VERDE FLUO S (56 CM) (x1/x4)</t>
  </si>
  <si>
    <t>CASCO INTEGRAL HAWK RS11 VERDE FLUO M (58 CM) (x1/x4)</t>
  </si>
  <si>
    <t>CASCO INTEGRAL HAWK RS11 NEGRO MATE S (56 CM) (x1/x4)</t>
  </si>
  <si>
    <t>CASCO INTEGRAL HAWK RS11 NEGRO MATE M (58 CM) (x1/x4)</t>
  </si>
  <si>
    <t>CASCO INTEGRAL HAWK RS11 NEGRO MATE L (60 CM) (x1/x4)</t>
  </si>
  <si>
    <t>CASCO INTEGRAL HAWK RS11 NEGRO MATE XL (62 CM) (x1/x4)</t>
  </si>
  <si>
    <t>CASCO INTEGRAL HAWK RS1 NEGRO MATE S (56 CM) (x1/x4)</t>
  </si>
  <si>
    <t>CASCO INTEGRAL HAWK RS1 NEGRO MATE M (58 CM) (x1/x4)</t>
  </si>
  <si>
    <t>CASCO INTEGRAL HAWK RS1 NEGRO MATE L (60 CM) (x1/x4)</t>
  </si>
  <si>
    <t>CASCO INTEGRAL HAWK RS1 NEGRO MATE XL (62 CM) (x1/x4)</t>
  </si>
  <si>
    <t>CASCO INTEGRAL HAWK RS1 ALPHA NEGRO/VERDE MATE S (56 CM) (x1/x4)</t>
  </si>
  <si>
    <t>CASCO INTEGRAL HAWK RS1 ALPHA NEGRO/VERDE MATE M (58 CM) (x1/x4)</t>
  </si>
  <si>
    <t>CASCO INTEGRAL HAWK RS1 ALPHA NEGRO/VERDE MATE L (60 CM) (x1/x4)</t>
  </si>
  <si>
    <t>CASCO INTEGRAL HAWK RS1 ALPHA NEGRO/VERDE MATE XL (62 CM) (x1/x4)</t>
  </si>
  <si>
    <t>CASCO INTEGRAL HAWK RS1 T-RACER NEGRO GRI/FUC FLUO MATE S (56 CM) (x1/x4)</t>
  </si>
  <si>
    <t>CASCO INTEGRAL HAWK RS1 T-RACER NEGRO GRI/FUC FLUO MATE M (58 CM) (x1/x4)</t>
  </si>
  <si>
    <t>CASCO INTEGRAL HAWK RS1 T-RACER NEGRO GRI/FUC FLUO MATE L (60 CM) (x1/x4)</t>
  </si>
  <si>
    <t>CASCO INTEGRAL HAWK RS1 T-RACER NEGRO GRI/FUC FLUO MATE XL (62 CM) (x1/x4)</t>
  </si>
  <si>
    <t>CASCO INTEGRAL HAWK RS11 CLUB ATLCO. SAN LORENZO BRILLANTE S (56 cm) (x1/x6)</t>
  </si>
  <si>
    <t>CASCO INTEGRAL HAWK RS11 CLUB ATLCO. SAN LORENZO BRILLANTE M (58 cm) (x1/x6)</t>
  </si>
  <si>
    <t>CASCO INTEGRAL HAWK RS11 RACING CLUB BRILLANTE M (58cm) (x1/x6)</t>
  </si>
  <si>
    <t>CASCO INTEGRAL HAWK RS11 RACING CLUB BRILLANTE L (60cm) (x1/x6)</t>
  </si>
  <si>
    <t>CASCO INTEGRAL HAWK RS11 CLUB ATLCO. INDEPENDIENTE BRILLANTE S (56cm) (x1/x6)</t>
  </si>
  <si>
    <t>CASCO INTEGRAL HAWK RS11 CLUB ATLCO. INDEPENDIENTE BRILLANTE M (58cm) (x1/x6)</t>
  </si>
  <si>
    <t>CASCO INTEGRAL HAWK RS11 CLUB ATLCO. INDEPENDIENTE BRILLANTE L (60cm) (x1/x6)</t>
  </si>
  <si>
    <t>CASCO INTEGRAL HAWK RS11 CLUB ATLCO. INDEPENDIENTE BRILLANTE XL (62cm) (x1/x6)</t>
  </si>
  <si>
    <t>CASCO INTEGRAL HAWK RS JUNIOR ROSA BRILLANTE XS (54 CM) (x1/x4/x6)</t>
  </si>
  <si>
    <t>CASCO INTEGRAL HAWK RS JUNIOR ROSA BRILLANTE S (56 CM) (x1/x4/x6)</t>
  </si>
  <si>
    <t>CASCO INTEGRAL HAWK RS JUNIOR NARANJA FLUO MATE XS (54 CM) (x1/x4/x6)</t>
  </si>
  <si>
    <t>CASCO INTEGRAL HAWK RS JUNIOR NARANJA FLUO MATE S (56 CM) (x1/x4/x6)</t>
  </si>
  <si>
    <t>CASCO INTEGRAL HAWK RS JUNIOR AZUL MATE XS (54 CM) (x1/x4/x6)</t>
  </si>
  <si>
    <t>CASCO INTEGRAL HAWK RS JUNIOR AZUL MATE S (56 CM) (x1/x4/x6)</t>
  </si>
  <si>
    <t>CASCO ABIERTO HAWK 721 KAMIKAZE ROJ/BL BRILLANTE L (60 CM) (x1/x4)</t>
  </si>
  <si>
    <t>CASCO ABIERTO HAWK 721 KAMIKAZE ROJ/BL BRILLANTE XL (62 CM) (x1/x4)</t>
  </si>
  <si>
    <t>CASCO ABIERTO ROCKWELL R923 MONSTER NAR/NEG BRILLANTE E/L S (56 CM) </t>
  </si>
  <si>
    <t>CASCO ABIERTO ROCKWELL R923 MONSTER NAR/NEG BRILLANTE E/L M (58 CM) </t>
  </si>
  <si>
    <t>CASCO ABIERTO ROCKWELL R923 MONSTER NAR/NEG BRILLANTE E/L L (60 CM) </t>
  </si>
  <si>
    <t>CASCO ABIERTO ROCKWELL R923 MONSTER NAR/NEG BRILLANTE E/L XL (62 CM) </t>
  </si>
  <si>
    <t>CASCO ABIERTO ROCKWELL R923 MONSTER GRI/NEG MATE E/L S (56 CM) </t>
  </si>
  <si>
    <t>CASCO ABIERTO ROCKWELL R923 MONSTER GRI/NEG MATE E/L M (58 CM) </t>
  </si>
  <si>
    <t>CASCO ABIERTO ROCKWELL R923 MONSTER GRI/NEG MATE E/L L (60 CM) </t>
  </si>
  <si>
    <t>CASCO ABIERTO ROCKWELL R923 MONSTER GRI/NEG MATE E/L XL (62 CM) </t>
  </si>
  <si>
    <t>CASCO ABIERTO ROCKWELL R923 MONSTER VIO/NEG MATE E/L M (58 CM) </t>
  </si>
  <si>
    <t>CASCO ABIERTO ROCKWELL R923 MONSTER VIO/NEG MATE E/L L (60 CM) </t>
  </si>
  <si>
    <t>CASCO ABIERTO ROCKWELL R923 MONSTER VIO/NEG MATE E/L XL (62 CM) </t>
  </si>
  <si>
    <t>CASCO ABIERTO ROCKWELL R923 MONSTER PLAIN GRI/NEG MATE E/L S (56 CM) </t>
  </si>
  <si>
    <t>CASCO ABIERTO ROCKWELL R923 MONSTER PLAIN GRI/NEG MATE E/L M (58 CM) </t>
  </si>
  <si>
    <t>CASCO ABIERTO ROCKWELL R923 MONSTER PLAIN GRI/NEG MATE E/L L (60 CM) </t>
  </si>
  <si>
    <t>CASCO ABIERTO ROCKWELL R923 MONSTER PLAIN GRI/NEG MATE E/L XL (62 CM) </t>
  </si>
  <si>
    <t>CASCO ABIERTO ROCKWELL R923 MONSTER PLAIN FUC/BLA MATE E/L S (56 CM) </t>
  </si>
  <si>
    <t>CASCO ABIERTO ROCKWELL R923 MONSTER PLAIN FUC/BLA MATE E/L M (58 CM) </t>
  </si>
  <si>
    <t>CASCO ABIERTO ROCKWELL R923 MONSTER PLAIN FUC/BLA MATE E/L L (60 CM) </t>
  </si>
  <si>
    <t>CASCO ABIERTO ROCKWELL R923 MONSTER PLAIN FUC/BLA MATE E/L XL (62 CM) </t>
  </si>
  <si>
    <t>CASCO INTEGRAL ROCKWELL R929 ZOMBIE GRI/NAR FLUO BRILLANTE E/L M (58 CM) </t>
  </si>
  <si>
    <t>CASCO INTEGRAL ROCKWELL R929 ZOMBIE GRI/NAR FLUO BRILLANTE E/L L (60 CM) </t>
  </si>
  <si>
    <t>CASCO INTEGRAL ROCKWELL R929 MONSTER PLAIN NEGRO MET/NEGRO BRILLANTE E/L S (56 CM) </t>
  </si>
  <si>
    <t>CASCO INTEGRAL ROCKWELL R929 ZOMBIE BLA/VER FLUO MATE E/L S (56 CM) (x1/x4) (x1/x4)</t>
  </si>
  <si>
    <t>CASCO INTEGRAL ROCKWELL R929 ZOMBIE PLAIN SYRAH MATE E/L M (58 CM) </t>
  </si>
  <si>
    <t>ZGN001</t>
  </si>
  <si>
    <t>ZGN003</t>
  </si>
  <si>
    <t>ZGN004</t>
  </si>
  <si>
    <t>ZGN006</t>
  </si>
  <si>
    <t>ZGN007</t>
  </si>
  <si>
    <t>ZGN008</t>
  </si>
  <si>
    <t>ZGN010</t>
  </si>
  <si>
    <t>ZGN012</t>
  </si>
  <si>
    <t>ZGN013</t>
  </si>
  <si>
    <t>ZAPATA DE FRENO R77 HD CG 125 77-82 / 83-99 TRASERA TRASERA/ DELANTERA</t>
  </si>
  <si>
    <t>ZAPATA DE FRENO R77 CG125/TITAN2000 TRASERA</t>
  </si>
  <si>
    <t>ZAPATA DE FRENO R77 HD WAVE 100 S/ XR 150 /XR190/ CRF 230/ BIZ 125 TRASERA</t>
  </si>
  <si>
    <t>ZAPATA DE FRENO R77 HD TORNADO 250/ GAUCHA GLH150 TRASERA</t>
  </si>
  <si>
    <t>ZAPATA DE FRENO R77 YH CRYPTON 105/110/115 TRASERA/ DELANTERA</t>
  </si>
  <si>
    <t>ZAPATA DE FRENO R77 YH YBR125/ XTZ125 TRASERA/ DELANTERA</t>
  </si>
  <si>
    <t xml:space="preserve">ZAPATA DE FRENO R77 YH FZ 16/ YBR 250 /YS250/ CRYPTON 110 TRASERA </t>
  </si>
  <si>
    <t xml:space="preserve">ZAPATA DE FRENO R77  BJ ROUSSER NS 125/150/160/ 135/180/V15 TRASERA </t>
  </si>
  <si>
    <t>ZAPATA DE FRENO R77 RX 150/ ZT150/ TRIAX 150/ VC 150 (150 Chinas) TRASERA/ DELANTERA</t>
  </si>
  <si>
    <t>ZAPATA DE FRENO R77 SZ AX100/115 TRASERA/ DELANTERA</t>
  </si>
  <si>
    <t>PFX001</t>
  </si>
  <si>
    <t>PFX002</t>
  </si>
  <si>
    <t>PFX003</t>
  </si>
  <si>
    <t>PFX004</t>
  </si>
  <si>
    <t>PFX005</t>
  </si>
  <si>
    <t>PFX006</t>
  </si>
  <si>
    <t>PFX007</t>
  </si>
  <si>
    <t>PFX008</t>
  </si>
  <si>
    <t>PFX009</t>
  </si>
  <si>
    <t>PFX012</t>
  </si>
  <si>
    <t>PFX010</t>
  </si>
  <si>
    <t>PFX011</t>
  </si>
  <si>
    <t xml:space="preserve">PASTILLAS DE FRENO R77 YAMAHA FZ 16/BAJAJ NS 200  DELANTERA </t>
  </si>
  <si>
    <t xml:space="preserve">PASTILLAS DE FRENO R77 MOTOMEL SKUA 150 Y DAKAR 200 DELANTERA </t>
  </si>
  <si>
    <t xml:space="preserve">PASTILLAS DE FRENO R77 GILERA SMASH  (110 TODAS)DELANTERA </t>
  </si>
  <si>
    <t xml:space="preserve">PASTILLAS DE FRENO R77 HD TITAN CG 125,150 Y RX 150 DELANTERA </t>
  </si>
  <si>
    <t xml:space="preserve">PASTILLAS DE FRENO R77 BJ ROUSSER NS 200 TRASERO TRASERA </t>
  </si>
  <si>
    <t xml:space="preserve">PASTILLAS DE FRENO R77 HD XTZ 125/YBR250/SUZUKI EN 125DELANTERA </t>
  </si>
  <si>
    <t xml:space="preserve">PASTILLAS DE FRENO R77 HD TWISTER 125, CB 190DELANTERA </t>
  </si>
  <si>
    <t xml:space="preserve">PASTILLAS DE FRENO R77 HD NEW TITAN 150 (2014)DELANTERA </t>
  </si>
  <si>
    <t xml:space="preserve">PASTILLAS DE FRENO R77 HD WAVE 110 S (NEW WAVE)DELANTERA </t>
  </si>
  <si>
    <t xml:space="preserve">PASTILLAS DE FRENO R77 HD XR250/FALCO/BIZ125 FORCE DELANTERA </t>
  </si>
  <si>
    <t xml:space="preserve">PASTILLAS DE FRENO R77 SZ GN 125M/N MONDIAL 125DELANTERA </t>
  </si>
  <si>
    <t xml:space="preserve">PASTILLAS DE FRENO R77 YH YBR 125 ED / CRYPTON 110 DELANTERA </t>
  </si>
  <si>
    <t>CASCO REBATIBLE HAWK RS5 RESISTANCE NEGRO/FLUO MATE M (58 CM)</t>
  </si>
  <si>
    <t>CASCO REBATIBLE HAWK RS5 RESISTANCE NEGRO/FLUO MATE L (60 CM)</t>
  </si>
  <si>
    <t>CASCO REBATIBLE HAWK RS5 RESISTANCE NEGRO/FLUO MATE XL (62 CM)</t>
  </si>
  <si>
    <t>CUBRE OPTICA DELANTERA BLANCO ML SKUA 150 NEW</t>
  </si>
  <si>
    <t>BUJE SEPARADORES RULEMANES MAZA DELANTERA ZN RX150</t>
  </si>
  <si>
    <t>BULBO DE FRENO TRASERO HD GAUCHA GLH 150</t>
  </si>
  <si>
    <t>CABLE SCHERER CEBADOR HD NX350 SAHARA ORIGEN BRASIL</t>
  </si>
  <si>
    <t>CUBRE TABLERO NEGRO GL SMASH / ML BIT</t>
  </si>
  <si>
    <t>EJE RUEDA DELANTERA HD TITAN 150</t>
  </si>
  <si>
    <t>EJE RUEDA TRASERA HD TITAN 150</t>
  </si>
  <si>
    <t>FAROL DELANTERO BJ ROUSER 135 CC</t>
  </si>
  <si>
    <t>FILTRO DE ACEITE MALLA HD TITAN / ZN RX 150</t>
  </si>
  <si>
    <t>GUARDABARRO DELANTERO BORDO YH FZ16</t>
  </si>
  <si>
    <t>INDICADOR ELECTRONICO DE CAMBIOS ZN RX150 (HASTA EL 2015)</t>
  </si>
  <si>
    <t>JUNTAS COMPLETAS ATHENA HONDA VT600 88-93</t>
  </si>
  <si>
    <t>JUNTAS COMPLETAS ATHENA SUZUKI DR650 90-96</t>
  </si>
  <si>
    <t>JUNTAS COMPLETAS ATHENA SUZUKI RM125 90-95</t>
  </si>
  <si>
    <t>KIT AROS 1.0 SUNGO ZN RX 150 / ML SKUA 150</t>
  </si>
  <si>
    <t>KIT PISTON + ARO 0.25 SUNGO GL SMASH 125CC</t>
  </si>
  <si>
    <t>KIT PISTON + ARO 0.25 SUNGO HD STORM 125CC</t>
  </si>
  <si>
    <t>KIT PISTON + ARO 0.5 SUNGO GL SMASH 125 CC</t>
  </si>
  <si>
    <t>KIT PISTON + ARO 0.5 SUNGO HD STORM 125 CC</t>
  </si>
  <si>
    <t>KIT PISTON + ARO 0.5 SUNGO HD WAVE 100 / HD BIZ 100</t>
  </si>
  <si>
    <t>KIT PISTON + ARO 1.0 SUNGO GL SMASH 125 CC</t>
  </si>
  <si>
    <t>KIT PISTON + ARO 1.0 SUNGO ML BIT 110 CC</t>
  </si>
  <si>
    <t>KIT PISTON + ARO STD SUNGO ZN RX150 / ML SKUA 150</t>
  </si>
  <si>
    <t>KIT TRANSMISION PIÑON Y CORONA NITRO PRO - GL SMASH / GUERRERO / ML 110 14T 34T</t>
  </si>
  <si>
    <t>LLANTA ALEACION DELANTERA NITRO YH CRYPTON 110 NEW (1.4 X 17)</t>
  </si>
  <si>
    <t>LLANTA CROMADA NITRO 185x18 TRAS: YH YBR125 / HD TITAN 150 / CV HUNTER 150 / ZN RX 150</t>
  </si>
  <si>
    <t>MANIJA FRENO (TAMBOR) GUERRERO FUTURE</t>
  </si>
  <si>
    <t>MASCARA HAWK VERDE C/ VISOR TORNASOLADO</t>
  </si>
  <si>
    <t>PARILLA PORTA EQUIPAJE ML BLITZ (V8) / ZN ZB (GIV) / CV ENERGY (R2) / GL SMASH (UNDER) / TRIP G-110</t>
  </si>
  <si>
    <t>PASTILLA DE FRENO EBC (FA054) DR 125/BANSHEE/GRIZZLY</t>
  </si>
  <si>
    <t>RESORTE BULBO FRENO TRASERO HD WAVE 110 S</t>
  </si>
  <si>
    <t>SOPORTE FAROL DELANTERO DERECHO SZ AX 100</t>
  </si>
  <si>
    <t>SOPORTE GUARDABARRO DELANTERO ZN RX 150</t>
  </si>
  <si>
    <t>SOPORTE MANIJA EMBRAGUE HD XR125L 2 PC/POLY + TOWO HEADER,W/COVER</t>
  </si>
  <si>
    <t>SOPORTE RESORTE CABALLETE YH YBR125</t>
  </si>
  <si>
    <t>TANQUE DE NAFTA AZUL SZ AX100 (BLUE)</t>
  </si>
  <si>
    <t>TRABA ASIENTO HD WAVE</t>
  </si>
  <si>
    <t>ACT108</t>
  </si>
  <si>
    <t>CADENA DE TRANSMISION NITRO POWER 420G X112L</t>
  </si>
  <si>
    <t>ACT136</t>
  </si>
  <si>
    <t>CADENA DE TRANSMISION NITRO POWER 520G X 110 BJ NS 200 / AS 200/ HD CB 250 TWISTER (x1/x25)</t>
  </si>
  <si>
    <t>ACT134</t>
  </si>
  <si>
    <t>CADENA DE TRANSMISION NITRO POWER 420G X102 HD DAX / ECONO (x1/x25)</t>
  </si>
  <si>
    <t>ACT137</t>
  </si>
  <si>
    <t>CADENA DE TRANSMISION NITRO POWER 520G X118 VOGE 300/500/TORNADO 250/ KTM DUKE 200 (x1/x25)</t>
  </si>
  <si>
    <t>ACT104</t>
  </si>
  <si>
    <t>CADENA DE TRANSMISION NITRO POWER NORMAL 415 X102 HD CICLOMOTOR / C90 (x1/x25)</t>
  </si>
  <si>
    <t>ACT105</t>
  </si>
  <si>
    <t>CADENA DE TRANSMISION NITRO POWER NORMAL 415 X114 (x1/x25)</t>
  </si>
  <si>
    <t>ACT106</t>
  </si>
  <si>
    <t>CADENA DE TRANSMISION NITRO POWER NORMAL 420 X 102 HD DAX / ECONO (x1/x25)</t>
  </si>
  <si>
    <t>ACT107</t>
  </si>
  <si>
    <t>CADENA DE TRANSMISION NITRO POWER NORMAL 420 X 112 MN DAX 70 / SZ GN 125 (x1/x25)</t>
  </si>
  <si>
    <t>ACT124</t>
  </si>
  <si>
    <t>CADENA DE TRANSMISION NITRO POWER 420H X102 HD DAX / ECONO (x1/x25)</t>
  </si>
  <si>
    <t>ACT127</t>
  </si>
  <si>
    <t>CADENA DE TRANSMISION NITRO POWER 520H X 118 VOGE 300/500/TORNADO 250/ KTM DUKE 200 (x1/x25)</t>
  </si>
  <si>
    <t>ACT125</t>
  </si>
  <si>
    <t>CADENA DE TRANSMISION NITRO POWER 420H X112 MN DAX 70 / SZ GN 125 (x1/x25)</t>
  </si>
  <si>
    <t>ACT126</t>
  </si>
  <si>
    <t>CADENA DE TRANSMISION NITRO POWER 520H X110 BJ NS 200 / AS 200/ HD CB 250 TWISTER (x1/x25)</t>
  </si>
  <si>
    <t>LCA001</t>
  </si>
  <si>
    <t>CAMARA TANAKA 3.50-8 (x1/x50)</t>
  </si>
  <si>
    <t>LCA002</t>
  </si>
  <si>
    <t>CAMARA TANAKA 2.50/2.25-17 (x1/x50)</t>
  </si>
  <si>
    <t>LCA003</t>
  </si>
  <si>
    <t>CAMARA TANAKA 2.75-17 (x1/x50)</t>
  </si>
  <si>
    <t>LCA004</t>
  </si>
  <si>
    <t>CAMARA TANAKA 3.00-10 (x1/x50)</t>
  </si>
  <si>
    <t>LCA005</t>
  </si>
  <si>
    <t>CAMARA TANAKA 2.75/2.50-18 (x1/x50)</t>
  </si>
  <si>
    <t>LCA006</t>
  </si>
  <si>
    <t>CAMARA TANAKA 3.00-18 (x1/x50)</t>
  </si>
  <si>
    <t>LCA007</t>
  </si>
  <si>
    <t>CAMARA TANAKA 4.50/4.00-8 (x1/x50)</t>
  </si>
  <si>
    <t>LCA008</t>
  </si>
  <si>
    <t>CAMARA TANAKA 3.00/2.75-14 (x1/x50)</t>
  </si>
  <si>
    <t>LCA009</t>
  </si>
  <si>
    <t>CAMARA TANAKA 2.25-19 (x1/x50)</t>
  </si>
  <si>
    <t>LCA010</t>
  </si>
  <si>
    <t>CAMARA TANAKA 80/90-21 (x1/x50)</t>
  </si>
  <si>
    <t>LCA011</t>
  </si>
  <si>
    <t>CAMARA TANAKA 2.50-16 (x1/x50)</t>
  </si>
  <si>
    <t>LCA012</t>
  </si>
  <si>
    <t>CAMARA TANAKA 3.50-18 (x1/x50)</t>
  </si>
  <si>
    <t>LCA013</t>
  </si>
  <si>
    <t>CAMARA TANAKA 130/90-15 (x1/x50)</t>
  </si>
  <si>
    <t>LCA014</t>
  </si>
  <si>
    <t>CAMARA TANAKA 3.25/3.00-16 (x1/x50)</t>
  </si>
  <si>
    <t>LCA015</t>
  </si>
  <si>
    <t>CAMARA TANAKA 90/90-19 (x1/x50)</t>
  </si>
  <si>
    <t>LCA016</t>
  </si>
  <si>
    <t>CAMARA TANAKA 110/90-13 (x1/x50)</t>
  </si>
  <si>
    <t>LCA018</t>
  </si>
  <si>
    <t>CAMARA TANAKA 5.00/4.00-17 (x1/x50)</t>
  </si>
  <si>
    <t>LCA019</t>
  </si>
  <si>
    <t>CAMARA TANAKA 4.60/4.10-18 (x1/x50)</t>
  </si>
  <si>
    <t>LCA020</t>
  </si>
  <si>
    <t>CAMARA TANAKA 90/90-18 (x1/x50)</t>
  </si>
  <si>
    <t>LCA021</t>
  </si>
  <si>
    <t>CAMARA TANAKA 3.00-17 (x1/x50)</t>
  </si>
  <si>
    <t>LCA022</t>
  </si>
  <si>
    <t>CAMARA TANAKA 70/100-19 (x1/x50)</t>
  </si>
  <si>
    <t>ZGN011</t>
  </si>
  <si>
    <t>WH13</t>
  </si>
  <si>
    <t>PLAQUETA DE CARBONES HD CG TITAN 150 / HD NEW TITAN 150 (x1)</t>
  </si>
  <si>
    <t>WH18</t>
  </si>
  <si>
    <t>PLAQUETA 4 CARBONES HD CG 150/STORM ML S2/SKUA 150/ 200/ 250 ZN RX 150/ZR250 CV TRIAX 150/HUNTER 150  (x1)</t>
  </si>
  <si>
    <t>HIB533</t>
  </si>
  <si>
    <t>HIB534</t>
  </si>
  <si>
    <t>HIB544</t>
  </si>
  <si>
    <t>HIB545</t>
  </si>
  <si>
    <t>HIB546</t>
  </si>
  <si>
    <t>HIM525</t>
  </si>
  <si>
    <t>HIM526</t>
  </si>
  <si>
    <t>CASCO INTEGRAL HAWK RS1 THUNDERWASP BLANCO/AZUL BRILLANTE E/L M (58cm)</t>
  </si>
  <si>
    <t>CASCO INTEGRAL HAWK RS1 THUNDERWASP BLANCO/AZUL BRILLANTE E/L L (60cm)</t>
  </si>
  <si>
    <t>CASCO INTEGRAL HAWK RS1 THUNDERWASP NEGRO/NARANJA FLUO BRILLANTE E/L S (56cm)</t>
  </si>
  <si>
    <t>CASCO INTEGRAL HAWK RS1 THUNDERWASP NEGRO/NARANJA FLUO BRILLANTE E/L M (58cm)</t>
  </si>
  <si>
    <t>CASCO INTEGRAL HAWK RS1 THUNDERWASP NEGRO/NARANJA FLUO BRILLANTE E/L L (60cm)</t>
  </si>
  <si>
    <t>CASCO INTEGRAL HAWK RS1 THUNDERWASP NEGRO/VERDE FLUO MATE E/L M (58cm)</t>
  </si>
  <si>
    <t>CASCO INTEGRAL HAWK RS1 THUNDERWASP NEGRO/VERDE FLUO MATE E/L L (60cm)</t>
  </si>
  <si>
    <t>HAM590</t>
  </si>
  <si>
    <t>HAM591</t>
  </si>
  <si>
    <t>CASCO ABIERTO HAWK 721 ATOMIC BOMB CEL/AZU MATE E/L L (60 CM) (x1)</t>
  </si>
  <si>
    <t>CASCO ABIERTO HAWK 721 ATOMIC BOMB CEL/AZU MATE E/L XL (62 CM) (x1)</t>
  </si>
  <si>
    <t>HAS008</t>
  </si>
  <si>
    <t>HAS011</t>
  </si>
  <si>
    <t>HAS012</t>
  </si>
  <si>
    <t>HAS015</t>
  </si>
  <si>
    <t>HAS016</t>
  </si>
  <si>
    <t>CASCO ABIERTO HAWK 721 OHANA NEG/AMA SATINADO E/L XL (62 CM) (x1/x4)</t>
  </si>
  <si>
    <t>CASCO ABIERTO HAWK 721 OHANA TUR/AMA SATINADO E/L L (60 CM) (x1/x4)</t>
  </si>
  <si>
    <t>CASCO ABIERTO HAWK 721 OHANA TUR/AMA SATINADO E/L XL (62 CM) (x1/x4)</t>
  </si>
  <si>
    <t>CASCO ABIERTO HAWK 721 OHANA CREMA ROJO SATINADO E/L L (60 CM) (x1/x4)</t>
  </si>
  <si>
    <t>CASCO ABIERTO HAWK 721 OHANA CREMA ROJO SATINADO E/L XL (62 CM) (x1/x4)</t>
  </si>
  <si>
    <t>HCB504</t>
  </si>
  <si>
    <t>HCB506</t>
  </si>
  <si>
    <t>CASCO CROSS HAWK RS7 F DIRT TRAIL BLANCO MOS/VER BRILLANTE E/L S (56 CM) (x1/x4/x6)</t>
  </si>
  <si>
    <t>CASCO CROSS HAWK RS7 F DIRT TRAIL BLANCO MOS/VER BRILLANTE E/L L (60 CM) (x1/x4/x6)</t>
  </si>
  <si>
    <t>CRP14</t>
  </si>
  <si>
    <t>CRP24</t>
  </si>
  <si>
    <t>CASCO REBATIBLE HAWK VECTOR THICK NEGRO S (56 CM) (x1/x4)</t>
  </si>
  <si>
    <t>HFLT12</t>
  </si>
  <si>
    <t>HIM516</t>
  </si>
  <si>
    <t>CASCO INTEGRAL HAWK RS11 REVO NAR/NEG MATE E/L S (56 CM) (x1/x4)</t>
  </si>
  <si>
    <t>HIS001</t>
  </si>
  <si>
    <t>HIS002</t>
  </si>
  <si>
    <t>HIS004</t>
  </si>
  <si>
    <t>CASCO INTEGRAL HAWK RS1 DIRT TRAIL SOPHIE NARANJA SATINADO E/L S (56 CM) (x1/x4)</t>
  </si>
  <si>
    <t>CASCO INTEGRAL HAWK RS1 DIRT TRAIL SOPHIE NARANJA SATINADO E/L M (58 CM) (x1/x4)</t>
  </si>
  <si>
    <t>CASCO INTEGRAL HAWK RS1 DIRT TRAIL SOPHIE NARANJA SATINADO E/L XL (62 CM) (x1/x4)</t>
  </si>
  <si>
    <t>HIUB1</t>
  </si>
  <si>
    <t>HIUB2</t>
  </si>
  <si>
    <t>CASCO INTEGRAL HAWK RS11 CLUB ATLCO. BOCA JUNIOR BRILLANTE S (56 cm) (x1/x6)</t>
  </si>
  <si>
    <t>CASCO INTEGRAL HAWK RS11 CLUB ATLCO. BOCA JUNIOR BRILLANTE M (58 cm) (x1/x6)</t>
  </si>
  <si>
    <t>HAN12</t>
  </si>
  <si>
    <t>CASCO ABIERTO HAWK RS9 NEGRO MATE S-(56cm) (x1/x4/x6)</t>
  </si>
  <si>
    <t>HRM516</t>
  </si>
  <si>
    <t>CASCO REBATIBLE HAWK RS5 RESISTANCE FUC/NEG FLUO MATE E/L S (56 CM) (x1/x4)</t>
  </si>
  <si>
    <t>HRM517</t>
  </si>
  <si>
    <t>HRM518</t>
  </si>
  <si>
    <t>HRM519</t>
  </si>
  <si>
    <t>HRM520</t>
  </si>
  <si>
    <t>HRM521</t>
  </si>
  <si>
    <t>HRM522</t>
  </si>
  <si>
    <t>HRM523</t>
  </si>
  <si>
    <t>CASCO REBATIBLE HAWK RS5 RESISTANCE FUC/NEG FLUO MATE E/L M (58 CM) (x1/x4)</t>
  </si>
  <si>
    <t>CASCO REBATIBLE HAWK RS5 RESISTANCE FUC/NEG FLUO MATE E/L L (60 CM) (x1/x4) (x1/x4)</t>
  </si>
  <si>
    <t>CASCO REBATIBLE HAWK RS5 RESISTANCE FUC/NEG FLUO MATE E/L XL (62 CM) (x1/x4)</t>
  </si>
  <si>
    <t>CASCO REBATIBLE HAWK RS5 RESISTANCE NEG/CEL MATE E/L S (56 CM) (x1/x4)</t>
  </si>
  <si>
    <t>CASCO REBATIBLE HAWK RS5 RESISTANCE NEG/CEL MATE E/L M (58 CM) (x1/x4)</t>
  </si>
  <si>
    <t>CASCO REBATIBLE HAWK RS5 RESISTANCE NEG/CEL MATE E/L L (60 CM) (x1/x4)</t>
  </si>
  <si>
    <t>CASCO REBATIBLE HAWK RS5 RESISTANCE NEG/CEL MATE E/L XL (62 CM) (x1/x4)</t>
  </si>
  <si>
    <t>CPJ052</t>
  </si>
  <si>
    <t>CASCO INTEGRAL HALCON H5 KIDS MAGENTA CON STICKERS XXS (52 CM) (x1/x4)</t>
  </si>
  <si>
    <t>HIB508</t>
  </si>
  <si>
    <t>CASCO INTEGRAL HAWK RS1 T-RACER BLANCO AZUL/ROJO MATE S (56 CM) (x1/x4)</t>
  </si>
  <si>
    <t>HIB520</t>
  </si>
  <si>
    <t>CASCO INTEGRAL HAWK RS1 DIRT TRAIL SOPHIE VERDE FLUO BRILLANTE E/L S (56 CM) (x1/x4)</t>
  </si>
  <si>
    <t>CASCO INTEGRAL HAWK RS11 REVO SOPHIE S (56 CM) (x1/x4)</t>
  </si>
  <si>
    <t>CASCO INTEGRAL HAWK RS11 REVO SOPHIE M (58 CM) (x1/x4)</t>
  </si>
  <si>
    <t>CASCO INTEGRAL HAWK RS11 REVO SOPHIE L (60 CM) (x1/x4)</t>
  </si>
  <si>
    <t>CASCO INTEGRAL HAWK RS11 REVO SOPHIE XL (62 CM) (x1/x4)</t>
  </si>
  <si>
    <t>ZJB004</t>
  </si>
  <si>
    <t xml:space="preserve">CASCO INTEGRAL HAWK RSJUNIORX SPIDERMAN ROJO BRILLANTE L </t>
  </si>
  <si>
    <t>ZJB002</t>
  </si>
  <si>
    <t xml:space="preserve">CASCO INTEGRAL HAWK RSJUNIORX VIPER ROJO BRILLANTE L </t>
  </si>
  <si>
    <t>ZJB006</t>
  </si>
  <si>
    <t xml:space="preserve">CASCO INTEGRAL HAWK RSJUNIORX WINNIE HU ROSA BRILLANTE L </t>
  </si>
  <si>
    <t>ZIM001</t>
  </si>
  <si>
    <t xml:space="preserve">CASCO HAWK INTEGRAL RS11X SOLID NEGRO MATE L </t>
  </si>
  <si>
    <t>ZIM002</t>
  </si>
  <si>
    <t xml:space="preserve">CASCO HAWK INTEGRAL RS11X SOLID NEGRO MATE M </t>
  </si>
  <si>
    <t>ZIM003</t>
  </si>
  <si>
    <t xml:space="preserve">CASCO HAWK INTEGRAL RS11X SOLID NEGRO MATE S </t>
  </si>
  <si>
    <t>ZIM004</t>
  </si>
  <si>
    <t xml:space="preserve">CASCO HAWK INTEGRAL RS11X SOLID NEGRO MATE XL </t>
  </si>
  <si>
    <t>ZIM005</t>
  </si>
  <si>
    <t xml:space="preserve">CASCO HAWK INTEGRAL RS11X SOLID VERDE PETRÓLEO MATE L </t>
  </si>
  <si>
    <t>ZIM006</t>
  </si>
  <si>
    <t xml:space="preserve">CASCO HAWK INTEGRAL RS11X SOLID VERDE PETRÓLEO MATE M </t>
  </si>
  <si>
    <t>ZIM007</t>
  </si>
  <si>
    <t xml:space="preserve">CASCO HAWK INTEGRAL RS11X SOLID VERDE PETRÓLEO MATE S </t>
  </si>
  <si>
    <t>ZIM008</t>
  </si>
  <si>
    <t xml:space="preserve">CASCO HAWK INTEGRAL RS11X SOLID VERDE PETRÓLEO MATE XL </t>
  </si>
  <si>
    <t>ZIB003</t>
  </si>
  <si>
    <t xml:space="preserve">CASCO HAWK INTEGRAL RS11X SPIKE GRIS  BRILLANTE S </t>
  </si>
  <si>
    <t>ZIB001</t>
  </si>
  <si>
    <t xml:space="preserve">CASCO HAWK INTEGRAL RS11X SPIKE GRIS BRILLANTE L </t>
  </si>
  <si>
    <t>ZIB002</t>
  </si>
  <si>
    <t xml:space="preserve">CASCO HAWK INTEGRAL RS11X SPIKE GRIS BRILLANTE M </t>
  </si>
  <si>
    <t>ZIB004</t>
  </si>
  <si>
    <t xml:space="preserve">CASCO HAWK INTEGRAL RS11X SPIKE GRIS BRILLANTE XL </t>
  </si>
  <si>
    <t>ZIB005</t>
  </si>
  <si>
    <t xml:space="preserve">CASCO HAWK INTEGRAL RS11X SPIKE ROJO BRILLANTE L </t>
  </si>
  <si>
    <t>ZIB006</t>
  </si>
  <si>
    <t xml:space="preserve">CASCO HAWK INTEGRAL RS11X SPIKE ROJO BRILLANTE M </t>
  </si>
  <si>
    <t>ZIB007</t>
  </si>
  <si>
    <t xml:space="preserve">CASCO HAWK INTEGRAL RS11X SPIKE ROJO BRILLANTE S </t>
  </si>
  <si>
    <t>ZIB008</t>
  </si>
  <si>
    <t xml:space="preserve">CASCO HAWK INTEGRAL RS11X SPIKE ROJO BRILLANTE XL </t>
  </si>
  <si>
    <t>ZIB017</t>
  </si>
  <si>
    <t xml:space="preserve">CASCO HAWK INTEGRAL RS1X SOLID GRIS BRILLANTE L </t>
  </si>
  <si>
    <t>ZIB018</t>
  </si>
  <si>
    <t xml:space="preserve">CASCO HAWK INTEGRAL RS1X SOLID GRIS BRILLANTE M </t>
  </si>
  <si>
    <t>ZIB019</t>
  </si>
  <si>
    <t xml:space="preserve">CASCO HAWK INTEGRAL RS1X SOLID GRIS BRILLANTE S </t>
  </si>
  <si>
    <t>ZIB021</t>
  </si>
  <si>
    <t xml:space="preserve">CASCO HAWK INTEGRAL RS1X SOLID NEGRO BRILLANTE L </t>
  </si>
  <si>
    <t>ZIB022</t>
  </si>
  <si>
    <t xml:space="preserve">CASCO HAWK INTEGRAL RS1X SOLID NEGRO BRILLANTE M </t>
  </si>
  <si>
    <t>ZIB023</t>
  </si>
  <si>
    <t xml:space="preserve">CASCO HAWK INTEGRAL RS1X SOLID NEGRO BRILLANTE S </t>
  </si>
  <si>
    <t>ZIB024</t>
  </si>
  <si>
    <t xml:space="preserve">CASCO HAWK INTEGRAL RS1X SOLID NEGRO BRILLANTE XL </t>
  </si>
  <si>
    <t>ZIM009</t>
  </si>
  <si>
    <t xml:space="preserve">CASCO HAWK INTEGRAL RS1X SOLID NEGRO MATE L </t>
  </si>
  <si>
    <t>ZIM010</t>
  </si>
  <si>
    <t xml:space="preserve">CASCO HAWK INTEGRAL RS1X SOLID NEGRO MATE M </t>
  </si>
  <si>
    <t>ZIM011</t>
  </si>
  <si>
    <t xml:space="preserve">CASCO HAWK INTEGRAL RS1X SOLID NEGRO MATE S </t>
  </si>
  <si>
    <t>ZIM012</t>
  </si>
  <si>
    <t xml:space="preserve">CASCO HAWK INTEGRAL RS1X SOLID NEGRO MATE XL </t>
  </si>
  <si>
    <t>ZIB009</t>
  </si>
  <si>
    <t xml:space="preserve">CASCO HAWK INTEGRAL RS1X THUNDER DORADO BRILLANTE L </t>
  </si>
  <si>
    <t>ZIB010</t>
  </si>
  <si>
    <t xml:space="preserve">CASCO HAWK INTEGRAL RS1X THUNDER DORADO BRILLANTE M </t>
  </si>
  <si>
    <t>ZIB011</t>
  </si>
  <si>
    <t xml:space="preserve">CASCO HAWK INTEGRAL RS1X THUNDER DORADO BRILLANTE S </t>
  </si>
  <si>
    <t>ZIB012</t>
  </si>
  <si>
    <t xml:space="preserve">CASCO HAWK INTEGRAL RS1X THUNDER DORADO BRILLANTE XL </t>
  </si>
  <si>
    <t>ZIB013</t>
  </si>
  <si>
    <t xml:space="preserve">CASCO HAWK INTEGRAL RS1X THUNDER MAGENTA BRILLANTE L </t>
  </si>
  <si>
    <t>ZIB014</t>
  </si>
  <si>
    <t xml:space="preserve">CASCO HAWK INTEGRAL RS1X THUNDER MAGENTA BRILLANTE M </t>
  </si>
  <si>
    <t>ZIB015</t>
  </si>
  <si>
    <t xml:space="preserve">CASCO HAWK INTEGRAL RS1X THUNDER MAGENTA BRILLANTE S </t>
  </si>
  <si>
    <t>ZIB016</t>
  </si>
  <si>
    <t xml:space="preserve">CASCO HAWK INTEGRAL RS1X THUNDER MAGENTA BRILLANTE XL </t>
  </si>
  <si>
    <t>ZRB001</t>
  </si>
  <si>
    <t xml:space="preserve">CASCO REBATIBLE HAWK RS5X SOLID NEGRO BRILLANTE L </t>
  </si>
  <si>
    <t>ZRB002</t>
  </si>
  <si>
    <t xml:space="preserve">CASCO REBATIBLE HAWK RS5X SOLID NEGRO BRILLANTE M </t>
  </si>
  <si>
    <t>ZRB003</t>
  </si>
  <si>
    <t xml:space="preserve">CASCO REBATIBLE HAWK RS5X SOLID NEGRO BRILLANTE S </t>
  </si>
  <si>
    <t>ZRB004</t>
  </si>
  <si>
    <t xml:space="preserve">CASCO REBATIBLE HAWK RS5X SOLID NEGRO BRILLANTE XL </t>
  </si>
  <si>
    <t>ZRM005</t>
  </si>
  <si>
    <t xml:space="preserve">CASCO REBATIBLE HAWK RS5X SOLID NEGRO MATE L </t>
  </si>
  <si>
    <t>ZRM006</t>
  </si>
  <si>
    <t xml:space="preserve">CASCO REBATIBLE HAWK RS5X SOLID NEGRO MATE M </t>
  </si>
  <si>
    <t>ZRM007</t>
  </si>
  <si>
    <t xml:space="preserve">CASCO REBATIBLE HAWK RS5X SOLID NEGRO MATE S </t>
  </si>
  <si>
    <t>ZRM008</t>
  </si>
  <si>
    <t xml:space="preserve">CASCO REBATIBLE HAWK RS5X SOLID NEGRO MATE XL </t>
  </si>
  <si>
    <t>ZRB005</t>
  </si>
  <si>
    <t xml:space="preserve">CASCO REBATIBLE HAWK RS5X HUNTER GRIS BRILLANTE L </t>
  </si>
  <si>
    <t>ZRB006</t>
  </si>
  <si>
    <t xml:space="preserve">CASCO REBATIBLE HAWK RS5X HUNTER GRIS BRILLANTE M </t>
  </si>
  <si>
    <t>ZRB007</t>
  </si>
  <si>
    <t xml:space="preserve">CASCO REBATIBLE HAWK RS5X HUNTER GRIS BRILLANTE S </t>
  </si>
  <si>
    <t>ZRB008</t>
  </si>
  <si>
    <t xml:space="preserve">CASCO REBATIBLE HAWK RS5X HUNTER GRIS BRILLANTE XL </t>
  </si>
  <si>
    <t>ZRB009</t>
  </si>
  <si>
    <t xml:space="preserve">CASCO REBATIBLE HAWK RS5X VERTEX ROSA BRILLANTE L </t>
  </si>
  <si>
    <t>ZRB010</t>
  </si>
  <si>
    <t xml:space="preserve">CASCO REBATIBLE HAWK RS5X VERTEX ROSA BRILLANTE M </t>
  </si>
  <si>
    <t>ZRB011</t>
  </si>
  <si>
    <t xml:space="preserve">CASCO REBATIBLE HAWK RS5X VERTEX ROSA BRILLANTE S </t>
  </si>
  <si>
    <t>ZRB012</t>
  </si>
  <si>
    <t xml:space="preserve">CASCO REBATIBLE HAWK RS5X VERTEX ROSA BRILLANTE XL </t>
  </si>
  <si>
    <t>ZRM001</t>
  </si>
  <si>
    <t xml:space="preserve">CASCO REBATIBLE HAWK RS5X CARBON LOOK NEGRO MATE L </t>
  </si>
  <si>
    <t>ZRM002</t>
  </si>
  <si>
    <t xml:space="preserve">CASCO REBATIBLE HAWK RS5X CARBON LOOK NEGRO MATE M </t>
  </si>
  <si>
    <t>ZRM003</t>
  </si>
  <si>
    <t xml:space="preserve">CASCO REBATIBLE HAWK RS5X CARBON LOOK NEGRO MATE S </t>
  </si>
  <si>
    <t>ZRM004</t>
  </si>
  <si>
    <t xml:space="preserve">CASCO REBATIBLE HAWK RS5X CARBON LOOK NEGRO MATE XL </t>
  </si>
  <si>
    <t>ZAM001</t>
  </si>
  <si>
    <t xml:space="preserve">CASCO ABIERTO HAWK RS9X SOLID NEGRO MATE L </t>
  </si>
  <si>
    <t>ZAM002</t>
  </si>
  <si>
    <t xml:space="preserve">CASCO ABIERTO HAWK RS9X SOLID NEGRO MATE M </t>
  </si>
  <si>
    <t>ZAM003</t>
  </si>
  <si>
    <t xml:space="preserve">CASCO ABIERTO HAWK RS9X SOLID NEGRO MATE S </t>
  </si>
  <si>
    <t>ZAM004</t>
  </si>
  <si>
    <t xml:space="preserve">CASCO ABIERTO HAWK RS9X SOLID NEGRO MATE XL </t>
  </si>
  <si>
    <t>ZAB001</t>
  </si>
  <si>
    <t xml:space="preserve">CASCO ABIERTO HAWK RS9X SOLID ROSA BRILLANTE L </t>
  </si>
  <si>
    <t>ZAB002</t>
  </si>
  <si>
    <t xml:space="preserve">CASCO ABIERTO HAWK RS9X SOLID ROSA BRILLANTE M </t>
  </si>
  <si>
    <t>ZAB003</t>
  </si>
  <si>
    <t xml:space="preserve">CASCO ABIERTO HAWK RS9X SOLID ROSA BRILLANTE S </t>
  </si>
  <si>
    <t>ZAB004</t>
  </si>
  <si>
    <t xml:space="preserve">CASCO ABIERTO HAWK RS9X SOLID ROSA BRILLANTE XL </t>
  </si>
  <si>
    <t>ZAM005</t>
  </si>
  <si>
    <t xml:space="preserve">CASCO ABIERTO HAWK RS9X SOLID VERDE MILITAR MATE L </t>
  </si>
  <si>
    <t>ZAM006</t>
  </si>
  <si>
    <t xml:space="preserve">CASCO ABIERTO HAWK RS9X SOLID VERDE MILITAR MATE M </t>
  </si>
  <si>
    <t>ZAM007</t>
  </si>
  <si>
    <t xml:space="preserve">CASCO ABIERTO HAWK RS9X SOLID VERDE MILITAR MATE S </t>
  </si>
  <si>
    <t>ZAM008</t>
  </si>
  <si>
    <t xml:space="preserve">CASCO ABIERTO HAWK RS9X SOLID VERDE MILITAR MATE XL </t>
  </si>
  <si>
    <t>ZIB020</t>
  </si>
  <si>
    <t>CASCO HAWK INTEGRAL RS1X SOLID GRIS BRILLANTE XL</t>
  </si>
  <si>
    <t>Lista de precios Mercomax S.A. Pesos</t>
  </si>
  <si>
    <t>Accesorios</t>
  </si>
  <si>
    <t>Antiparras</t>
  </si>
  <si>
    <t>Baul</t>
  </si>
  <si>
    <t>Carga usb</t>
  </si>
  <si>
    <t>Corta cadenas</t>
  </si>
  <si>
    <t>Cubremotos</t>
  </si>
  <si>
    <t>Indumentaria</t>
  </si>
  <si>
    <t>Lingas y trabas de seguridad</t>
  </si>
  <si>
    <t>Repuestos de motor</t>
  </si>
  <si>
    <t>Cajas de cambio</t>
  </si>
  <si>
    <t>Repuestos generales</t>
  </si>
  <si>
    <t>Trabas y seguros</t>
  </si>
  <si>
    <t>Máscaras</t>
  </si>
  <si>
    <t>Sunchos</t>
  </si>
  <si>
    <t>Cascos abiertos</t>
  </si>
  <si>
    <t>cascos abiertos</t>
  </si>
  <si>
    <t>Cascos cross</t>
  </si>
  <si>
    <t>cascos cross</t>
  </si>
  <si>
    <t>Cascos integrales</t>
  </si>
  <si>
    <t>cascos rebatibles</t>
  </si>
  <si>
    <t>Cascos rebatibles</t>
  </si>
  <si>
    <t>Chasis</t>
  </si>
  <si>
    <t>Asientos</t>
  </si>
  <si>
    <t>Caballetes</t>
  </si>
  <si>
    <t>Cristos</t>
  </si>
  <si>
    <t>Cubetas</t>
  </si>
  <si>
    <t>Cubre cadenas</t>
  </si>
  <si>
    <t>Ejes de chasis</t>
  </si>
  <si>
    <t>Horquillones</t>
  </si>
  <si>
    <t>Manubrios</t>
  </si>
  <si>
    <t>Muletas</t>
  </si>
  <si>
    <t>Plásticos</t>
  </si>
  <si>
    <t>Tanques de aceite</t>
  </si>
  <si>
    <t>Tanques de nafta</t>
  </si>
  <si>
    <t>Tapas de inspeccion</t>
  </si>
  <si>
    <t>Tornillos y arandelas chasis</t>
  </si>
  <si>
    <t>Oportunidades</t>
  </si>
  <si>
    <t>Bujías</t>
  </si>
  <si>
    <t>Cables</t>
  </si>
  <si>
    <t>Carburación</t>
  </si>
  <si>
    <t>Filtros</t>
  </si>
  <si>
    <t>Juntas</t>
  </si>
  <si>
    <t>Pastillas de freno</t>
  </si>
  <si>
    <t>Zapatas de freno</t>
  </si>
  <si>
    <t>KIT REPARACION CASCOS</t>
  </si>
  <si>
    <t>VISERAS</t>
  </si>
  <si>
    <t>VISOR</t>
  </si>
  <si>
    <t>Repuestos de Motor</t>
  </si>
  <si>
    <t>Árboles de levas</t>
  </si>
  <si>
    <t>Balanceador</t>
  </si>
  <si>
    <t>Balancines</t>
  </si>
  <si>
    <t>Bendix</t>
  </si>
  <si>
    <t>Bielas</t>
  </si>
  <si>
    <t>Bombas de aceite</t>
  </si>
  <si>
    <t>Bulon</t>
  </si>
  <si>
    <t>Burro de arranque</t>
  </si>
  <si>
    <t>Cigüeñales</t>
  </si>
  <si>
    <t>Cilindros, pistones, aros</t>
  </si>
  <si>
    <t>Ejes de motor</t>
  </si>
  <si>
    <t>Embragues</t>
  </si>
  <si>
    <t>Engranajes de motor (Corona vs Engranaje)</t>
  </si>
  <si>
    <t>Escapes</t>
  </si>
  <si>
    <t>Esparrago</t>
  </si>
  <si>
    <t>Estator</t>
  </si>
  <si>
    <t>Guías de motor</t>
  </si>
  <si>
    <t>Patada de arranque</t>
  </si>
  <si>
    <t>Recuperador de gases (+manguera respiradero)</t>
  </si>
  <si>
    <t>Retenes de motor</t>
  </si>
  <si>
    <t>Sistema de distribución</t>
  </si>
  <si>
    <t>Tapas de cilindro</t>
  </si>
  <si>
    <t>Tapas de motor</t>
  </si>
  <si>
    <t>Tapon nivel aceite</t>
  </si>
  <si>
    <t>Tubos de admisión</t>
  </si>
  <si>
    <t>Valvulas Admision Escape</t>
  </si>
  <si>
    <t>Valvulas guias y repuestos</t>
  </si>
  <si>
    <t>Volantes magnéticos</t>
  </si>
  <si>
    <t>Repuestos Generales</t>
  </si>
  <si>
    <t>Arandelas</t>
  </si>
  <si>
    <t>Baul interno</t>
  </si>
  <si>
    <t>Bocinas</t>
  </si>
  <si>
    <t>Bulbos</t>
  </si>
  <si>
    <t>Caja filtro aire (clasificacion para tubos/codos)</t>
  </si>
  <si>
    <t>Canilla y pase</t>
  </si>
  <si>
    <t>Cerraduras</t>
  </si>
  <si>
    <t>Espejos</t>
  </si>
  <si>
    <t>Estira cadenas</t>
  </si>
  <si>
    <t>Evita Soldaduras</t>
  </si>
  <si>
    <t>Faros</t>
  </si>
  <si>
    <t>Gomas de apoyo</t>
  </si>
  <si>
    <t>Guanteras</t>
  </si>
  <si>
    <t>Guiños</t>
  </si>
  <si>
    <t xml:space="preserve">Manijas </t>
  </si>
  <si>
    <t>Ojo de gato</t>
  </si>
  <si>
    <t>Palancas de cambios</t>
  </si>
  <si>
    <t>Patines roza cadena</t>
  </si>
  <si>
    <t>Pedales de freno</t>
  </si>
  <si>
    <t>Pedalines</t>
  </si>
  <si>
    <t xml:space="preserve">Porta herramienta </t>
  </si>
  <si>
    <t>Punteras de manubrio</t>
  </si>
  <si>
    <t>Puños</t>
  </si>
  <si>
    <t>Silenciadores</t>
  </si>
  <si>
    <t>Soportes</t>
  </si>
  <si>
    <t>Tableros e Instrumentos</t>
  </si>
  <si>
    <t>Tapa de tanque de nafta</t>
  </si>
  <si>
    <t>Tornilleria</t>
  </si>
  <si>
    <t>Tornillos generales</t>
  </si>
  <si>
    <t>Traba asiento</t>
  </si>
  <si>
    <t>Tuercas</t>
  </si>
  <si>
    <t>Ruedas</t>
  </si>
  <si>
    <t xml:space="preserve">Bujes separadores </t>
  </si>
  <si>
    <t>Cámaras</t>
  </si>
  <si>
    <t>Cubiertas</t>
  </si>
  <si>
    <t>Ejes de ruedas</t>
  </si>
  <si>
    <t>Gomas de maza</t>
  </si>
  <si>
    <t>Llantas</t>
  </si>
  <si>
    <t>Maza</t>
  </si>
  <si>
    <t>Porta corona</t>
  </si>
  <si>
    <t>Porta Corona</t>
  </si>
  <si>
    <t>Porta zapatas</t>
  </si>
  <si>
    <t>Reenvío velocímetro</t>
  </si>
  <si>
    <t>Seguros piñon y corona (todos)</t>
  </si>
  <si>
    <t>Silent block</t>
  </si>
  <si>
    <t>Tapas de valvulas (tuning)</t>
  </si>
  <si>
    <t>Sistema de frenos</t>
  </si>
  <si>
    <t>Bombas de freno</t>
  </si>
  <si>
    <t>Brazos de freno</t>
  </si>
  <si>
    <t>Calipers</t>
  </si>
  <si>
    <t>Discos de freno</t>
  </si>
  <si>
    <t>Flexibles de freno</t>
  </si>
  <si>
    <t>Kits reparación de freno</t>
  </si>
  <si>
    <t>Levas de freno</t>
  </si>
  <si>
    <t>Resortes de freno</t>
  </si>
  <si>
    <t>Varillas de freno</t>
  </si>
  <si>
    <t>Sistema de inyección</t>
  </si>
  <si>
    <t>Bomba de nafta</t>
  </si>
  <si>
    <t>Cuerpo mariposa</t>
  </si>
  <si>
    <t>Inyector</t>
  </si>
  <si>
    <t xml:space="preserve">Relenti </t>
  </si>
  <si>
    <t>Sensores (de temperatura y TPS)</t>
  </si>
  <si>
    <t>Sistema de transmisión</t>
  </si>
  <si>
    <t>Cadenas de transmisión</t>
  </si>
  <si>
    <t>Correas</t>
  </si>
  <si>
    <t>Piñon y Corona</t>
  </si>
  <si>
    <t>Uniones de cadena</t>
  </si>
  <si>
    <t>Sistema eléctrico</t>
  </si>
  <si>
    <t>Baterías</t>
  </si>
  <si>
    <t>Bobinas ignición</t>
  </si>
  <si>
    <t>Capuchon de Bujia</t>
  </si>
  <si>
    <t>Comandos eléctricos</t>
  </si>
  <si>
    <t>Flotantes</t>
  </si>
  <si>
    <t>Instalaciones electricas</t>
  </si>
  <si>
    <t>Interruptores eléctricos</t>
  </si>
  <si>
    <t>Llaves de contacto</t>
  </si>
  <si>
    <t>Porta lampara</t>
  </si>
  <si>
    <t>Rectificadores</t>
  </si>
  <si>
    <t>Relays</t>
  </si>
  <si>
    <t>Sensores eléctricos</t>
  </si>
  <si>
    <t>Suspensión</t>
  </si>
  <si>
    <t>Amortiguadores</t>
  </si>
  <si>
    <t>Extensor</t>
  </si>
  <si>
    <t>Horquillas invertidas</t>
  </si>
  <si>
    <t>Piernas y barrales</t>
  </si>
  <si>
    <t>Retenes de suspensión</t>
  </si>
  <si>
    <t>Marca</t>
  </si>
  <si>
    <t>ATHENA</t>
  </si>
  <si>
    <t>ATOMIC NEW</t>
  </si>
  <si>
    <t>BBR</t>
  </si>
  <si>
    <t>CATIIMOTO</t>
  </si>
  <si>
    <t>CHOHO</t>
  </si>
  <si>
    <t>CNK</t>
  </si>
  <si>
    <t>DYNAVOLT</t>
  </si>
  <si>
    <t>EBC</t>
  </si>
  <si>
    <t>FMF</t>
  </si>
  <si>
    <t>HALCON</t>
  </si>
  <si>
    <t>HAWK</t>
  </si>
  <si>
    <t>Nitro</t>
  </si>
  <si>
    <t>PROTER</t>
  </si>
  <si>
    <t>R77</t>
  </si>
  <si>
    <t>ROCKWELL</t>
  </si>
  <si>
    <t>SCHERER</t>
  </si>
  <si>
    <t>SUNGO</t>
  </si>
  <si>
    <t>TANAKA</t>
  </si>
  <si>
    <t>TONYON</t>
  </si>
  <si>
    <t>TOWO</t>
  </si>
  <si>
    <t>TOYO</t>
  </si>
  <si>
    <t>VCAN</t>
  </si>
  <si>
    <t>YuanXing</t>
  </si>
  <si>
    <t>¡Nuevo!</t>
  </si>
  <si>
    <t>SIVERST</t>
  </si>
  <si>
    <t>PRECIO MINIMO DE VENTA</t>
  </si>
  <si>
    <t>CANTIDAD PEDIDA</t>
  </si>
  <si>
    <t>DESCRIPCION DE PRODUCTO</t>
  </si>
  <si>
    <t>U</t>
  </si>
  <si>
    <t>PAIR</t>
  </si>
  <si>
    <t>HS001</t>
  </si>
  <si>
    <t>HS002</t>
  </si>
  <si>
    <t>HS003</t>
  </si>
  <si>
    <t>HS004</t>
  </si>
  <si>
    <t>HS005</t>
  </si>
  <si>
    <t>HS006</t>
  </si>
  <si>
    <t>HS007</t>
  </si>
  <si>
    <t>HX010</t>
  </si>
  <si>
    <t>HX011</t>
  </si>
  <si>
    <t>WY02</t>
  </si>
  <si>
    <t>GA005</t>
  </si>
  <si>
    <t>CHL14</t>
  </si>
  <si>
    <t>LAD14</t>
  </si>
  <si>
    <t>LCD008</t>
  </si>
  <si>
    <t>CHP12</t>
  </si>
  <si>
    <t>LLANTA CROMADA NITRO 140x21 DEL: ML SKUA 150 / CV TRIAX 150 / KELLER MIRAGE 150 (x1)</t>
  </si>
  <si>
    <t>TABLERO HD GLH150 GAUCHA (x1)</t>
  </si>
  <si>
    <t>GOMA PEDALIN TRASERO CATIIMOTO HD WAVE (x2)</t>
  </si>
  <si>
    <t>CADENA TRANSMISION CHOHO 530 x 118 EX STAR RING DORADA. (x1/x15)</t>
  </si>
  <si>
    <t>CADENA TRANSMISION CHOHO 525 x 118 EX STAR RING DORADA (x1/x15)</t>
  </si>
  <si>
    <t>CADENA TRANSMISION CHOHO 525 x 124 EX STAR RING DORADA (x1/x15)</t>
  </si>
  <si>
    <t>CADENA TRANSMISION CHOHO 525 x 118 SX2 STAR RING DORADA (x1/x15)</t>
  </si>
  <si>
    <t>CADENA TRANSMISION CHOHO 525 x 124 SX2 STAR RING DORADA. (x1/x15)</t>
  </si>
  <si>
    <t>CADENA TRANSMISION CHOHO 520 x 118 SX2 STAR RING DORADA. (x1/x15)</t>
  </si>
  <si>
    <t>CADENA TRANSMISION CHOHO 520 x 110 SX2 STAR RING DORADA (x1/x15)</t>
  </si>
  <si>
    <t>CADENA TRANSMISION CHOHO 520 x 118 X3 X-RING DORADA. (x1/x15)</t>
  </si>
  <si>
    <t>CADENA TRANSMISION CHOHO 520 x 110 X3 X-RING DORADA (x1/x15)</t>
  </si>
  <si>
    <t>LLANTA DE ALEACION ZN PATAGONIA EAGLE 150 (1.60 x 18) (x1)</t>
  </si>
  <si>
    <t>LLANTA COMPLETA DELANTERA MAZA NEGRA GL SMASH 110 / GU TRIP 110 / ML BLITZ 110 / ZN ZB 110 / CV ENERGY 110(1.40x17) (x1)</t>
  </si>
  <si>
    <t>DELANTERA</t>
  </si>
  <si>
    <t>C</t>
  </si>
  <si>
    <t xml:space="preserve">ACRILICO FAROL TRASERO YH YBR125 </t>
  </si>
  <si>
    <t>u</t>
  </si>
  <si>
    <t>Categoría</t>
  </si>
  <si>
    <t>Subcategoría</t>
  </si>
  <si>
    <t>Embalaje</t>
  </si>
  <si>
    <t>Unidades por embalaje (minimo de compra)</t>
  </si>
  <si>
    <t>COMPRA MINIMA. PRODUCTOS POR ENVASE.</t>
  </si>
  <si>
    <t>HX008</t>
  </si>
  <si>
    <t>CADENA TRANSMISION CHOHO 525 x 118 X2 X-RING DORADA (x1/x15)</t>
  </si>
  <si>
    <t>HX009</t>
  </si>
  <si>
    <t>CADENA TRANSMISION CHOHO 525 x 124 X2 X-RING DORADA (x1/x15)</t>
  </si>
  <si>
    <t>HKC008</t>
  </si>
  <si>
    <t>KIT PIÑON CORONA CADENA CHOHO SZ AX100 14T/42T  428Hx120L (x1)</t>
  </si>
  <si>
    <t>HKC012</t>
  </si>
  <si>
    <t>KIT PIÑON CORONA CADENA CHOHO YH CRYPTON T105 15T/37T 428Hx100L (x1)</t>
  </si>
  <si>
    <t>HKC015</t>
  </si>
  <si>
    <t>KIT PIÑON CORONA CADENA CHOHO HD WAVE 14T/36T 428Hx110L (x1)</t>
  </si>
  <si>
    <t>HKC016</t>
  </si>
  <si>
    <t>KIT PIÑON CORONA CADENA CHOHO GU TRIP 110 / GL SMASH 110 / ML BLITZ 110 14T/36T 428H-110L (x1)</t>
  </si>
  <si>
    <t>HKC017</t>
  </si>
  <si>
    <t>KIT PIÑON CORONA CADENA CHOHO GU TRIP 110 / GL SMASH 110 / ML BLITZ 110 15T/36T  428H-112L (x1)</t>
  </si>
  <si>
    <t>HKC018</t>
  </si>
  <si>
    <t>KIT PIÑON CORONA CADENA CHOHO HD C100 BIZ 15T/35T 428Hx108L (x1)</t>
  </si>
  <si>
    <t>HKC020</t>
  </si>
  <si>
    <t>KIT PIÑON CORONA CADENA CHOHO HD NXR 125 BROSS 17T/54T 428Hx132L (x1)</t>
  </si>
  <si>
    <t>HKC022</t>
  </si>
  <si>
    <t>KIT PIÑON CORONA CADENA CHOHO YH YBR125 14T/43T (LARGA) 428Hx118L (x1)</t>
  </si>
  <si>
    <t>HKC025</t>
  </si>
  <si>
    <t>KIT TRANSMISION PIÑON Y CORONA CHOHO HD CG 150 TITAN 428H-118L (x1)</t>
  </si>
  <si>
    <t>HKC037</t>
  </si>
  <si>
    <t>KIT PIÑON Y CORONA CHOHO ZN RX150/ CG 150/ ML S2/ GL VC150/ MONDIAL RD150/CORVEN 150 15/38  (MAZA) (x1)</t>
  </si>
  <si>
    <t>HKC038</t>
  </si>
  <si>
    <t>KIT PIÑON CORONA CADENA CHOHO HD STORM 125 15T/40T 428Hx118L (x1)</t>
  </si>
  <si>
    <t>HKC039</t>
  </si>
  <si>
    <t>KIT PIÑON CORONA CADENA CHOHO HD XR250 TORNADO 13T/38T 520H-104L (x1)</t>
  </si>
  <si>
    <t>HKC040</t>
  </si>
  <si>
    <t>KIT PIÑON CORONA CADENA CHOHO YH XTZ125 14T/48T 428Hx122L (x1)</t>
  </si>
  <si>
    <t>HKC043</t>
  </si>
  <si>
    <t>KIT PIÑON CORONA CADENA CHOHO BJ ROUSER 135 14T/42T (LARGA) 428Hx130L (x1)</t>
  </si>
  <si>
    <t>HKC048</t>
  </si>
  <si>
    <t>KIT PIÑON CORONA CADENA CHOHO BJ ROUSER NS 125 14/43 428H-126L (x1)</t>
  </si>
  <si>
    <t>HKC051</t>
  </si>
  <si>
    <t>KIT PIÑON CORONA CADENA CHOHO BJ BOXER BM 150 14/42  428H-124L (x1)</t>
  </si>
  <si>
    <t>HKC073</t>
  </si>
  <si>
    <t>KIT PIÑONCORONA CADENACHOHOHDWAVE110 S13/37428-114L (x1)</t>
  </si>
  <si>
    <t>HKC074</t>
  </si>
  <si>
    <t>KIT PIÑON CORONA CADENA CHOHO HD XR 150 L / 150 L 17/49 428H-132L (x1)</t>
  </si>
  <si>
    <t>HKC075</t>
  </si>
  <si>
    <t>KIT PIÑON CORONA CADENA CHOHO HD GLH 150 GAUCHA 16/46 428H-120L (x1)</t>
  </si>
  <si>
    <t>HKC078</t>
  </si>
  <si>
    <t>KIT PIÑON CORONA CADENA CHOHO HD XR 190L 16/48 428H-132L (x1)</t>
  </si>
  <si>
    <t>HKC106</t>
  </si>
  <si>
    <t>KIT PIÑON CORONA CADENA CHOHO YH NEW CRYPTON T 110 15/35 428H-98L (x1)</t>
  </si>
  <si>
    <t>HKC110</t>
  </si>
  <si>
    <t>KIT PIÑON CORONA CADENA CHOHO YH YBR 125 Z 14/45 428-126L (x1)</t>
  </si>
  <si>
    <t>HKC116</t>
  </si>
  <si>
    <t>KIT PIÑON CORONA CADENA CHOHO ZN RX150/ CG 150/ ML S2/ GL VC150/ MONDIAL RD150/CORVEN 150 - 15/38 428Hx118L (PORTA CORON</t>
  </si>
  <si>
    <t>VHJ001</t>
  </si>
  <si>
    <t>VRX01001</t>
  </si>
  <si>
    <t>VRX01006</t>
  </si>
  <si>
    <t>VRX01007</t>
  </si>
  <si>
    <t>VRX01008</t>
  </si>
  <si>
    <t>VRX01009</t>
  </si>
  <si>
    <t>VRX11001</t>
  </si>
  <si>
    <t>VRX11002</t>
  </si>
  <si>
    <t>VISOR RS11X BLACK MIRROR HAWK (x1)</t>
  </si>
  <si>
    <t>VRX11003</t>
  </si>
  <si>
    <t>VISOR RS11X TORNASOL HAWK (x1)</t>
  </si>
  <si>
    <t>VRX11004</t>
  </si>
  <si>
    <t>VRX11005</t>
  </si>
  <si>
    <t>VRX5001</t>
  </si>
  <si>
    <t>VISOR RS5X TRANSPARENTE HAWK (x1)</t>
  </si>
  <si>
    <t>VRX5002</t>
  </si>
  <si>
    <t>VISOR RS5X BLACK MIRROR HAWK (x1)</t>
  </si>
  <si>
    <t>VRX5003</t>
  </si>
  <si>
    <t>VISOR RS5X TORNASOL HAWK (x1)</t>
  </si>
  <si>
    <t>VRX5004</t>
  </si>
  <si>
    <t>VISOR RS5X FUME CLARO HAWK (x1)</t>
  </si>
  <si>
    <t>VRX5005</t>
  </si>
  <si>
    <t>VISOR RS5X FUME OSCURO HAWK (x1)</t>
  </si>
  <si>
    <t>VRX9001</t>
  </si>
  <si>
    <t>VRX9002</t>
  </si>
  <si>
    <t>Fecha vigencia 10-04-2026 - Cotizacion: $ 1430</t>
  </si>
  <si>
    <t>Kit piñon y corona</t>
  </si>
  <si>
    <t>Kit piñón, corona y cadena</t>
  </si>
  <si>
    <t>Cascos</t>
  </si>
  <si>
    <t>Repuestos cascos</t>
  </si>
  <si>
    <t>HAWK RSX</t>
  </si>
  <si>
    <t>CASCO CROSS HAWK RS7 GRIS/BLANCO M (58 CM) (x1/x4/x6)</t>
  </si>
  <si>
    <t>CASCO CROSS HAWK RS7 GRIS/BLANCO S (56 CM) (x1/x4/x6)</t>
  </si>
  <si>
    <t>CASCO ABIERTO HAWK RS9 BLANCO MATE XL-(62cm) (x1/x4)</t>
  </si>
  <si>
    <t>VISOR JUNIOR XHAWK CRISTAL (x1)</t>
  </si>
  <si>
    <t>VISOR RS1X HAWK CRISTAL (x1)</t>
  </si>
  <si>
    <t>VISOR RS1X BLACK MIRROR HAWK (x1)</t>
  </si>
  <si>
    <t>VISOR RS1X TORNASOL HAWK (x1)</t>
  </si>
  <si>
    <t>VISOR RS1X FUME CLARO HAWK (x1)</t>
  </si>
  <si>
    <t>VISOR RS1X FUMEO SCURO HAWK (x1)</t>
  </si>
  <si>
    <t>VISOR RS11X HAWK CRISTAL (x1)</t>
  </si>
  <si>
    <t>VISOR RS11X FUME CLARO HAWK (x1)</t>
  </si>
  <si>
    <t>VISOR RS11X FUME OSCURO HAWK (x1)</t>
  </si>
  <si>
    <t>VISOR RS9X TRANSPARENTE HAWK (x1)</t>
  </si>
  <si>
    <t>VISOR RS9X FUME CLARO HAWK (x1)</t>
  </si>
  <si>
    <t>Lista de precios ARS (unitario)2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</si>
</sst>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.00;[Red]\-&quot;$&quot;#,##0.00"/>
    <numFmt numFmtId="165" formatCode="_-&quot;$&quot;* #,##0.00_-;\-&quot;$&quot;* #,##0.00_-;_-&quot;$&quot;* &quot;-&quot;??_-;_-@_-"/>
    <numFmt numFmtId="166" formatCode="_ * #,##0.00_ ;_ * \-#,##0.00_ ;_ * &quot;-&quot;??_ ;_ @_ "/>
    <numFmt numFmtId="167" formatCode="0.0"/>
    <numFmt numFmtId="168" formatCode="#,##0.00;[Red]#,##0.00"/>
    <numFmt numFmtId="169" formatCode="&quot;$&quot;\ #,##0.00"/>
    <numFmt numFmtId="170" formatCode="0.0000000"/>
    <numFmt numFmtId="171" formatCode="_-&quot;$&quot;* #,##0_-;\-&quot;$&quot;* #,##0_-;_-&quot;$&quot;* &quot;-&quot;??_-;_-@_-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.5"/>
      <name val="Arial"/>
      <family val="2"/>
    </font>
    <font>
      <sz val="8"/>
      <name val="Arial"/>
      <family val="2"/>
    </font>
    <font>
      <sz val="12"/>
      <name val="宋体"/>
      <charset val="134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9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24"/>
      <color theme="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2">
    <xf numFmtId="0" fontId="0" fillId="0" borderId="0"/>
    <xf numFmtId="165" fontId="14" fillId="0" borderId="0" applyFont="0" applyFill="0" applyBorder="0" applyAlignment="0" applyProtection="0"/>
    <xf numFmtId="0" fontId="10" fillId="0" borderId="0">
      <alignment vertical="center"/>
    </xf>
    <xf numFmtId="0" fontId="18" fillId="0" borderId="0"/>
    <xf numFmtId="0" fontId="17" fillId="0" borderId="0"/>
    <xf numFmtId="0" fontId="16" fillId="0" borderId="0"/>
    <xf numFmtId="0" fontId="6" fillId="0" borderId="0"/>
    <xf numFmtId="0" fontId="5" fillId="0" borderId="0"/>
    <xf numFmtId="0" fontId="6" fillId="0" borderId="0"/>
    <xf numFmtId="0" fontId="4" fillId="0" borderId="0"/>
    <xf numFmtId="0" fontId="21" fillId="0" borderId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13" borderId="0" applyNumberFormat="0" applyBorder="0" applyAlignment="0" applyProtection="0"/>
    <xf numFmtId="0" fontId="25" fillId="25" borderId="10" applyNumberFormat="0" applyAlignment="0" applyProtection="0"/>
    <xf numFmtId="0" fontId="26" fillId="26" borderId="11" applyNumberFormat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30" borderId="0" applyNumberFormat="0" applyBorder="0" applyAlignment="0" applyProtection="0"/>
    <xf numFmtId="0" fontId="29" fillId="16" borderId="10" applyNumberFormat="0" applyAlignment="0" applyProtection="0"/>
    <xf numFmtId="0" fontId="30" fillId="12" borderId="0" applyNumberFormat="0" applyBorder="0" applyAlignment="0" applyProtection="0"/>
    <xf numFmtId="166" fontId="21" fillId="0" borderId="0" applyFont="0" applyFill="0" applyBorder="0" applyAlignment="0" applyProtection="0"/>
    <xf numFmtId="0" fontId="31" fillId="3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21" fillId="32" borderId="13" applyNumberFormat="0" applyFont="0" applyAlignment="0" applyProtection="0"/>
    <xf numFmtId="9" fontId="21" fillId="0" borderId="0" applyFont="0" applyFill="0" applyBorder="0" applyAlignment="0" applyProtection="0"/>
    <xf numFmtId="0" fontId="32" fillId="25" borderId="14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28" fillId="0" borderId="17" applyNumberFormat="0" applyFill="0" applyAlignment="0" applyProtection="0"/>
    <xf numFmtId="0" fontId="38" fillId="0" borderId="18" applyNumberFormat="0" applyFill="0" applyAlignment="0" applyProtection="0"/>
    <xf numFmtId="0" fontId="16" fillId="0" borderId="0"/>
    <xf numFmtId="0" fontId="16" fillId="0" borderId="0"/>
    <xf numFmtId="0" fontId="3" fillId="0" borderId="0"/>
    <xf numFmtId="0" fontId="2" fillId="0" borderId="0"/>
    <xf numFmtId="165" fontId="43" fillId="8" borderId="9" applyFont="0" applyFill="0" applyBorder="0" applyAlignment="0" applyProtection="0">
      <alignment horizontal="center" wrapText="1"/>
    </xf>
  </cellStyleXfs>
  <cellXfs count="80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167" fontId="7" fillId="0" borderId="0" xfId="0" applyNumberFormat="1" applyFont="1"/>
    <xf numFmtId="2" fontId="7" fillId="0" borderId="0" xfId="0" applyNumberFormat="1" applyFont="1" applyAlignment="1">
      <alignment horizontal="right"/>
    </xf>
    <xf numFmtId="2" fontId="11" fillId="0" borderId="0" xfId="0" applyNumberFormat="1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3" fillId="0" borderId="0" xfId="0" applyFont="1"/>
    <xf numFmtId="168" fontId="11" fillId="0" borderId="0" xfId="0" applyNumberFormat="1" applyFont="1" applyAlignment="1">
      <alignment horizontal="center"/>
    </xf>
    <xf numFmtId="0" fontId="7" fillId="0" borderId="0" xfId="0" applyFont="1" applyAlignment="1">
      <alignment horizontal="left" indent="1"/>
    </xf>
    <xf numFmtId="0" fontId="8" fillId="2" borderId="1" xfId="0" applyFont="1" applyFill="1" applyBorder="1" applyAlignment="1">
      <alignment horizontal="left" indent="1"/>
    </xf>
    <xf numFmtId="0" fontId="7" fillId="0" borderId="1" xfId="0" applyFont="1" applyBorder="1" applyAlignment="1">
      <alignment horizontal="left" indent="1"/>
    </xf>
    <xf numFmtId="2" fontId="7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indent="1"/>
    </xf>
    <xf numFmtId="2" fontId="7" fillId="3" borderId="1" xfId="0" applyNumberFormat="1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left" indent="1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44" fillId="0" borderId="0" xfId="0" applyFont="1"/>
    <xf numFmtId="0" fontId="42" fillId="0" borderId="0" xfId="0" applyFont="1" applyAlignment="1">
      <alignment vertical="center" wrapText="1"/>
    </xf>
    <xf numFmtId="165" fontId="41" fillId="0" borderId="0" xfId="1" applyFont="1" applyFill="1" applyBorder="1" applyAlignment="1">
      <alignment vertical="center"/>
    </xf>
    <xf numFmtId="0" fontId="45" fillId="33" borderId="1" xfId="4" applyFont="1" applyFill="1" applyBorder="1" applyAlignment="1">
      <alignment horizontal="center" vertical="center" wrapText="1"/>
    </xf>
    <xf numFmtId="0" fontId="44" fillId="0" borderId="1" xfId="0" applyFont="1" applyBorder="1" applyAlignment="1">
      <alignment vertical="center"/>
    </xf>
    <xf numFmtId="169" fontId="44" fillId="0" borderId="1" xfId="0" applyNumberFormat="1" applyFont="1" applyBorder="1" applyAlignment="1">
      <alignment vertical="center"/>
    </xf>
    <xf numFmtId="0" fontId="44" fillId="5" borderId="1" xfId="0" applyFont="1" applyFill="1" applyBorder="1" applyAlignment="1">
      <alignment vertical="center"/>
    </xf>
    <xf numFmtId="169" fontId="44" fillId="0" borderId="1" xfId="0" applyNumberFormat="1" applyFont="1" applyBorder="1"/>
    <xf numFmtId="0" fontId="44" fillId="0" borderId="0" xfId="0" applyFont="1" applyAlignment="1">
      <alignment vertical="top"/>
    </xf>
    <xf numFmtId="169" fontId="44" fillId="0" borderId="0" xfId="0" applyNumberFormat="1" applyFont="1" applyAlignment="1">
      <alignment vertical="top"/>
    </xf>
    <xf numFmtId="169" fontId="44" fillId="0" borderId="0" xfId="0" applyNumberFormat="1" applyFont="1"/>
    <xf numFmtId="170" fontId="44" fillId="0" borderId="0" xfId="0" applyNumberFormat="1" applyFont="1"/>
    <xf numFmtId="1" fontId="39" fillId="0" borderId="1" xfId="0" applyNumberFormat="1" applyFont="1" applyBorder="1" applyAlignment="1">
      <alignment horizontal="center" vertical="center" wrapText="1"/>
    </xf>
    <xf numFmtId="1" fontId="48" fillId="34" borderId="1" xfId="0" applyNumberFormat="1" applyFont="1" applyFill="1" applyBorder="1" applyAlignment="1">
      <alignment horizontal="center" vertical="center" wrapText="1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0" fontId="48" fillId="34" borderId="1" xfId="46" applyFont="1" applyFill="1" applyBorder="1" applyAlignment="1">
      <alignment horizontal="center" vertical="center" wrapText="1"/>
    </xf>
    <xf numFmtId="1" fontId="48" fillId="34" borderId="19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39" fillId="0" borderId="1" xfId="46" applyFont="1" applyBorder="1" applyAlignment="1">
      <alignment horizontal="center" vertical="center" wrapText="1"/>
    </xf>
    <xf numFmtId="0" fontId="39" fillId="0" borderId="1" xfId="46" applyFont="1" applyBorder="1" applyAlignment="1">
      <alignment horizontal="left" vertical="center" wrapText="1"/>
    </xf>
    <xf numFmtId="0" fontId="1" fillId="35" borderId="1" xfId="0" applyFont="1" applyFill="1" applyBorder="1" applyAlignment="1">
      <alignment horizontal="left" vertical="center" wrapText="1"/>
    </xf>
    <xf numFmtId="0" fontId="52" fillId="0" borderId="1" xfId="46" applyFont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53" fillId="0" borderId="1" xfId="0" applyFont="1" applyBorder="1" applyAlignment="1">
      <alignment horizontal="center" vertical="center"/>
    </xf>
    <xf numFmtId="164" fontId="47" fillId="0" borderId="1" xfId="0" applyNumberFormat="1" applyFont="1" applyBorder="1" applyAlignment="1">
      <alignment horizontal="center" vertical="center"/>
    </xf>
    <xf numFmtId="169" fontId="43" fillId="6" borderId="1" xfId="0" applyNumberFormat="1" applyFont="1" applyFill="1" applyBorder="1" applyAlignment="1">
      <alignment horizontal="center" vertical="center"/>
    </xf>
    <xf numFmtId="0" fontId="54" fillId="34" borderId="1" xfId="0" applyFont="1" applyFill="1" applyBorder="1" applyAlignment="1">
      <alignment horizontal="center" vertical="center"/>
    </xf>
    <xf numFmtId="0" fontId="54" fillId="34" borderId="1" xfId="0" applyFont="1" applyFill="1" applyBorder="1" applyAlignment="1">
      <alignment horizontal="center" vertical="center" wrapText="1"/>
    </xf>
    <xf numFmtId="169" fontId="54" fillId="34" borderId="1" xfId="0" applyNumberFormat="1" applyFont="1" applyFill="1" applyBorder="1" applyAlignment="1">
      <alignment horizontal="center" vertical="center"/>
    </xf>
    <xf numFmtId="0" fontId="55" fillId="36" borderId="1" xfId="0" applyFont="1" applyFill="1" applyBorder="1" applyAlignment="1">
      <alignment horizontal="center" vertical="center" wrapText="1"/>
    </xf>
    <xf numFmtId="169" fontId="54" fillId="34" borderId="1" xfId="0" applyNumberFormat="1" applyFont="1" applyFill="1" applyBorder="1" applyAlignment="1">
      <alignment horizontal="center" vertical="center" wrapText="1"/>
    </xf>
    <xf numFmtId="165" fontId="39" fillId="0" borderId="1" xfId="1" applyFont="1" applyFill="1" applyBorder="1" applyAlignment="1">
      <alignment horizontal="center" vertical="center"/>
    </xf>
    <xf numFmtId="0" fontId="39" fillId="0" borderId="20" xfId="46" applyFont="1" applyBorder="1" applyAlignment="1">
      <alignment horizontal="center" vertical="center" wrapText="1"/>
    </xf>
    <xf numFmtId="1" fontId="39" fillId="0" borderId="20" xfId="0" applyNumberFormat="1" applyFont="1" applyBorder="1" applyAlignment="1">
      <alignment horizontal="center" vertical="center" wrapText="1"/>
    </xf>
    <xf numFmtId="165" fontId="39" fillId="0" borderId="1" xfId="0" applyNumberFormat="1" applyFont="1" applyBorder="1" applyAlignment="1">
      <alignment horizontal="center" vertical="center" wrapText="1"/>
    </xf>
    <xf numFmtId="0" fontId="39" fillId="0" borderId="20" xfId="46" applyFont="1" applyBorder="1" applyAlignment="1">
      <alignment horizontal="left" vertical="center" wrapText="1"/>
    </xf>
    <xf numFmtId="0" fontId="1" fillId="35" borderId="1" xfId="0" applyFont="1" applyFill="1" applyBorder="1" applyAlignment="1">
      <alignment horizontal="center" vertical="center" wrapText="1"/>
    </xf>
    <xf numFmtId="171" fontId="39" fillId="0" borderId="1" xfId="1" applyNumberFormat="1" applyFont="1" applyFill="1" applyBorder="1" applyAlignment="1">
      <alignment vertical="center"/>
    </xf>
    <xf numFmtId="171" fontId="39" fillId="0" borderId="1" xfId="1" applyNumberFormat="1" applyFont="1" applyFill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0" fillId="9" borderId="6" xfId="0" applyFont="1" applyFill="1" applyBorder="1" applyAlignment="1">
      <alignment horizontal="center"/>
    </xf>
    <xf numFmtId="0" fontId="20" fillId="9" borderId="0" xfId="0" applyFont="1" applyFill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9" fillId="10" borderId="6" xfId="0" applyFont="1" applyFill="1" applyBorder="1" applyAlignment="1">
      <alignment horizontal="center" wrapText="1"/>
    </xf>
    <xf numFmtId="0" fontId="49" fillId="34" borderId="1" xfId="0" applyFont="1" applyFill="1" applyBorder="1" applyAlignment="1">
      <alignment horizontal="center"/>
    </xf>
    <xf numFmtId="0" fontId="42" fillId="7" borderId="1" xfId="0" applyFont="1" applyFill="1" applyBorder="1" applyAlignment="1">
      <alignment horizontal="center" vertical="center" wrapText="1"/>
    </xf>
    <xf numFmtId="169" fontId="46" fillId="0" borderId="3" xfId="1" applyNumberFormat="1" applyFont="1" applyBorder="1" applyAlignment="1">
      <alignment horizontal="center" vertical="center"/>
    </xf>
    <xf numFmtId="165" fontId="46" fillId="0" borderId="7" xfId="1" applyFont="1" applyBorder="1" applyAlignment="1">
      <alignment horizontal="center" vertical="center"/>
    </xf>
    <xf numFmtId="165" fontId="46" fillId="0" borderId="8" xfId="1" applyFont="1" applyBorder="1" applyAlignment="1">
      <alignment horizontal="center" vertical="center"/>
    </xf>
    <xf numFmtId="165" fontId="46" fillId="0" borderId="9" xfId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 wrapText="1"/>
    </xf>
  </cellXfs>
  <cellStyles count="62">
    <cellStyle name="20% - Énfasis1 2" xfId="11" xr:uid="{00000000-0005-0000-0000-000000000000}"/>
    <cellStyle name="20% - Énfasis2 2" xfId="12" xr:uid="{00000000-0005-0000-0000-000001000000}"/>
    <cellStyle name="20% - Énfasis3 2" xfId="13" xr:uid="{00000000-0005-0000-0000-000002000000}"/>
    <cellStyle name="20% - Énfasis4 2" xfId="14" xr:uid="{00000000-0005-0000-0000-000003000000}"/>
    <cellStyle name="20% - Énfasis5 2" xfId="15" xr:uid="{00000000-0005-0000-0000-000004000000}"/>
    <cellStyle name="20% - Énfasis6 2" xfId="16" xr:uid="{00000000-0005-0000-0000-000005000000}"/>
    <cellStyle name="40% - Énfasis1 2" xfId="17" xr:uid="{00000000-0005-0000-0000-000006000000}"/>
    <cellStyle name="40% - Énfasis2 2" xfId="18" xr:uid="{00000000-0005-0000-0000-000007000000}"/>
    <cellStyle name="40% - Énfasis3 2" xfId="19" xr:uid="{00000000-0005-0000-0000-000008000000}"/>
    <cellStyle name="40% - Énfasis4 2" xfId="20" xr:uid="{00000000-0005-0000-0000-000009000000}"/>
    <cellStyle name="40% - Énfasis5 2" xfId="21" xr:uid="{00000000-0005-0000-0000-00000A000000}"/>
    <cellStyle name="40% - Énfasis6 2" xfId="22" xr:uid="{00000000-0005-0000-0000-00000B000000}"/>
    <cellStyle name="60% - Énfasis1 2" xfId="23" xr:uid="{00000000-0005-0000-0000-00000C000000}"/>
    <cellStyle name="60% - Énfasis2 2" xfId="24" xr:uid="{00000000-0005-0000-0000-00000D000000}"/>
    <cellStyle name="60% - Énfasis3 2" xfId="25" xr:uid="{00000000-0005-0000-0000-00000E000000}"/>
    <cellStyle name="60% - Énfasis4 2" xfId="26" xr:uid="{00000000-0005-0000-0000-00000F000000}"/>
    <cellStyle name="60% - Énfasis5 2" xfId="27" xr:uid="{00000000-0005-0000-0000-000010000000}"/>
    <cellStyle name="60% - Énfasis6 2" xfId="28" xr:uid="{00000000-0005-0000-0000-000011000000}"/>
    <cellStyle name="Buena 2" xfId="29" xr:uid="{00000000-0005-0000-0000-000012000000}"/>
    <cellStyle name="Cálculo 2" xfId="30" xr:uid="{00000000-0005-0000-0000-000013000000}"/>
    <cellStyle name="Celda de comprobación 2" xfId="31" xr:uid="{00000000-0005-0000-0000-000014000000}"/>
    <cellStyle name="Celda vinculada 2" xfId="32" xr:uid="{00000000-0005-0000-0000-000015000000}"/>
    <cellStyle name="Encabezado 4 2" xfId="33" xr:uid="{00000000-0005-0000-0000-000016000000}"/>
    <cellStyle name="Énfasis1 2" xfId="34" xr:uid="{00000000-0005-0000-0000-000017000000}"/>
    <cellStyle name="Énfasis2 2" xfId="35" xr:uid="{00000000-0005-0000-0000-000018000000}"/>
    <cellStyle name="Énfasis3 2" xfId="36" xr:uid="{00000000-0005-0000-0000-000019000000}"/>
    <cellStyle name="Énfasis4 2" xfId="37" xr:uid="{00000000-0005-0000-0000-00001A000000}"/>
    <cellStyle name="Énfasis5 2" xfId="38" xr:uid="{00000000-0005-0000-0000-00001B000000}"/>
    <cellStyle name="Énfasis6 2" xfId="39" xr:uid="{00000000-0005-0000-0000-00001C000000}"/>
    <cellStyle name="Entrada 2" xfId="40" xr:uid="{00000000-0005-0000-0000-00001D000000}"/>
    <cellStyle name="Estilo 1" xfId="61" xr:uid="{FC1AAC21-971C-40B8-ADAF-BF891B4E5875}"/>
    <cellStyle name="Incorrecto 2" xfId="41" xr:uid="{00000000-0005-0000-0000-00001F000000}"/>
    <cellStyle name="Millares 2" xfId="42" xr:uid="{00000000-0005-0000-0000-000021000000}"/>
    <cellStyle name="Moneda" xfId="1" builtinId="4"/>
    <cellStyle name="Neutral 2" xfId="43" xr:uid="{00000000-0005-0000-0000-000023000000}"/>
    <cellStyle name="Normal" xfId="0" builtinId="0"/>
    <cellStyle name="Normal 10" xfId="9" xr:uid="{00000000-0005-0000-0000-000025000000}"/>
    <cellStyle name="Normal 11" xfId="59" xr:uid="{00000000-0005-0000-0000-000026000000}"/>
    <cellStyle name="Normal 12" xfId="60" xr:uid="{00000000-0005-0000-0000-000027000000}"/>
    <cellStyle name="Normal 2" xfId="2" xr:uid="{00000000-0005-0000-0000-000028000000}"/>
    <cellStyle name="Normal 2 2" xfId="44" xr:uid="{00000000-0005-0000-0000-000029000000}"/>
    <cellStyle name="Normal 3" xfId="3" xr:uid="{00000000-0005-0000-0000-00002A000000}"/>
    <cellStyle name="Normal 3 2" xfId="45" xr:uid="{00000000-0005-0000-0000-00002B000000}"/>
    <cellStyle name="Normal 4" xfId="4" xr:uid="{00000000-0005-0000-0000-00002C000000}"/>
    <cellStyle name="Normal 4 2" xfId="46" xr:uid="{00000000-0005-0000-0000-00002D000000}"/>
    <cellStyle name="Normal 5" xfId="6" xr:uid="{00000000-0005-0000-0000-00002E000000}"/>
    <cellStyle name="Normal 5 2" xfId="10" xr:uid="{00000000-0005-0000-0000-00002F000000}"/>
    <cellStyle name="Normal 6" xfId="5" xr:uid="{00000000-0005-0000-0000-000030000000}"/>
    <cellStyle name="Normal 7" xfId="7" xr:uid="{00000000-0005-0000-0000-000031000000}"/>
    <cellStyle name="Normal 8" xfId="57" xr:uid="{00000000-0005-0000-0000-000032000000}"/>
    <cellStyle name="Normal 9" xfId="58" xr:uid="{00000000-0005-0000-0000-000033000000}"/>
    <cellStyle name="Notas 2" xfId="47" xr:uid="{00000000-0005-0000-0000-000034000000}"/>
    <cellStyle name="Porcentaje 2" xfId="48" xr:uid="{00000000-0005-0000-0000-000035000000}"/>
    <cellStyle name="Salida 2" xfId="49" xr:uid="{00000000-0005-0000-0000-000036000000}"/>
    <cellStyle name="Texto de advertencia 2" xfId="50" xr:uid="{00000000-0005-0000-0000-000037000000}"/>
    <cellStyle name="Texto explicativo 2" xfId="51" xr:uid="{00000000-0005-0000-0000-000038000000}"/>
    <cellStyle name="Título 1 2" xfId="53" xr:uid="{00000000-0005-0000-0000-000039000000}"/>
    <cellStyle name="Título 2 2" xfId="54" xr:uid="{00000000-0005-0000-0000-00003A000000}"/>
    <cellStyle name="Título 3 2" xfId="55" xr:uid="{00000000-0005-0000-0000-00003B000000}"/>
    <cellStyle name="Título 4" xfId="52" xr:uid="{00000000-0005-0000-0000-00003C000000}"/>
    <cellStyle name="Total 2" xfId="56" xr:uid="{00000000-0005-0000-0000-00003D000000}"/>
    <cellStyle name="常规 2" xfId="8" xr:uid="{00000000-0005-0000-0000-00003E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1" formatCode="_-&quot;$&quot;* #,##0_-;\-&quot;$&quot;* #,##0_-;_-&quot;$&quot;* &quot;-&quot;??_-;_-@_-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&quot;$&quot;* #,##0.00_-;\-&quot;$&quot;* #,##0.00_-;_-&quot;$&quot;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CC"/>
      <color rgb="FFFFFFCC"/>
      <color rgb="FFFFCCFF"/>
      <color rgb="FFFF66FF"/>
      <color rgb="FFFFFF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260455</xdr:colOff>
      <xdr:row>3</xdr:row>
      <xdr:rowOff>143645</xdr:rowOff>
    </xdr:from>
    <xdr:to>
      <xdr:col>9</xdr:col>
      <xdr:colOff>1104900</xdr:colOff>
      <xdr:row>15</xdr:row>
      <xdr:rowOff>107756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6555" y="1172345"/>
          <a:ext cx="2035070" cy="33899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H3359" totalsRowShown="0" headerRowDxfId="17" dataDxfId="15" headerRowBorderDxfId="16" tableBorderDxfId="14" totalsRowBorderDxfId="13">
  <autoFilter ref="A2:H3359" xr:uid="{00000000-000C-0000-FFFF-FFFF00000000}"/>
  <sortState xmlns:xlrd2="http://schemas.microsoft.com/office/spreadsheetml/2017/richdata2" ref="A3:H3359">
    <sortCondition ref="C2:C3359"/>
  </sortState>
  <tableColumns count="8">
    <tableColumn id="1" xr3:uid="{00000000-0010-0000-0000-000001000000}" name="Código" dataDxfId="12" dataCellStyle="Normal 4 2"/>
    <tableColumn id="2" xr3:uid="{00000000-0010-0000-0000-000002000000}" name="Descripción" dataDxfId="11" dataCellStyle="Normal 4 2"/>
    <tableColumn id="12" xr3:uid="{2F63C06C-1920-4ACE-8658-171CD7D18369}" name="Categoría" dataDxfId="10" dataCellStyle="Normal 4 2"/>
    <tableColumn id="11" xr3:uid="{59AF8A5C-2EE4-4823-B349-50273C621BC2}" name="Subcategoría" dataDxfId="9" dataCellStyle="Normal 4 2"/>
    <tableColumn id="13" xr3:uid="{98A08FD4-DB21-4FE8-B694-6D8A7C9E6EC9}" name="Marca" dataDxfId="8" dataCellStyle="Normal 4 2"/>
    <tableColumn id="4" xr3:uid="{00000000-0010-0000-0000-000004000000}" name="Unidades por embalaje (minimo de compra)" dataDxfId="7"/>
    <tableColumn id="5" xr3:uid="{00000000-0010-0000-0000-000005000000}" name="Embalaje" dataDxfId="6"/>
    <tableColumn id="3" xr3:uid="{B54E1AD7-2DB7-40B5-AA8D-FAFB420606C5}" name="Lista de precios ARS (unitario)2" dataDxfId="5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G1213"/>
  <sheetViews>
    <sheetView topLeftCell="A1060" zoomScaleNormal="100" zoomScaleSheetLayoutView="80" workbookViewId="0">
      <selection activeCell="B1070" sqref="B1070"/>
    </sheetView>
  </sheetViews>
  <sheetFormatPr baseColWidth="10" defaultColWidth="11.42578125" defaultRowHeight="13.5"/>
  <cols>
    <col min="1" max="1" width="14.140625" style="19" customWidth="1"/>
    <col min="2" max="2" width="77.42578125" style="15" customWidth="1"/>
    <col min="3" max="3" width="10.42578125" style="17" customWidth="1"/>
    <col min="4" max="4" width="10.42578125" style="1" customWidth="1"/>
    <col min="5" max="5" width="5.85546875" style="1" customWidth="1"/>
    <col min="6" max="16384" width="11.42578125" style="1"/>
  </cols>
  <sheetData>
    <row r="1" spans="1:7" ht="28.5" customHeight="1">
      <c r="A1" s="67" t="s">
        <v>1134</v>
      </c>
      <c r="B1" s="68"/>
      <c r="C1" s="68"/>
      <c r="D1" s="68"/>
    </row>
    <row r="2" spans="1:7" ht="15">
      <c r="A2" s="69" t="s">
        <v>876</v>
      </c>
      <c r="B2" s="69"/>
      <c r="C2" s="69"/>
      <c r="D2" s="70" t="s">
        <v>2150</v>
      </c>
      <c r="G2" s="3"/>
    </row>
    <row r="3" spans="1:7" s="2" customFormat="1" ht="12">
      <c r="A3" s="18" t="s">
        <v>370</v>
      </c>
      <c r="B3" s="18" t="s">
        <v>565</v>
      </c>
      <c r="C3" s="16" t="s">
        <v>371</v>
      </c>
      <c r="D3" s="70"/>
      <c r="E3" s="11"/>
      <c r="G3" s="4"/>
    </row>
    <row r="4" spans="1:7">
      <c r="A4" s="14" t="s">
        <v>1270</v>
      </c>
      <c r="B4" s="15" t="str">
        <f>IFERROR(VLOOKUP(A4,#REF!,2,0)," ")</f>
        <v xml:space="preserve"> </v>
      </c>
      <c r="C4" s="20">
        <f>IFERROR(VLOOKUP(A4,#REF!,3,0),0)</f>
        <v>0</v>
      </c>
      <c r="D4" s="20">
        <f>IFERROR(VLOOKUP(A4,#REF!,4,0),0)</f>
        <v>0</v>
      </c>
      <c r="E4" s="11"/>
      <c r="G4" s="3"/>
    </row>
    <row r="5" spans="1:7">
      <c r="A5" s="14" t="s">
        <v>1190</v>
      </c>
      <c r="B5" s="15" t="str">
        <f>IFERROR(VLOOKUP(A5,#REF!,2,0)," ")</f>
        <v xml:space="preserve"> </v>
      </c>
      <c r="C5" s="20">
        <f>IFERROR(VLOOKUP(A5,#REF!,3,0),0)</f>
        <v>0</v>
      </c>
      <c r="D5" s="20">
        <f>IFERROR(VLOOKUP(A5,#REF!,4,0),0)</f>
        <v>0</v>
      </c>
      <c r="E5" s="11"/>
      <c r="G5" s="3"/>
    </row>
    <row r="6" spans="1:7">
      <c r="A6" s="14" t="s">
        <v>1191</v>
      </c>
      <c r="B6" s="15" t="str">
        <f>IFERROR(VLOOKUP(A6,#REF!,2,0)," ")</f>
        <v xml:space="preserve"> </v>
      </c>
      <c r="C6" s="20">
        <f>IFERROR(VLOOKUP(A6,#REF!,3,0),0)</f>
        <v>0</v>
      </c>
      <c r="D6" s="20">
        <f>IFERROR(VLOOKUP(A6,#REF!,4,0),0)</f>
        <v>0</v>
      </c>
      <c r="E6" s="11"/>
      <c r="G6" s="3"/>
    </row>
    <row r="7" spans="1:7">
      <c r="A7" s="14" t="s">
        <v>317</v>
      </c>
      <c r="B7" s="15" t="str">
        <f>IFERROR(VLOOKUP(A7,#REF!,2,0)," ")</f>
        <v xml:space="preserve"> </v>
      </c>
      <c r="C7" s="20">
        <f>IFERROR(VLOOKUP(A7,#REF!,3,0),0)</f>
        <v>0</v>
      </c>
      <c r="D7" s="20">
        <f>IFERROR(VLOOKUP(A7,#REF!,4,0),0)</f>
        <v>0</v>
      </c>
      <c r="E7" s="11"/>
      <c r="G7" s="3"/>
    </row>
    <row r="8" spans="1:7">
      <c r="A8" s="14" t="s">
        <v>318</v>
      </c>
      <c r="B8" s="15" t="str">
        <f>IFERROR(VLOOKUP(A8,#REF!,2,0)," ")</f>
        <v xml:space="preserve"> </v>
      </c>
      <c r="C8" s="20">
        <f>IFERROR(VLOOKUP(A8,#REF!,3,0),0)</f>
        <v>0</v>
      </c>
      <c r="D8" s="20">
        <f>IFERROR(VLOOKUP(A8,#REF!,4,0),0)</f>
        <v>0</v>
      </c>
      <c r="E8" s="8"/>
      <c r="F8" s="12"/>
      <c r="G8" s="3"/>
    </row>
    <row r="9" spans="1:7">
      <c r="A9" s="14" t="s">
        <v>316</v>
      </c>
      <c r="B9" s="15" t="str">
        <f>IFERROR(VLOOKUP(A9,#REF!,2,0)," ")</f>
        <v xml:space="preserve"> </v>
      </c>
      <c r="C9" s="20">
        <f>IFERROR(VLOOKUP(A9,#REF!,3,0),0)</f>
        <v>0</v>
      </c>
      <c r="D9" s="20">
        <f>IFERROR(VLOOKUP(A9,#REF!,4,0),0)</f>
        <v>0</v>
      </c>
      <c r="E9" s="8"/>
      <c r="F9" s="12"/>
      <c r="G9" s="3"/>
    </row>
    <row r="10" spans="1:7">
      <c r="A10" s="14" t="s">
        <v>385</v>
      </c>
      <c r="B10" s="15" t="str">
        <f>IFERROR(VLOOKUP(A10,#REF!,2,0)," ")</f>
        <v xml:space="preserve"> </v>
      </c>
      <c r="C10" s="20">
        <f>IFERROR(VLOOKUP(A10,#REF!,3,0),0)</f>
        <v>0</v>
      </c>
      <c r="D10" s="20">
        <f>IFERROR(VLOOKUP(A10,#REF!,4,0),0)</f>
        <v>0</v>
      </c>
      <c r="G10" s="3"/>
    </row>
    <row r="11" spans="1:7">
      <c r="A11" s="14" t="s">
        <v>344</v>
      </c>
      <c r="B11" s="15" t="str">
        <f>IFERROR(VLOOKUP(A11,#REF!,2,0)," ")</f>
        <v xml:space="preserve"> </v>
      </c>
      <c r="C11" s="20">
        <f>IFERROR(VLOOKUP(A11,#REF!,3,0),0)</f>
        <v>0</v>
      </c>
      <c r="D11" s="20">
        <f>IFERROR(VLOOKUP(A11,#REF!,4,0),0)</f>
        <v>0</v>
      </c>
      <c r="G11" s="3"/>
    </row>
    <row r="12" spans="1:7">
      <c r="A12" s="14" t="s">
        <v>675</v>
      </c>
      <c r="B12" s="15" t="str">
        <f>IFERROR(VLOOKUP(A12,#REF!,2,0)," ")</f>
        <v xml:space="preserve"> </v>
      </c>
      <c r="C12" s="20">
        <f>IFERROR(VLOOKUP(A12,#REF!,3,0),0)</f>
        <v>0</v>
      </c>
      <c r="D12" s="20">
        <f>IFERROR(VLOOKUP(A12,#REF!,4,0),0)</f>
        <v>0</v>
      </c>
      <c r="G12" s="3"/>
    </row>
    <row r="13" spans="1:7">
      <c r="A13" s="14" t="s">
        <v>935</v>
      </c>
      <c r="B13" s="15" t="str">
        <f>IFERROR(VLOOKUP(A13,#REF!,2,0)," ")</f>
        <v xml:space="preserve"> </v>
      </c>
      <c r="C13" s="20">
        <f>IFERROR(VLOOKUP(A13,#REF!,3,0),0)</f>
        <v>0</v>
      </c>
      <c r="D13" s="20">
        <f>IFERROR(VLOOKUP(A13,#REF!,4,0),0)</f>
        <v>0</v>
      </c>
      <c r="G13" s="3"/>
    </row>
    <row r="14" spans="1:7">
      <c r="A14" s="14" t="s">
        <v>932</v>
      </c>
      <c r="B14" s="15" t="str">
        <f>IFERROR(VLOOKUP(A14,#REF!,2,0)," ")</f>
        <v xml:space="preserve"> </v>
      </c>
      <c r="C14" s="20">
        <f>IFERROR(VLOOKUP(A14,#REF!,3,0),0)</f>
        <v>0</v>
      </c>
      <c r="D14" s="20">
        <f>IFERROR(VLOOKUP(A14,#REF!,4,0),0)</f>
        <v>0</v>
      </c>
      <c r="G14" s="3"/>
    </row>
    <row r="15" spans="1:7">
      <c r="A15" s="14" t="s">
        <v>939</v>
      </c>
      <c r="B15" s="15" t="str">
        <f>IFERROR(VLOOKUP(A15,#REF!,2,0)," ")</f>
        <v xml:space="preserve"> </v>
      </c>
      <c r="C15" s="20">
        <f>IFERROR(VLOOKUP(A15,#REF!,3,0),0)</f>
        <v>0</v>
      </c>
      <c r="D15" s="20">
        <f>IFERROR(VLOOKUP(A15,#REF!,4,0),0)</f>
        <v>0</v>
      </c>
      <c r="G15" s="3"/>
    </row>
    <row r="16" spans="1:7">
      <c r="A16" s="14" t="s">
        <v>276</v>
      </c>
      <c r="B16" s="15" t="str">
        <f>IFERROR(VLOOKUP(A16,#REF!,2,0)," ")</f>
        <v xml:space="preserve"> </v>
      </c>
      <c r="C16" s="20">
        <f>IFERROR(VLOOKUP(A16,#REF!,3,0),0)</f>
        <v>0</v>
      </c>
      <c r="D16" s="20">
        <f>IFERROR(VLOOKUP(A16,#REF!,4,0),0)</f>
        <v>0</v>
      </c>
      <c r="G16" s="3"/>
    </row>
    <row r="17" spans="1:7">
      <c r="A17" s="14" t="s">
        <v>280</v>
      </c>
      <c r="B17" s="15" t="str">
        <f>IFERROR(VLOOKUP(A17,#REF!,2,0)," ")</f>
        <v xml:space="preserve"> </v>
      </c>
      <c r="C17" s="20">
        <f>IFERROR(VLOOKUP(A17,#REF!,3,0),0)</f>
        <v>0</v>
      </c>
      <c r="D17" s="20">
        <f>IFERROR(VLOOKUP(A17,#REF!,4,0),0)</f>
        <v>0</v>
      </c>
      <c r="E17" s="1" t="s">
        <v>182</v>
      </c>
      <c r="G17" s="3"/>
    </row>
    <row r="18" spans="1:7">
      <c r="A18" s="14" t="s">
        <v>281</v>
      </c>
      <c r="B18" s="15" t="str">
        <f>IFERROR(VLOOKUP(A18,#REF!,2,0)," ")</f>
        <v xml:space="preserve"> </v>
      </c>
      <c r="C18" s="20">
        <f>IFERROR(VLOOKUP(A18,#REF!,3,0),0)</f>
        <v>0</v>
      </c>
      <c r="D18" s="20">
        <f>IFERROR(VLOOKUP(A18,#REF!,4,0),0)</f>
        <v>0</v>
      </c>
      <c r="G18" s="3"/>
    </row>
    <row r="19" spans="1:7">
      <c r="A19" s="14" t="s">
        <v>1395</v>
      </c>
      <c r="B19" s="15" t="str">
        <f>IFERROR(VLOOKUP(A19,#REF!,2,0)," ")</f>
        <v xml:space="preserve"> </v>
      </c>
      <c r="C19" s="20">
        <f>IFERROR(VLOOKUP(A19,#REF!,3,0),0)</f>
        <v>0</v>
      </c>
      <c r="D19" s="20">
        <f>IFERROR(VLOOKUP(A19,#REF!,4,0),0)</f>
        <v>0</v>
      </c>
      <c r="G19" s="3"/>
    </row>
    <row r="20" spans="1:7">
      <c r="A20" s="14" t="s">
        <v>1246</v>
      </c>
      <c r="B20" s="15" t="str">
        <f>IFERROR(VLOOKUP(A20,#REF!,2,0)," ")</f>
        <v xml:space="preserve"> </v>
      </c>
      <c r="C20" s="20">
        <f>IFERROR(VLOOKUP(A20,#REF!,3,0),0)</f>
        <v>0</v>
      </c>
      <c r="D20" s="20">
        <f>IFERROR(VLOOKUP(A20,#REF!,4,0),0)</f>
        <v>0</v>
      </c>
      <c r="G20" s="3"/>
    </row>
    <row r="21" spans="1:7">
      <c r="A21" s="14" t="s">
        <v>1250</v>
      </c>
      <c r="B21" s="15" t="str">
        <f>IFERROR(VLOOKUP(A21,#REF!,2,0)," ")</f>
        <v xml:space="preserve"> </v>
      </c>
      <c r="C21" s="20">
        <f>IFERROR(VLOOKUP(A21,#REF!,3,0),0)</f>
        <v>0</v>
      </c>
      <c r="D21" s="20">
        <f>IFERROR(VLOOKUP(A21,#REF!,4,0),0)</f>
        <v>0</v>
      </c>
      <c r="G21" s="3"/>
    </row>
    <row r="22" spans="1:7">
      <c r="A22" s="14" t="s">
        <v>861</v>
      </c>
      <c r="B22" s="15" t="str">
        <f>IFERROR(VLOOKUP(A22,#REF!,2,0)," ")</f>
        <v xml:space="preserve"> </v>
      </c>
      <c r="C22" s="20">
        <f>IFERROR(VLOOKUP(A22,#REF!,3,0),0)</f>
        <v>0</v>
      </c>
      <c r="D22" s="20">
        <f>IFERROR(VLOOKUP(A22,#REF!,4,0),0)</f>
        <v>0</v>
      </c>
      <c r="G22" s="3"/>
    </row>
    <row r="23" spans="1:7">
      <c r="A23" s="14" t="s">
        <v>862</v>
      </c>
      <c r="B23" s="15" t="str">
        <f>IFERROR(VLOOKUP(A23,#REF!,2,0)," ")</f>
        <v xml:space="preserve"> </v>
      </c>
      <c r="C23" s="20">
        <f>IFERROR(VLOOKUP(A23,#REF!,3,0),0)</f>
        <v>0</v>
      </c>
      <c r="D23" s="20">
        <f>IFERROR(VLOOKUP(A23,#REF!,4,0),0)</f>
        <v>0</v>
      </c>
      <c r="G23" s="3"/>
    </row>
    <row r="24" spans="1:7">
      <c r="A24" s="14" t="s">
        <v>643</v>
      </c>
      <c r="B24" s="15" t="str">
        <f>IFERROR(VLOOKUP(A24,#REF!,2,0)," ")</f>
        <v xml:space="preserve"> </v>
      </c>
      <c r="C24" s="20">
        <f>IFERROR(VLOOKUP(A24,#REF!,3,0),0)</f>
        <v>0</v>
      </c>
      <c r="D24" s="20">
        <f>IFERROR(VLOOKUP(A24,#REF!,4,0),0)</f>
        <v>0</v>
      </c>
      <c r="G24" s="3"/>
    </row>
    <row r="25" spans="1:7">
      <c r="A25" s="14" t="s">
        <v>642</v>
      </c>
      <c r="B25" s="15" t="str">
        <f>IFERROR(VLOOKUP(A25,#REF!,2,0)," ")</f>
        <v xml:space="preserve"> </v>
      </c>
      <c r="C25" s="20">
        <f>IFERROR(VLOOKUP(A25,#REF!,3,0),0)</f>
        <v>0</v>
      </c>
      <c r="D25" s="20">
        <f>IFERROR(VLOOKUP(A25,#REF!,4,0),0)</f>
        <v>0</v>
      </c>
      <c r="G25" s="3"/>
    </row>
    <row r="26" spans="1:7">
      <c r="A26" s="14" t="s">
        <v>402</v>
      </c>
      <c r="B26" s="15" t="str">
        <f>IFERROR(VLOOKUP(A26,#REF!,2,0)," ")</f>
        <v xml:space="preserve"> </v>
      </c>
      <c r="C26" s="20">
        <f>IFERROR(VLOOKUP(A26,#REF!,3,0),0)</f>
        <v>0</v>
      </c>
      <c r="D26" s="20">
        <f>IFERROR(VLOOKUP(A26,#REF!,4,0),0)</f>
        <v>0</v>
      </c>
      <c r="G26" s="3"/>
    </row>
    <row r="27" spans="1:7">
      <c r="A27" s="14" t="s">
        <v>401</v>
      </c>
      <c r="B27" s="15" t="str">
        <f>IFERROR(VLOOKUP(A27,#REF!,2,0)," ")</f>
        <v xml:space="preserve"> </v>
      </c>
      <c r="C27" s="20">
        <f>IFERROR(VLOOKUP(A27,#REF!,3,0),0)</f>
        <v>0</v>
      </c>
      <c r="D27" s="20">
        <f>IFERROR(VLOOKUP(A27,#REF!,4,0),0)</f>
        <v>0</v>
      </c>
      <c r="G27" s="3"/>
    </row>
    <row r="28" spans="1:7">
      <c r="A28" s="14" t="s">
        <v>211</v>
      </c>
      <c r="B28" s="15" t="str">
        <f>IFERROR(VLOOKUP(A28,#REF!,2,0)," ")</f>
        <v xml:space="preserve"> </v>
      </c>
      <c r="C28" s="20">
        <f>IFERROR(VLOOKUP(A28,#REF!,3,0),0)</f>
        <v>0</v>
      </c>
      <c r="D28" s="20">
        <f>IFERROR(VLOOKUP(A28,#REF!,4,0),0)</f>
        <v>0</v>
      </c>
      <c r="G28" s="3"/>
    </row>
    <row r="29" spans="1:7">
      <c r="A29" s="14" t="s">
        <v>210</v>
      </c>
      <c r="B29" s="15" t="str">
        <f>IFERROR(VLOOKUP(A29,#REF!,2,0)," ")</f>
        <v xml:space="preserve"> </v>
      </c>
      <c r="C29" s="20">
        <f>IFERROR(VLOOKUP(A29,#REF!,3,0),0)</f>
        <v>0</v>
      </c>
      <c r="D29" s="20">
        <f>IFERROR(VLOOKUP(A29,#REF!,4,0),0)</f>
        <v>0</v>
      </c>
      <c r="G29" s="3"/>
    </row>
    <row r="30" spans="1:7">
      <c r="A30" s="14" t="s">
        <v>209</v>
      </c>
      <c r="B30" s="15" t="str">
        <f>IFERROR(VLOOKUP(A30,#REF!,2,0)," ")</f>
        <v xml:space="preserve"> </v>
      </c>
      <c r="C30" s="20">
        <f>IFERROR(VLOOKUP(A30,#REF!,3,0),0)</f>
        <v>0</v>
      </c>
      <c r="D30" s="20">
        <f>IFERROR(VLOOKUP(A30,#REF!,4,0),0)</f>
        <v>0</v>
      </c>
      <c r="G30" s="3"/>
    </row>
    <row r="31" spans="1:7">
      <c r="A31" s="14" t="s">
        <v>331</v>
      </c>
      <c r="B31" s="15" t="str">
        <f>IFERROR(VLOOKUP(A31,#REF!,2,0)," ")</f>
        <v xml:space="preserve"> </v>
      </c>
      <c r="C31" s="20">
        <f>IFERROR(VLOOKUP(A31,#REF!,3,0),0)</f>
        <v>0</v>
      </c>
      <c r="D31" s="20">
        <f>IFERROR(VLOOKUP(A31,#REF!,4,0),0)</f>
        <v>0</v>
      </c>
      <c r="G31" s="3"/>
    </row>
    <row r="32" spans="1:7">
      <c r="A32" s="14" t="s">
        <v>330</v>
      </c>
      <c r="B32" s="15" t="str">
        <f>IFERROR(VLOOKUP(A32,#REF!,2,0)," ")</f>
        <v xml:space="preserve"> </v>
      </c>
      <c r="C32" s="20">
        <f>IFERROR(VLOOKUP(A32,#REF!,3,0),0)</f>
        <v>0</v>
      </c>
      <c r="D32" s="20">
        <f>IFERROR(VLOOKUP(A32,#REF!,4,0),0)</f>
        <v>0</v>
      </c>
      <c r="G32" s="3"/>
    </row>
    <row r="33" spans="1:7">
      <c r="A33" s="14" t="s">
        <v>1002</v>
      </c>
      <c r="B33" s="15" t="str">
        <f>IFERROR(VLOOKUP(A33,#REF!,2,0)," ")</f>
        <v xml:space="preserve"> </v>
      </c>
      <c r="C33" s="20">
        <f>IFERROR(VLOOKUP(A33,#REF!,3,0),0)</f>
        <v>0</v>
      </c>
      <c r="D33" s="20">
        <f>IFERROR(VLOOKUP(A33,#REF!,4,0),0)</f>
        <v>0</v>
      </c>
      <c r="G33" s="3"/>
    </row>
    <row r="34" spans="1:7">
      <c r="A34" s="14" t="s">
        <v>1003</v>
      </c>
      <c r="B34" s="15" t="str">
        <f>IFERROR(VLOOKUP(A34,#REF!,2,0)," ")</f>
        <v xml:space="preserve"> </v>
      </c>
      <c r="C34" s="20">
        <f>IFERROR(VLOOKUP(A34,#REF!,3,0),0)</f>
        <v>0</v>
      </c>
      <c r="D34" s="20">
        <f>IFERROR(VLOOKUP(A34,#REF!,4,0),0)</f>
        <v>0</v>
      </c>
      <c r="G34" s="3"/>
    </row>
    <row r="35" spans="1:7">
      <c r="A35" s="14" t="s">
        <v>1236</v>
      </c>
      <c r="B35" s="15" t="str">
        <f>IFERROR(VLOOKUP(A35,#REF!,2,0)," ")</f>
        <v xml:space="preserve"> </v>
      </c>
      <c r="C35" s="20">
        <f>IFERROR(VLOOKUP(A35,#REF!,3,0),0)</f>
        <v>0</v>
      </c>
      <c r="D35" s="20">
        <f>IFERROR(VLOOKUP(A35,#REF!,4,0),0)</f>
        <v>0</v>
      </c>
      <c r="G35" s="3"/>
    </row>
    <row r="36" spans="1:7">
      <c r="A36" s="14" t="s">
        <v>1242</v>
      </c>
      <c r="B36" s="15" t="str">
        <f>IFERROR(VLOOKUP(A36,#REF!,2,0)," ")</f>
        <v xml:space="preserve"> </v>
      </c>
      <c r="C36" s="20">
        <f>IFERROR(VLOOKUP(A36,#REF!,3,0),0)</f>
        <v>0</v>
      </c>
      <c r="D36" s="20">
        <f>IFERROR(VLOOKUP(A36,#REF!,4,0),0)</f>
        <v>0</v>
      </c>
      <c r="G36" s="3"/>
    </row>
    <row r="37" spans="1:7">
      <c r="A37" s="14" t="s">
        <v>1241</v>
      </c>
      <c r="B37" s="15" t="str">
        <f>IFERROR(VLOOKUP(A37,#REF!,2,0)," ")</f>
        <v xml:space="preserve"> </v>
      </c>
      <c r="C37" s="20">
        <f>IFERROR(VLOOKUP(A37,#REF!,3,0),0)</f>
        <v>0</v>
      </c>
      <c r="D37" s="20">
        <f>IFERROR(VLOOKUP(A37,#REF!,4,0),0)</f>
        <v>0</v>
      </c>
      <c r="G37" s="3"/>
    </row>
    <row r="38" spans="1:7">
      <c r="A38" s="14" t="s">
        <v>1251</v>
      </c>
      <c r="B38" s="15" t="str">
        <f>IFERROR(VLOOKUP(A38,#REF!,2,0)," ")</f>
        <v xml:space="preserve"> </v>
      </c>
      <c r="C38" s="20">
        <f>IFERROR(VLOOKUP(A38,#REF!,3,0),0)</f>
        <v>0</v>
      </c>
      <c r="D38" s="20">
        <f>IFERROR(VLOOKUP(A38,#REF!,4,0),0)</f>
        <v>0</v>
      </c>
      <c r="G38" s="3"/>
    </row>
    <row r="39" spans="1:7">
      <c r="A39" s="14" t="s">
        <v>579</v>
      </c>
      <c r="B39" s="15" t="str">
        <f>IFERROR(VLOOKUP(A39,#REF!,2,0)," ")</f>
        <v xml:space="preserve"> </v>
      </c>
      <c r="C39" s="20">
        <f>IFERROR(VLOOKUP(A39,#REF!,3,0),0)</f>
        <v>0</v>
      </c>
      <c r="D39" s="20">
        <f>IFERROR(VLOOKUP(A39,#REF!,4,0),0)</f>
        <v>0</v>
      </c>
      <c r="G39" s="3"/>
    </row>
    <row r="40" spans="1:7">
      <c r="A40" s="14" t="s">
        <v>580</v>
      </c>
      <c r="B40" s="15" t="str">
        <f>IFERROR(VLOOKUP(A40,#REF!,2,0)," ")</f>
        <v xml:space="preserve"> </v>
      </c>
      <c r="C40" s="20">
        <f>IFERROR(VLOOKUP(A40,#REF!,3,0),0)</f>
        <v>0</v>
      </c>
      <c r="D40" s="20">
        <f>IFERROR(VLOOKUP(A40,#REF!,4,0),0)</f>
        <v>0</v>
      </c>
      <c r="G40" s="3"/>
    </row>
    <row r="41" spans="1:7">
      <c r="A41" s="14" t="s">
        <v>587</v>
      </c>
      <c r="B41" s="15" t="str">
        <f>IFERROR(VLOOKUP(A41,#REF!,2,0)," ")</f>
        <v xml:space="preserve"> </v>
      </c>
      <c r="C41" s="20">
        <f>IFERROR(VLOOKUP(A41,#REF!,3,0),0)</f>
        <v>0</v>
      </c>
      <c r="D41" s="20">
        <f>IFERROR(VLOOKUP(A41,#REF!,4,0),0)</f>
        <v>0</v>
      </c>
      <c r="G41" s="3"/>
    </row>
    <row r="42" spans="1:7">
      <c r="A42" s="14" t="s">
        <v>393</v>
      </c>
      <c r="B42" s="15" t="str">
        <f>IFERROR(VLOOKUP(A42,#REF!,2,0)," ")</f>
        <v xml:space="preserve"> </v>
      </c>
      <c r="C42" s="20">
        <f>IFERROR(VLOOKUP(A42,#REF!,3,0),0)</f>
        <v>0</v>
      </c>
      <c r="D42" s="20">
        <f>IFERROR(VLOOKUP(A42,#REF!,4,0),0)</f>
        <v>0</v>
      </c>
      <c r="G42" s="3"/>
    </row>
    <row r="43" spans="1:7">
      <c r="A43" s="14" t="s">
        <v>392</v>
      </c>
      <c r="B43" s="15" t="str">
        <f>IFERROR(VLOOKUP(A43,#REF!,2,0)," ")</f>
        <v xml:space="preserve"> </v>
      </c>
      <c r="C43" s="20">
        <f>IFERROR(VLOOKUP(A43,#REF!,3,0),0)</f>
        <v>0</v>
      </c>
      <c r="D43" s="20">
        <f>IFERROR(VLOOKUP(A43,#REF!,4,0),0)</f>
        <v>0</v>
      </c>
      <c r="G43" s="3"/>
    </row>
    <row r="44" spans="1:7">
      <c r="A44" s="14" t="s">
        <v>723</v>
      </c>
      <c r="B44" s="15" t="str">
        <f>IFERROR(VLOOKUP(A44,#REF!,2,0)," ")</f>
        <v xml:space="preserve"> </v>
      </c>
      <c r="C44" s="20">
        <f>IFERROR(VLOOKUP(A44,#REF!,3,0),0)</f>
        <v>0</v>
      </c>
      <c r="D44" s="20">
        <f>IFERROR(VLOOKUP(A44,#REF!,4,0),0)</f>
        <v>0</v>
      </c>
      <c r="G44" s="3"/>
    </row>
    <row r="45" spans="1:7">
      <c r="A45" s="14" t="s">
        <v>724</v>
      </c>
      <c r="B45" s="15" t="str">
        <f>IFERROR(VLOOKUP(A45,#REF!,2,0)," ")</f>
        <v xml:space="preserve"> </v>
      </c>
      <c r="C45" s="20">
        <f>IFERROR(VLOOKUP(A45,#REF!,3,0),0)</f>
        <v>0</v>
      </c>
      <c r="D45" s="20">
        <f>IFERROR(VLOOKUP(A45,#REF!,4,0),0)</f>
        <v>0</v>
      </c>
      <c r="G45" s="3"/>
    </row>
    <row r="46" spans="1:7">
      <c r="A46" s="14" t="s">
        <v>112</v>
      </c>
      <c r="B46" s="15" t="str">
        <f>IFERROR(VLOOKUP(A46,#REF!,2,0)," ")</f>
        <v xml:space="preserve"> </v>
      </c>
      <c r="C46" s="20">
        <f>IFERROR(VLOOKUP(A46,#REF!,3,0),0)</f>
        <v>0</v>
      </c>
      <c r="D46" s="20">
        <f>IFERROR(VLOOKUP(A46,#REF!,4,0),0)</f>
        <v>0</v>
      </c>
      <c r="G46" s="3"/>
    </row>
    <row r="47" spans="1:7">
      <c r="A47" s="14" t="s">
        <v>111</v>
      </c>
      <c r="B47" s="15" t="str">
        <f>IFERROR(VLOOKUP(A47,#REF!,2,0)," ")</f>
        <v xml:space="preserve"> </v>
      </c>
      <c r="C47" s="20">
        <f>IFERROR(VLOOKUP(A47,#REF!,3,0),0)</f>
        <v>0</v>
      </c>
      <c r="D47" s="20">
        <f>IFERROR(VLOOKUP(A47,#REF!,4,0),0)</f>
        <v>0</v>
      </c>
      <c r="G47" s="3"/>
    </row>
    <row r="48" spans="1:7">
      <c r="A48" s="14" t="s">
        <v>546</v>
      </c>
      <c r="B48" s="15" t="str">
        <f>IFERROR(VLOOKUP(A48,#REF!,2,0)," ")</f>
        <v xml:space="preserve"> </v>
      </c>
      <c r="C48" s="20">
        <f>IFERROR(VLOOKUP(A48,#REF!,3,0),0)</f>
        <v>0</v>
      </c>
      <c r="D48" s="20">
        <f>IFERROR(VLOOKUP(A48,#REF!,4,0),0)</f>
        <v>0</v>
      </c>
      <c r="G48" s="3"/>
    </row>
    <row r="49" spans="1:7">
      <c r="A49" s="14" t="s">
        <v>552</v>
      </c>
      <c r="B49" s="15" t="str">
        <f>IFERROR(VLOOKUP(A49,#REF!,2,0)," ")</f>
        <v xml:space="preserve"> </v>
      </c>
      <c r="C49" s="20">
        <f>IFERROR(VLOOKUP(A49,#REF!,3,0),0)</f>
        <v>0</v>
      </c>
      <c r="D49" s="20">
        <f>IFERROR(VLOOKUP(A49,#REF!,4,0),0)</f>
        <v>0</v>
      </c>
      <c r="G49" s="3"/>
    </row>
    <row r="50" spans="1:7">
      <c r="A50" s="14" t="s">
        <v>559</v>
      </c>
      <c r="B50" s="15" t="str">
        <f>IFERROR(VLOOKUP(A50,#REF!,2,0)," ")</f>
        <v xml:space="preserve"> </v>
      </c>
      <c r="C50" s="20">
        <f>IFERROR(VLOOKUP(A50,#REF!,3,0),0)</f>
        <v>0</v>
      </c>
      <c r="D50" s="20">
        <f>IFERROR(VLOOKUP(A50,#REF!,4,0),0)</f>
        <v>0</v>
      </c>
      <c r="G50" s="3"/>
    </row>
    <row r="51" spans="1:7">
      <c r="A51" s="14" t="s">
        <v>558</v>
      </c>
      <c r="B51" s="15" t="str">
        <f>IFERROR(VLOOKUP(A51,#REF!,2,0)," ")</f>
        <v xml:space="preserve"> </v>
      </c>
      <c r="C51" s="20">
        <f>IFERROR(VLOOKUP(A51,#REF!,3,0),0)</f>
        <v>0</v>
      </c>
      <c r="D51" s="20">
        <f>IFERROR(VLOOKUP(A51,#REF!,4,0),0)</f>
        <v>0</v>
      </c>
      <c r="G51" s="3"/>
    </row>
    <row r="52" spans="1:7">
      <c r="A52" s="14" t="s">
        <v>140</v>
      </c>
      <c r="B52" s="15" t="str">
        <f>IFERROR(VLOOKUP(A52,#REF!,2,0)," ")</f>
        <v xml:space="preserve"> </v>
      </c>
      <c r="C52" s="20">
        <f>IFERROR(VLOOKUP(A52,#REF!,3,0),0)</f>
        <v>0</v>
      </c>
      <c r="D52" s="20">
        <f>IFERROR(VLOOKUP(A52,#REF!,4,0),0)</f>
        <v>0</v>
      </c>
      <c r="G52" s="3"/>
    </row>
    <row r="53" spans="1:7">
      <c r="A53" s="14" t="s">
        <v>142</v>
      </c>
      <c r="B53" s="15" t="str">
        <f>IFERROR(VLOOKUP(A53,#REF!,2,0)," ")</f>
        <v xml:space="preserve"> </v>
      </c>
      <c r="C53" s="20">
        <f>IFERROR(VLOOKUP(A53,#REF!,3,0),0)</f>
        <v>0</v>
      </c>
      <c r="D53" s="20">
        <f>IFERROR(VLOOKUP(A53,#REF!,4,0),0)</f>
        <v>0</v>
      </c>
      <c r="G53" s="3"/>
    </row>
    <row r="54" spans="1:7">
      <c r="A54" s="14" t="s">
        <v>1271</v>
      </c>
      <c r="B54" s="15" t="str">
        <f>IFERROR(VLOOKUP(A54,#REF!,2,0)," ")</f>
        <v xml:space="preserve"> </v>
      </c>
      <c r="C54" s="20">
        <f>IFERROR(VLOOKUP(A54,#REF!,3,0),0)</f>
        <v>0</v>
      </c>
      <c r="D54" s="20">
        <f>IFERROR(VLOOKUP(A54,#REF!,4,0),0)</f>
        <v>0</v>
      </c>
      <c r="G54" s="3"/>
    </row>
    <row r="55" spans="1:7">
      <c r="A55" s="14" t="s">
        <v>943</v>
      </c>
      <c r="B55" s="15" t="str">
        <f>IFERROR(VLOOKUP(A55,#REF!,2,0)," ")</f>
        <v xml:space="preserve"> </v>
      </c>
      <c r="C55" s="20">
        <f>IFERROR(VLOOKUP(A55,#REF!,3,0),0)</f>
        <v>0</v>
      </c>
      <c r="D55" s="20">
        <f>IFERROR(VLOOKUP(A55,#REF!,4,0),0)</f>
        <v>0</v>
      </c>
      <c r="G55" s="3"/>
    </row>
    <row r="56" spans="1:7">
      <c r="A56" s="14" t="s">
        <v>815</v>
      </c>
      <c r="B56" s="15" t="str">
        <f>IFERROR(VLOOKUP(A56,#REF!,2,0)," ")</f>
        <v xml:space="preserve"> </v>
      </c>
      <c r="C56" s="20">
        <f>IFERROR(VLOOKUP(A56,#REF!,3,0),0)</f>
        <v>0</v>
      </c>
      <c r="D56" s="20">
        <f>IFERROR(VLOOKUP(A56,#REF!,4,0),0)</f>
        <v>0</v>
      </c>
      <c r="G56" s="3"/>
    </row>
    <row r="57" spans="1:7">
      <c r="A57" s="14" t="s">
        <v>824</v>
      </c>
      <c r="B57" s="15" t="str">
        <f>IFERROR(VLOOKUP(A57,#REF!,2,0)," ")</f>
        <v xml:space="preserve"> </v>
      </c>
      <c r="C57" s="20">
        <f>IFERROR(VLOOKUP(A57,#REF!,3,0),0)</f>
        <v>0</v>
      </c>
      <c r="D57" s="20">
        <f>IFERROR(VLOOKUP(A57,#REF!,4,0),0)</f>
        <v>0</v>
      </c>
      <c r="G57" s="3"/>
    </row>
    <row r="58" spans="1:7">
      <c r="A58" s="14" t="s">
        <v>823</v>
      </c>
      <c r="B58" s="15" t="str">
        <f>IFERROR(VLOOKUP(A58,#REF!,2,0)," ")</f>
        <v xml:space="preserve"> </v>
      </c>
      <c r="C58" s="20">
        <f>IFERROR(VLOOKUP(A58,#REF!,3,0),0)</f>
        <v>0</v>
      </c>
      <c r="D58" s="20">
        <f>IFERROR(VLOOKUP(A58,#REF!,4,0),0)</f>
        <v>0</v>
      </c>
      <c r="G58" s="3"/>
    </row>
    <row r="59" spans="1:7">
      <c r="A59" s="14" t="s">
        <v>1143</v>
      </c>
      <c r="B59" s="15" t="str">
        <f>IFERROR(VLOOKUP(A59,#REF!,2,0)," ")</f>
        <v xml:space="preserve"> </v>
      </c>
      <c r="C59" s="20">
        <f>IFERROR(VLOOKUP(A59,#REF!,3,0),0)</f>
        <v>0</v>
      </c>
      <c r="D59" s="20">
        <f>IFERROR(VLOOKUP(A59,#REF!,4,0),0)</f>
        <v>0</v>
      </c>
      <c r="G59" s="3"/>
    </row>
    <row r="60" spans="1:7">
      <c r="A60" s="14" t="s">
        <v>1141</v>
      </c>
      <c r="B60" s="15" t="str">
        <f>IFERROR(VLOOKUP(A60,#REF!,2,0)," ")</f>
        <v xml:space="preserve"> </v>
      </c>
      <c r="C60" s="20">
        <f>IFERROR(VLOOKUP(A60,#REF!,3,0),0)</f>
        <v>0</v>
      </c>
      <c r="D60" s="20">
        <f>IFERROR(VLOOKUP(A60,#REF!,4,0),0)</f>
        <v>0</v>
      </c>
      <c r="G60" s="3"/>
    </row>
    <row r="61" spans="1:7">
      <c r="A61" s="14" t="s">
        <v>1007</v>
      </c>
      <c r="B61" s="15" t="str">
        <f>IFERROR(VLOOKUP(A61,#REF!,2,0)," ")</f>
        <v xml:space="preserve"> </v>
      </c>
      <c r="C61" s="20">
        <f>IFERROR(VLOOKUP(A61,#REF!,3,0),0)</f>
        <v>0</v>
      </c>
      <c r="D61" s="20">
        <f>IFERROR(VLOOKUP(A61,#REF!,4,0),0)</f>
        <v>0</v>
      </c>
      <c r="G61" s="3"/>
    </row>
    <row r="62" spans="1:7">
      <c r="A62" s="14" t="s">
        <v>1008</v>
      </c>
      <c r="B62" s="15" t="str">
        <f>IFERROR(VLOOKUP(A62,#REF!,2,0)," ")</f>
        <v xml:space="preserve"> </v>
      </c>
      <c r="C62" s="20">
        <f>IFERROR(VLOOKUP(A62,#REF!,3,0),0)</f>
        <v>0</v>
      </c>
      <c r="D62" s="20">
        <f>IFERROR(VLOOKUP(A62,#REF!,4,0),0)</f>
        <v>0</v>
      </c>
      <c r="G62" s="3"/>
    </row>
    <row r="63" spans="1:7">
      <c r="A63" s="14" t="s">
        <v>1145</v>
      </c>
      <c r="B63" s="15" t="str">
        <f>IFERROR(VLOOKUP(A63,#REF!,2,0)," ")</f>
        <v xml:space="preserve"> </v>
      </c>
      <c r="C63" s="20">
        <f>IFERROR(VLOOKUP(A63,#REF!,3,0),0)</f>
        <v>0</v>
      </c>
      <c r="D63" s="20">
        <f>IFERROR(VLOOKUP(A63,#REF!,4,0),0)</f>
        <v>0</v>
      </c>
      <c r="G63" s="3"/>
    </row>
    <row r="64" spans="1:7">
      <c r="A64" s="14" t="s">
        <v>1146</v>
      </c>
      <c r="B64" s="15" t="str">
        <f>IFERROR(VLOOKUP(A64,#REF!,2,0)," ")</f>
        <v xml:space="preserve"> </v>
      </c>
      <c r="C64" s="20">
        <f>IFERROR(VLOOKUP(A64,#REF!,3,0),0)</f>
        <v>0</v>
      </c>
      <c r="D64" s="20">
        <f>IFERROR(VLOOKUP(A64,#REF!,4,0),0)</f>
        <v>0</v>
      </c>
      <c r="G64" s="3"/>
    </row>
    <row r="65" spans="1:7">
      <c r="A65" s="14" t="s">
        <v>1147</v>
      </c>
      <c r="B65" s="15" t="str">
        <f>IFERROR(VLOOKUP(A65,#REF!,2,0)," ")</f>
        <v xml:space="preserve"> </v>
      </c>
      <c r="C65" s="20">
        <f>IFERROR(VLOOKUP(A65,#REF!,3,0),0)</f>
        <v>0</v>
      </c>
      <c r="D65" s="20">
        <f>IFERROR(VLOOKUP(A65,#REF!,4,0),0)</f>
        <v>0</v>
      </c>
      <c r="G65" s="3"/>
    </row>
    <row r="66" spans="1:7">
      <c r="A66" s="14" t="s">
        <v>1009</v>
      </c>
      <c r="B66" s="15" t="str">
        <f>IFERROR(VLOOKUP(A66,#REF!,2,0)," ")</f>
        <v xml:space="preserve"> </v>
      </c>
      <c r="C66" s="20">
        <f>IFERROR(VLOOKUP(A66,#REF!,3,0),0)</f>
        <v>0</v>
      </c>
      <c r="D66" s="20">
        <f>IFERROR(VLOOKUP(A66,#REF!,4,0),0)</f>
        <v>0</v>
      </c>
      <c r="G66" s="3"/>
    </row>
    <row r="67" spans="1:7">
      <c r="A67" s="14" t="s">
        <v>1010</v>
      </c>
      <c r="B67" s="15" t="str">
        <f>IFERROR(VLOOKUP(A67,#REF!,2,0)," ")</f>
        <v xml:space="preserve"> </v>
      </c>
      <c r="C67" s="20">
        <f>IFERROR(VLOOKUP(A67,#REF!,3,0),0)</f>
        <v>0</v>
      </c>
      <c r="D67" s="20">
        <f>IFERROR(VLOOKUP(A67,#REF!,4,0),0)</f>
        <v>0</v>
      </c>
      <c r="G67" s="3"/>
    </row>
    <row r="68" spans="1:7">
      <c r="A68" s="14" t="s">
        <v>381</v>
      </c>
      <c r="B68" s="15" t="str">
        <f>IFERROR(VLOOKUP(A68,#REF!,2,0)," ")</f>
        <v xml:space="preserve"> </v>
      </c>
      <c r="C68" s="20">
        <f>IFERROR(VLOOKUP(A68,#REF!,3,0),0)</f>
        <v>0</v>
      </c>
      <c r="D68" s="20">
        <f>IFERROR(VLOOKUP(A68,#REF!,4,0),0)</f>
        <v>0</v>
      </c>
      <c r="G68" s="3"/>
    </row>
    <row r="69" spans="1:7">
      <c r="A69" s="14" t="s">
        <v>471</v>
      </c>
      <c r="B69" s="15" t="str">
        <f>IFERROR(VLOOKUP(A69,#REF!,2,0)," ")</f>
        <v xml:space="preserve"> </v>
      </c>
      <c r="C69" s="20">
        <f>IFERROR(VLOOKUP(A69,#REF!,3,0),0)</f>
        <v>0</v>
      </c>
      <c r="D69" s="20">
        <f>IFERROR(VLOOKUP(A69,#REF!,4,0),0)</f>
        <v>0</v>
      </c>
      <c r="G69" s="3"/>
    </row>
    <row r="70" spans="1:7">
      <c r="A70" s="14" t="s">
        <v>474</v>
      </c>
      <c r="B70" s="15" t="str">
        <f>IFERROR(VLOOKUP(A70,#REF!,2,0)," ")</f>
        <v xml:space="preserve"> </v>
      </c>
      <c r="C70" s="20">
        <f>IFERROR(VLOOKUP(A70,#REF!,3,0),0)</f>
        <v>0</v>
      </c>
      <c r="D70" s="20">
        <f>IFERROR(VLOOKUP(A70,#REF!,4,0),0)</f>
        <v>0</v>
      </c>
      <c r="G70" s="3"/>
    </row>
    <row r="71" spans="1:7">
      <c r="A71" s="14" t="s">
        <v>733</v>
      </c>
      <c r="B71" s="15" t="str">
        <f>IFERROR(VLOOKUP(A71,#REF!,2,0)," ")</f>
        <v xml:space="preserve"> </v>
      </c>
      <c r="C71" s="20">
        <f>IFERROR(VLOOKUP(A71,#REF!,3,0),0)</f>
        <v>0</v>
      </c>
      <c r="D71" s="20">
        <f>IFERROR(VLOOKUP(A71,#REF!,4,0),0)</f>
        <v>0</v>
      </c>
      <c r="G71" s="3"/>
    </row>
    <row r="72" spans="1:7">
      <c r="A72" s="14" t="s">
        <v>750</v>
      </c>
      <c r="B72" s="15" t="str">
        <f>IFERROR(VLOOKUP(A72,#REF!,2,0)," ")</f>
        <v xml:space="preserve"> </v>
      </c>
      <c r="C72" s="20">
        <f>IFERROR(VLOOKUP(A72,#REF!,3,0),0)</f>
        <v>0</v>
      </c>
      <c r="D72" s="20">
        <f>IFERROR(VLOOKUP(A72,#REF!,4,0),0)</f>
        <v>0</v>
      </c>
      <c r="G72" s="3"/>
    </row>
    <row r="73" spans="1:7">
      <c r="A73" s="14" t="s">
        <v>909</v>
      </c>
      <c r="B73" s="15" t="str">
        <f>IFERROR(VLOOKUP(A73,#REF!,2,0)," ")</f>
        <v xml:space="preserve"> </v>
      </c>
      <c r="C73" s="20">
        <f>IFERROR(VLOOKUP(A73,#REF!,3,0),0)</f>
        <v>0</v>
      </c>
      <c r="D73" s="20">
        <f>IFERROR(VLOOKUP(A73,#REF!,4,0),0)</f>
        <v>0</v>
      </c>
      <c r="G73" s="3"/>
    </row>
    <row r="74" spans="1:7">
      <c r="A74" s="14" t="s">
        <v>910</v>
      </c>
      <c r="B74" s="15" t="str">
        <f>IFERROR(VLOOKUP(A74,#REF!,2,0)," ")</f>
        <v xml:space="preserve"> </v>
      </c>
      <c r="C74" s="20">
        <f>IFERROR(VLOOKUP(A74,#REF!,3,0),0)</f>
        <v>0</v>
      </c>
      <c r="D74" s="20">
        <f>IFERROR(VLOOKUP(A74,#REF!,4,0),0)</f>
        <v>0</v>
      </c>
      <c r="G74" s="3"/>
    </row>
    <row r="75" spans="1:7">
      <c r="A75" s="14" t="s">
        <v>167</v>
      </c>
      <c r="B75" s="15" t="str">
        <f>IFERROR(VLOOKUP(A75,#REF!,2,0)," ")</f>
        <v xml:space="preserve"> </v>
      </c>
      <c r="C75" s="20">
        <f>IFERROR(VLOOKUP(A75,#REF!,3,0),0)</f>
        <v>0</v>
      </c>
      <c r="D75" s="20">
        <f>IFERROR(VLOOKUP(A75,#REF!,4,0),0)</f>
        <v>0</v>
      </c>
      <c r="G75" s="3"/>
    </row>
    <row r="76" spans="1:7">
      <c r="A76" s="14" t="s">
        <v>166</v>
      </c>
      <c r="B76" s="15" t="str">
        <f>IFERROR(VLOOKUP(A76,#REF!,2,0)," ")</f>
        <v xml:space="preserve"> </v>
      </c>
      <c r="C76" s="20">
        <f>IFERROR(VLOOKUP(A76,#REF!,3,0),0)</f>
        <v>0</v>
      </c>
      <c r="D76" s="20">
        <f>IFERROR(VLOOKUP(A76,#REF!,4,0),0)</f>
        <v>0</v>
      </c>
      <c r="G76" s="3"/>
    </row>
    <row r="77" spans="1:7">
      <c r="A77" s="14" t="s">
        <v>459</v>
      </c>
      <c r="B77" s="15" t="str">
        <f>IFERROR(VLOOKUP(A77,#REF!,2,0)," ")</f>
        <v xml:space="preserve"> </v>
      </c>
      <c r="C77" s="20">
        <f>IFERROR(VLOOKUP(A77,#REF!,3,0),0)</f>
        <v>0</v>
      </c>
      <c r="D77" s="20">
        <f>IFERROR(VLOOKUP(A77,#REF!,4,0),0)</f>
        <v>0</v>
      </c>
      <c r="G77" s="3"/>
    </row>
    <row r="78" spans="1:7">
      <c r="A78" s="14" t="s">
        <v>460</v>
      </c>
      <c r="B78" s="15" t="str">
        <f>IFERROR(VLOOKUP(A78,#REF!,2,0)," ")</f>
        <v xml:space="preserve"> </v>
      </c>
      <c r="C78" s="20">
        <f>IFERROR(VLOOKUP(A78,#REF!,3,0),0)</f>
        <v>0</v>
      </c>
      <c r="D78" s="20">
        <f>IFERROR(VLOOKUP(A78,#REF!,4,0),0)</f>
        <v>0</v>
      </c>
      <c r="G78" s="3"/>
    </row>
    <row r="79" spans="1:7">
      <c r="A79" s="14" t="s">
        <v>477</v>
      </c>
      <c r="B79" s="15" t="str">
        <f>IFERROR(VLOOKUP(A79,#REF!,2,0)," ")</f>
        <v xml:space="preserve"> </v>
      </c>
      <c r="C79" s="20">
        <f>IFERROR(VLOOKUP(A79,#REF!,3,0),0)</f>
        <v>0</v>
      </c>
      <c r="D79" s="20">
        <f>IFERROR(VLOOKUP(A79,#REF!,4,0),0)</f>
        <v>0</v>
      </c>
      <c r="G79" s="3"/>
    </row>
    <row r="80" spans="1:7">
      <c r="A80" s="14" t="s">
        <v>475</v>
      </c>
      <c r="B80" s="15" t="str">
        <f>IFERROR(VLOOKUP(A80,#REF!,2,0)," ")</f>
        <v xml:space="preserve"> </v>
      </c>
      <c r="C80" s="20">
        <f>IFERROR(VLOOKUP(A80,#REF!,3,0),0)</f>
        <v>0</v>
      </c>
      <c r="D80" s="20">
        <f>IFERROR(VLOOKUP(A80,#REF!,4,0),0)</f>
        <v>0</v>
      </c>
      <c r="G80" s="3"/>
    </row>
    <row r="81" spans="1:7">
      <c r="A81" s="14" t="s">
        <v>261</v>
      </c>
      <c r="B81" s="15" t="str">
        <f>IFERROR(VLOOKUP(A81,#REF!,2,0)," ")</f>
        <v xml:space="preserve"> </v>
      </c>
      <c r="C81" s="20">
        <f>IFERROR(VLOOKUP(A81,#REF!,3,0),0)</f>
        <v>0</v>
      </c>
      <c r="D81" s="20">
        <f>IFERROR(VLOOKUP(A81,#REF!,4,0),0)</f>
        <v>0</v>
      </c>
      <c r="G81" s="3"/>
    </row>
    <row r="82" spans="1:7">
      <c r="A82" s="14" t="s">
        <v>1306</v>
      </c>
      <c r="B82" s="15" t="str">
        <f>IFERROR(VLOOKUP(A82,#REF!,2,0)," ")</f>
        <v xml:space="preserve"> </v>
      </c>
      <c r="C82" s="20">
        <f>IFERROR(VLOOKUP(A82,#REF!,3,0),0)</f>
        <v>0</v>
      </c>
      <c r="D82" s="20">
        <f>IFERROR(VLOOKUP(A82,#REF!,4,0),0)</f>
        <v>0</v>
      </c>
      <c r="G82" s="3"/>
    </row>
    <row r="83" spans="1:7">
      <c r="A83" s="14" t="s">
        <v>1307</v>
      </c>
      <c r="B83" s="15" t="str">
        <f>IFERROR(VLOOKUP(A83,#REF!,2,0)," ")</f>
        <v xml:space="preserve"> </v>
      </c>
      <c r="C83" s="20">
        <f>IFERROR(VLOOKUP(A83,#REF!,3,0),0)</f>
        <v>0</v>
      </c>
      <c r="D83" s="20">
        <f>IFERROR(VLOOKUP(A83,#REF!,4,0),0)</f>
        <v>0</v>
      </c>
      <c r="G83" s="3"/>
    </row>
    <row r="84" spans="1:7">
      <c r="A84" s="14" t="s">
        <v>1313</v>
      </c>
      <c r="B84" s="15" t="str">
        <f>IFERROR(VLOOKUP(A84,#REF!,2,0)," ")</f>
        <v xml:space="preserve"> </v>
      </c>
      <c r="C84" s="20">
        <f>IFERROR(VLOOKUP(A84,#REF!,3,0),0)</f>
        <v>0</v>
      </c>
      <c r="D84" s="20">
        <f>IFERROR(VLOOKUP(A84,#REF!,4,0),0)</f>
        <v>0</v>
      </c>
      <c r="G84" s="3"/>
    </row>
    <row r="85" spans="1:7">
      <c r="A85" s="14" t="s">
        <v>1311</v>
      </c>
      <c r="B85" s="15" t="str">
        <f>IFERROR(VLOOKUP(A85,#REF!,2,0)," ")</f>
        <v xml:space="preserve"> </v>
      </c>
      <c r="C85" s="20">
        <f>IFERROR(VLOOKUP(A85,#REF!,3,0),0)</f>
        <v>0</v>
      </c>
      <c r="D85" s="20">
        <f>IFERROR(VLOOKUP(A85,#REF!,4,0),0)</f>
        <v>0</v>
      </c>
      <c r="G85" s="3"/>
    </row>
    <row r="86" spans="1:7">
      <c r="A86" s="14" t="s">
        <v>1248</v>
      </c>
      <c r="B86" s="15" t="str">
        <f>IFERROR(VLOOKUP(A86,#REF!,2,0)," ")</f>
        <v xml:space="preserve"> </v>
      </c>
      <c r="C86" s="20">
        <f>IFERROR(VLOOKUP(A86,#REF!,3,0),0)</f>
        <v>0</v>
      </c>
      <c r="D86" s="20">
        <f>IFERROR(VLOOKUP(A86,#REF!,4,0),0)</f>
        <v>0</v>
      </c>
      <c r="G86" s="3"/>
    </row>
    <row r="87" spans="1:7">
      <c r="A87" s="14" t="s">
        <v>291</v>
      </c>
      <c r="B87" s="15" t="str">
        <f>IFERROR(VLOOKUP(A87,#REF!,2,0)," ")</f>
        <v xml:space="preserve"> </v>
      </c>
      <c r="C87" s="20">
        <f>IFERROR(VLOOKUP(A87,#REF!,3,0),0)</f>
        <v>0</v>
      </c>
      <c r="D87" s="20">
        <f>IFERROR(VLOOKUP(A87,#REF!,4,0),0)</f>
        <v>0</v>
      </c>
      <c r="G87" s="3"/>
    </row>
    <row r="88" spans="1:7">
      <c r="A88" s="14" t="s">
        <v>1348</v>
      </c>
      <c r="B88" s="15" t="str">
        <f>IFERROR(VLOOKUP(A88,#REF!,2,0)," ")</f>
        <v xml:space="preserve"> </v>
      </c>
      <c r="C88" s="20">
        <f>IFERROR(VLOOKUP(A88,#REF!,3,0),0)</f>
        <v>0</v>
      </c>
      <c r="D88" s="20">
        <f>IFERROR(VLOOKUP(A88,#REF!,4,0),0)</f>
        <v>0</v>
      </c>
      <c r="G88" s="3"/>
    </row>
    <row r="89" spans="1:7">
      <c r="A89" s="14" t="s">
        <v>1257</v>
      </c>
      <c r="B89" s="15" t="str">
        <f>IFERROR(VLOOKUP(A89,#REF!,2,0)," ")</f>
        <v xml:space="preserve"> </v>
      </c>
      <c r="C89" s="20">
        <f>IFERROR(VLOOKUP(A89,#REF!,3,0),0)</f>
        <v>0</v>
      </c>
      <c r="D89" s="20">
        <f>IFERROR(VLOOKUP(A89,#REF!,4,0),0)</f>
        <v>0</v>
      </c>
      <c r="G89" s="3"/>
    </row>
    <row r="90" spans="1:7">
      <c r="A90" s="14" t="s">
        <v>1258</v>
      </c>
      <c r="B90" s="15" t="str">
        <f>IFERROR(VLOOKUP(A90,#REF!,2,0)," ")</f>
        <v xml:space="preserve"> </v>
      </c>
      <c r="C90" s="20">
        <f>IFERROR(VLOOKUP(A90,#REF!,3,0),0)</f>
        <v>0</v>
      </c>
      <c r="D90" s="20">
        <f>IFERROR(VLOOKUP(A90,#REF!,4,0),0)</f>
        <v>0</v>
      </c>
      <c r="G90" s="3"/>
    </row>
    <row r="91" spans="1:7">
      <c r="A91" s="14" t="s">
        <v>430</v>
      </c>
      <c r="B91" s="15" t="str">
        <f>IFERROR(VLOOKUP(A91,#REF!,2,0)," ")</f>
        <v xml:space="preserve"> </v>
      </c>
      <c r="C91" s="20">
        <f>IFERROR(VLOOKUP(A91,#REF!,3,0),0)</f>
        <v>0</v>
      </c>
      <c r="D91" s="20">
        <f>IFERROR(VLOOKUP(A91,#REF!,4,0),0)</f>
        <v>0</v>
      </c>
      <c r="G91" s="3"/>
    </row>
    <row r="92" spans="1:7">
      <c r="A92" s="14" t="s">
        <v>1245</v>
      </c>
      <c r="B92" s="15" t="str">
        <f>IFERROR(VLOOKUP(A92,#REF!,2,0)," ")</f>
        <v xml:space="preserve"> </v>
      </c>
      <c r="C92" s="20">
        <f>IFERROR(VLOOKUP(A92,#REF!,3,0),0)</f>
        <v>0</v>
      </c>
      <c r="D92" s="20">
        <f>IFERROR(VLOOKUP(A92,#REF!,4,0),0)</f>
        <v>0</v>
      </c>
      <c r="G92" s="3"/>
    </row>
    <row r="93" spans="1:7">
      <c r="A93" s="14" t="s">
        <v>1073</v>
      </c>
      <c r="B93" s="15" t="str">
        <f>IFERROR(VLOOKUP(A93,#REF!,2,0)," ")</f>
        <v xml:space="preserve"> </v>
      </c>
      <c r="C93" s="20">
        <f>IFERROR(VLOOKUP(A93,#REF!,3,0),0)</f>
        <v>0</v>
      </c>
      <c r="D93" s="20">
        <f>IFERROR(VLOOKUP(A93,#REF!,4,0),0)</f>
        <v>0</v>
      </c>
      <c r="G93" s="3"/>
    </row>
    <row r="94" spans="1:7">
      <c r="A94" s="14" t="s">
        <v>1076</v>
      </c>
      <c r="B94" s="15" t="str">
        <f>IFERROR(VLOOKUP(A94,#REF!,2,0)," ")</f>
        <v xml:space="preserve"> </v>
      </c>
      <c r="C94" s="20">
        <f>IFERROR(VLOOKUP(A94,#REF!,3,0),0)</f>
        <v>0</v>
      </c>
      <c r="D94" s="20">
        <f>IFERROR(VLOOKUP(A94,#REF!,4,0),0)</f>
        <v>0</v>
      </c>
      <c r="G94" s="3"/>
    </row>
    <row r="95" spans="1:7">
      <c r="A95" s="14" t="s">
        <v>1075</v>
      </c>
      <c r="B95" s="15" t="str">
        <f>IFERROR(VLOOKUP(A95,#REF!,2,0)," ")</f>
        <v xml:space="preserve"> </v>
      </c>
      <c r="C95" s="20">
        <f>IFERROR(VLOOKUP(A95,#REF!,3,0),0)</f>
        <v>0</v>
      </c>
      <c r="D95" s="20">
        <f>IFERROR(VLOOKUP(A95,#REF!,4,0),0)</f>
        <v>0</v>
      </c>
      <c r="G95" s="3"/>
    </row>
    <row r="96" spans="1:7">
      <c r="A96" s="14" t="s">
        <v>1377</v>
      </c>
      <c r="B96" s="15" t="str">
        <f>IFERROR(VLOOKUP(A96,#REF!,2,0)," ")</f>
        <v xml:space="preserve"> </v>
      </c>
      <c r="C96" s="20">
        <f>IFERROR(VLOOKUP(A96,#REF!,3,0),0)</f>
        <v>0</v>
      </c>
      <c r="D96" s="20">
        <f>IFERROR(VLOOKUP(A96,#REF!,4,0),0)</f>
        <v>0</v>
      </c>
      <c r="G96" s="3"/>
    </row>
    <row r="97" spans="1:7">
      <c r="A97" s="14" t="s">
        <v>1080</v>
      </c>
      <c r="B97" s="15" t="str">
        <f>IFERROR(VLOOKUP(A97,#REF!,2,0)," ")</f>
        <v xml:space="preserve"> </v>
      </c>
      <c r="C97" s="20">
        <f>IFERROR(VLOOKUP(A97,#REF!,3,0),0)</f>
        <v>0</v>
      </c>
      <c r="D97" s="20">
        <f>IFERROR(VLOOKUP(A97,#REF!,4,0),0)</f>
        <v>0</v>
      </c>
      <c r="G97" s="3"/>
    </row>
    <row r="98" spans="1:7">
      <c r="A98" s="14" t="s">
        <v>1077</v>
      </c>
      <c r="B98" s="15" t="str">
        <f>IFERROR(VLOOKUP(A98,#REF!,2,0)," ")</f>
        <v xml:space="preserve"> </v>
      </c>
      <c r="C98" s="20">
        <f>IFERROR(VLOOKUP(A98,#REF!,3,0),0)</f>
        <v>0</v>
      </c>
      <c r="D98" s="20">
        <f>IFERROR(VLOOKUP(A98,#REF!,4,0),0)</f>
        <v>0</v>
      </c>
      <c r="G98" s="3"/>
    </row>
    <row r="99" spans="1:7">
      <c r="A99" s="14" t="s">
        <v>502</v>
      </c>
      <c r="B99" s="15" t="str">
        <f>IFERROR(VLOOKUP(A99,#REF!,2,0)," ")</f>
        <v xml:space="preserve"> </v>
      </c>
      <c r="C99" s="20">
        <f>IFERROR(VLOOKUP(A99,#REF!,3,0),0)</f>
        <v>0</v>
      </c>
      <c r="D99" s="20">
        <f>IFERROR(VLOOKUP(A99,#REF!,4,0),0)</f>
        <v>0</v>
      </c>
      <c r="G99" s="3"/>
    </row>
    <row r="100" spans="1:7">
      <c r="A100" s="14" t="s">
        <v>501</v>
      </c>
      <c r="B100" s="15" t="str">
        <f>IFERROR(VLOOKUP(A100,#REF!,2,0)," ")</f>
        <v xml:space="preserve"> </v>
      </c>
      <c r="C100" s="20">
        <f>IFERROR(VLOOKUP(A100,#REF!,3,0),0)</f>
        <v>0</v>
      </c>
      <c r="D100" s="20">
        <f>IFERROR(VLOOKUP(A100,#REF!,4,0),0)</f>
        <v>0</v>
      </c>
      <c r="G100" s="3"/>
    </row>
    <row r="101" spans="1:7">
      <c r="A101" s="14" t="s">
        <v>500</v>
      </c>
      <c r="B101" s="15" t="str">
        <f>IFERROR(VLOOKUP(A101,#REF!,2,0)," ")</f>
        <v xml:space="preserve"> </v>
      </c>
      <c r="C101" s="20">
        <f>IFERROR(VLOOKUP(A101,#REF!,3,0),0)</f>
        <v>0</v>
      </c>
      <c r="D101" s="20">
        <f>IFERROR(VLOOKUP(A101,#REF!,4,0),0)</f>
        <v>0</v>
      </c>
      <c r="G101" s="3"/>
    </row>
    <row r="102" spans="1:7">
      <c r="A102" s="14" t="s">
        <v>161</v>
      </c>
      <c r="B102" s="15" t="str">
        <f>IFERROR(VLOOKUP(A102,#REF!,2,0)," ")</f>
        <v xml:space="preserve"> </v>
      </c>
      <c r="C102" s="20">
        <f>IFERROR(VLOOKUP(A102,#REF!,3,0),0)</f>
        <v>0</v>
      </c>
      <c r="D102" s="20">
        <f>IFERROR(VLOOKUP(A102,#REF!,4,0),0)</f>
        <v>0</v>
      </c>
      <c r="G102" s="3"/>
    </row>
    <row r="103" spans="1:7">
      <c r="A103" s="14" t="s">
        <v>629</v>
      </c>
      <c r="B103" s="15" t="str">
        <f>IFERROR(VLOOKUP(A103,#REF!,2,0)," ")</f>
        <v xml:space="preserve"> </v>
      </c>
      <c r="C103" s="20">
        <f>IFERROR(VLOOKUP(A103,#REF!,3,0),0)</f>
        <v>0</v>
      </c>
      <c r="D103" s="20">
        <f>IFERROR(VLOOKUP(A103,#REF!,4,0),0)</f>
        <v>0</v>
      </c>
      <c r="G103" s="3"/>
    </row>
    <row r="104" spans="1:7">
      <c r="A104" s="14" t="s">
        <v>633</v>
      </c>
      <c r="B104" s="15" t="str">
        <f>IFERROR(VLOOKUP(A104,#REF!,2,0)," ")</f>
        <v xml:space="preserve"> </v>
      </c>
      <c r="C104" s="20">
        <f>IFERROR(VLOOKUP(A104,#REF!,3,0),0)</f>
        <v>0</v>
      </c>
      <c r="D104" s="20">
        <f>IFERROR(VLOOKUP(A104,#REF!,4,0),0)</f>
        <v>0</v>
      </c>
      <c r="G104" s="3"/>
    </row>
    <row r="105" spans="1:7">
      <c r="A105" s="14" t="s">
        <v>1394</v>
      </c>
      <c r="B105" s="15" t="str">
        <f>IFERROR(VLOOKUP(A105,#REF!,2,0)," ")</f>
        <v xml:space="preserve"> </v>
      </c>
      <c r="C105" s="20">
        <f>IFERROR(VLOOKUP(A105,#REF!,3,0),0)</f>
        <v>0</v>
      </c>
      <c r="D105" s="20">
        <f>IFERROR(VLOOKUP(A105,#REF!,4,0),0)</f>
        <v>0</v>
      </c>
      <c r="G105" s="3"/>
    </row>
    <row r="106" spans="1:7">
      <c r="A106" s="14" t="s">
        <v>628</v>
      </c>
      <c r="B106" s="15" t="str">
        <f>IFERROR(VLOOKUP(A106,#REF!,2,0)," ")</f>
        <v xml:space="preserve"> </v>
      </c>
      <c r="C106" s="20">
        <f>IFERROR(VLOOKUP(A106,#REF!,3,0),0)</f>
        <v>0</v>
      </c>
      <c r="D106" s="20">
        <f>IFERROR(VLOOKUP(A106,#REF!,4,0),0)</f>
        <v>0</v>
      </c>
      <c r="G106" s="3"/>
    </row>
    <row r="107" spans="1:7">
      <c r="A107" s="14" t="s">
        <v>1244</v>
      </c>
      <c r="B107" s="15" t="str">
        <f>IFERROR(VLOOKUP(A107,#REF!,2,0)," ")</f>
        <v xml:space="preserve"> </v>
      </c>
      <c r="C107" s="20">
        <f>IFERROR(VLOOKUP(A107,#REF!,3,0),0)</f>
        <v>0</v>
      </c>
      <c r="D107" s="20">
        <f>IFERROR(VLOOKUP(A107,#REF!,4,0),0)</f>
        <v>0</v>
      </c>
      <c r="G107" s="3"/>
    </row>
    <row r="108" spans="1:7">
      <c r="A108" s="14" t="s">
        <v>586</v>
      </c>
      <c r="B108" s="15" t="str">
        <f>IFERROR(VLOOKUP(A108,#REF!,2,0)," ")</f>
        <v xml:space="preserve"> </v>
      </c>
      <c r="C108" s="20">
        <f>IFERROR(VLOOKUP(A108,#REF!,3,0),0)</f>
        <v>0</v>
      </c>
      <c r="D108" s="20">
        <f>IFERROR(VLOOKUP(A108,#REF!,4,0),0)</f>
        <v>0</v>
      </c>
      <c r="G108" s="3"/>
    </row>
    <row r="109" spans="1:7">
      <c r="A109" s="14" t="s">
        <v>506</v>
      </c>
      <c r="B109" s="15" t="str">
        <f>IFERROR(VLOOKUP(A109,#REF!,2,0)," ")</f>
        <v xml:space="preserve"> </v>
      </c>
      <c r="C109" s="20">
        <f>IFERROR(VLOOKUP(A109,#REF!,3,0),0)</f>
        <v>0</v>
      </c>
      <c r="D109" s="20">
        <f>IFERROR(VLOOKUP(A109,#REF!,4,0),0)</f>
        <v>0</v>
      </c>
      <c r="G109" s="3"/>
    </row>
    <row r="110" spans="1:7">
      <c r="A110" s="14" t="s">
        <v>432</v>
      </c>
      <c r="B110" s="15" t="str">
        <f>IFERROR(VLOOKUP(A110,#REF!,2,0)," ")</f>
        <v xml:space="preserve"> </v>
      </c>
      <c r="C110" s="20">
        <f>IFERROR(VLOOKUP(A110,#REF!,3,0),0)</f>
        <v>0</v>
      </c>
      <c r="D110" s="20">
        <f>IFERROR(VLOOKUP(A110,#REF!,4,0),0)</f>
        <v>0</v>
      </c>
      <c r="G110" s="3"/>
    </row>
    <row r="111" spans="1:7">
      <c r="A111" s="14" t="s">
        <v>429</v>
      </c>
      <c r="B111" s="15" t="str">
        <f>IFERROR(VLOOKUP(A111,#REF!,2,0)," ")</f>
        <v xml:space="preserve"> </v>
      </c>
      <c r="C111" s="20">
        <f>IFERROR(VLOOKUP(A111,#REF!,3,0),0)</f>
        <v>0</v>
      </c>
      <c r="D111" s="20">
        <f>IFERROR(VLOOKUP(A111,#REF!,4,0),0)</f>
        <v>0</v>
      </c>
      <c r="G111" s="3"/>
    </row>
    <row r="112" spans="1:7">
      <c r="A112" s="14" t="s">
        <v>1247</v>
      </c>
      <c r="B112" s="15" t="str">
        <f>IFERROR(VLOOKUP(A112,#REF!,2,0)," ")</f>
        <v xml:space="preserve"> </v>
      </c>
      <c r="C112" s="20">
        <f>IFERROR(VLOOKUP(A112,#REF!,3,0),0)</f>
        <v>0</v>
      </c>
      <c r="D112" s="20">
        <f>IFERROR(VLOOKUP(A112,#REF!,4,0),0)</f>
        <v>0</v>
      </c>
      <c r="G112" s="3"/>
    </row>
    <row r="113" spans="1:7">
      <c r="A113" s="14" t="s">
        <v>1303</v>
      </c>
      <c r="B113" s="15" t="str">
        <f>IFERROR(VLOOKUP(A113,#REF!,2,0)," ")</f>
        <v xml:space="preserve"> </v>
      </c>
      <c r="C113" s="20">
        <f>IFERROR(VLOOKUP(A113,#REF!,3,0),0)</f>
        <v>0</v>
      </c>
      <c r="D113" s="20">
        <f>IFERROR(VLOOKUP(A113,#REF!,4,0),0)</f>
        <v>0</v>
      </c>
      <c r="G113" s="3"/>
    </row>
    <row r="114" spans="1:7">
      <c r="A114" s="14" t="s">
        <v>1301</v>
      </c>
      <c r="B114" s="15" t="str">
        <f>IFERROR(VLOOKUP(A114,#REF!,2,0)," ")</f>
        <v xml:space="preserve"> </v>
      </c>
      <c r="C114" s="20">
        <f>IFERROR(VLOOKUP(A114,#REF!,3,0),0)</f>
        <v>0</v>
      </c>
      <c r="D114" s="20">
        <f>IFERROR(VLOOKUP(A114,#REF!,4,0),0)</f>
        <v>0</v>
      </c>
      <c r="G114" s="3"/>
    </row>
    <row r="115" spans="1:7">
      <c r="A115" s="14" t="s">
        <v>1298</v>
      </c>
      <c r="B115" s="15" t="str">
        <f>IFERROR(VLOOKUP(A115,#REF!,2,0)," ")</f>
        <v xml:space="preserve"> </v>
      </c>
      <c r="C115" s="20">
        <f>IFERROR(VLOOKUP(A115,#REF!,3,0),0)</f>
        <v>0</v>
      </c>
      <c r="D115" s="20">
        <f>IFERROR(VLOOKUP(A115,#REF!,4,0),0)</f>
        <v>0</v>
      </c>
      <c r="G115" s="3"/>
    </row>
    <row r="116" spans="1:7">
      <c r="A116" s="14" t="s">
        <v>831</v>
      </c>
      <c r="B116" s="15" t="str">
        <f>IFERROR(VLOOKUP(A116,#REF!,2,0)," ")</f>
        <v xml:space="preserve"> </v>
      </c>
      <c r="C116" s="20">
        <f>IFERROR(VLOOKUP(A116,#REF!,3,0),0)</f>
        <v>0</v>
      </c>
      <c r="D116" s="20">
        <f>IFERROR(VLOOKUP(A116,#REF!,4,0),0)</f>
        <v>0</v>
      </c>
      <c r="G116" s="3"/>
    </row>
    <row r="117" spans="1:7">
      <c r="A117" s="14" t="s">
        <v>830</v>
      </c>
      <c r="B117" s="15" t="str">
        <f>IFERROR(VLOOKUP(A117,#REF!,2,0)," ")</f>
        <v xml:space="preserve"> </v>
      </c>
      <c r="C117" s="20">
        <f>IFERROR(VLOOKUP(A117,#REF!,3,0),0)</f>
        <v>0</v>
      </c>
      <c r="D117" s="20">
        <f>IFERROR(VLOOKUP(A117,#REF!,4,0),0)</f>
        <v>0</v>
      </c>
      <c r="G117" s="3"/>
    </row>
    <row r="118" spans="1:7">
      <c r="A118" s="14" t="s">
        <v>96</v>
      </c>
      <c r="B118" s="15" t="str">
        <f>IFERROR(VLOOKUP(A118,#REF!,2,0)," ")</f>
        <v xml:space="preserve"> </v>
      </c>
      <c r="C118" s="20">
        <f>IFERROR(VLOOKUP(A118,#REF!,3,0),0)</f>
        <v>0</v>
      </c>
      <c r="D118" s="20">
        <f>IFERROR(VLOOKUP(A118,#REF!,4,0),0)</f>
        <v>0</v>
      </c>
    </row>
    <row r="119" spans="1:7">
      <c r="A119" s="14" t="s">
        <v>1249</v>
      </c>
      <c r="B119" s="15" t="str">
        <f>IFERROR(VLOOKUP(A119,#REF!,2,0)," ")</f>
        <v xml:space="preserve"> </v>
      </c>
      <c r="C119" s="20">
        <f>IFERROR(VLOOKUP(A119,#REF!,3,0),0)</f>
        <v>0</v>
      </c>
      <c r="D119" s="20">
        <f>IFERROR(VLOOKUP(A119,#REF!,4,0),0)</f>
        <v>0</v>
      </c>
    </row>
    <row r="120" spans="1:7" ht="15">
      <c r="A120" s="69" t="s">
        <v>877</v>
      </c>
      <c r="B120" s="69"/>
      <c r="C120" s="69"/>
      <c r="D120" s="70" t="s">
        <v>2150</v>
      </c>
    </row>
    <row r="121" spans="1:7" ht="12">
      <c r="A121" s="18" t="s">
        <v>370</v>
      </c>
      <c r="B121" s="18" t="s">
        <v>565</v>
      </c>
      <c r="C121" s="16" t="s">
        <v>371</v>
      </c>
      <c r="D121" s="70"/>
    </row>
    <row r="122" spans="1:7" s="2" customFormat="1">
      <c r="A122" s="14" t="s">
        <v>942</v>
      </c>
      <c r="B122" s="15" t="str">
        <f>IFERROR(VLOOKUP(A122,#REF!,2,0)," ")</f>
        <v xml:space="preserve"> </v>
      </c>
      <c r="C122" s="20">
        <f>IFERROR(VLOOKUP(A122,#REF!,3,0),0)</f>
        <v>0</v>
      </c>
      <c r="D122" s="20">
        <f>IFERROR(VLOOKUP(A122,#REF!,4,0),0)</f>
        <v>0</v>
      </c>
    </row>
    <row r="123" spans="1:7">
      <c r="A123" s="14" t="s">
        <v>317</v>
      </c>
      <c r="B123" s="15" t="str">
        <f>IFERROR(VLOOKUP(A123,#REF!,2,0)," ")</f>
        <v xml:space="preserve"> </v>
      </c>
      <c r="C123" s="20">
        <f>IFERROR(VLOOKUP(A123,#REF!,3,0),0)</f>
        <v>0</v>
      </c>
      <c r="D123" s="20">
        <f>IFERROR(VLOOKUP(A123,#REF!,4,0),0)</f>
        <v>0</v>
      </c>
      <c r="E123" s="5"/>
      <c r="G123" s="3"/>
    </row>
    <row r="124" spans="1:7">
      <c r="A124" s="14" t="s">
        <v>674</v>
      </c>
      <c r="B124" s="15" t="str">
        <f>IFERROR(VLOOKUP(A124,#REF!,2,0)," ")</f>
        <v xml:space="preserve"> </v>
      </c>
      <c r="C124" s="20">
        <f>IFERROR(VLOOKUP(A124,#REF!,3,0),0)</f>
        <v>0</v>
      </c>
      <c r="D124" s="20">
        <f>IFERROR(VLOOKUP(A124,#REF!,4,0),0)</f>
        <v>0</v>
      </c>
      <c r="E124" s="5"/>
      <c r="G124" s="3"/>
    </row>
    <row r="125" spans="1:7">
      <c r="A125" s="14" t="s">
        <v>332</v>
      </c>
      <c r="B125" s="15" t="str">
        <f>IFERROR(VLOOKUP(A125,#REF!,2,0)," ")</f>
        <v xml:space="preserve"> </v>
      </c>
      <c r="C125" s="20">
        <f>IFERROR(VLOOKUP(A125,#REF!,3,0),0)</f>
        <v>0</v>
      </c>
      <c r="D125" s="20">
        <f>IFERROR(VLOOKUP(A125,#REF!,4,0),0)</f>
        <v>0</v>
      </c>
      <c r="E125" s="5"/>
      <c r="G125" s="3"/>
    </row>
    <row r="126" spans="1:7">
      <c r="A126" s="14" t="s">
        <v>117</v>
      </c>
      <c r="B126" s="15" t="str">
        <f>IFERROR(VLOOKUP(A126,#REF!,2,0)," ")</f>
        <v xml:space="preserve"> </v>
      </c>
      <c r="C126" s="20">
        <f>IFERROR(VLOOKUP(A126,#REF!,3,0),0)</f>
        <v>0</v>
      </c>
      <c r="D126" s="20">
        <f>IFERROR(VLOOKUP(A126,#REF!,4,0),0)</f>
        <v>0</v>
      </c>
      <c r="E126" s="5"/>
      <c r="G126" s="3"/>
    </row>
    <row r="127" spans="1:7">
      <c r="A127" s="14" t="s">
        <v>410</v>
      </c>
      <c r="B127" s="15" t="str">
        <f>IFERROR(VLOOKUP(A127,#REF!,2,0)," ")</f>
        <v xml:space="preserve"> </v>
      </c>
      <c r="C127" s="20">
        <f>IFERROR(VLOOKUP(A127,#REF!,3,0),0)</f>
        <v>0</v>
      </c>
      <c r="D127" s="20">
        <f>IFERROR(VLOOKUP(A127,#REF!,4,0),0)</f>
        <v>0</v>
      </c>
      <c r="E127" s="5"/>
      <c r="G127" s="3"/>
    </row>
    <row r="128" spans="1:7">
      <c r="A128" s="14" t="s">
        <v>874</v>
      </c>
      <c r="B128" s="15" t="str">
        <f>IFERROR(VLOOKUP(A128,#REF!,2,0)," ")</f>
        <v xml:space="preserve"> </v>
      </c>
      <c r="C128" s="20">
        <f>IFERROR(VLOOKUP(A128,#REF!,3,0),0)</f>
        <v>0</v>
      </c>
      <c r="D128" s="20">
        <f>IFERROR(VLOOKUP(A128,#REF!,4,0),0)</f>
        <v>0</v>
      </c>
      <c r="E128" s="5"/>
      <c r="G128" s="3"/>
    </row>
    <row r="129" spans="1:7">
      <c r="A129" s="14" t="s">
        <v>394</v>
      </c>
      <c r="B129" s="15" t="str">
        <f>IFERROR(VLOOKUP(A129,#REF!,2,0)," ")</f>
        <v xml:space="preserve"> </v>
      </c>
      <c r="C129" s="20">
        <f>IFERROR(VLOOKUP(A129,#REF!,3,0),0)</f>
        <v>0</v>
      </c>
      <c r="D129" s="20">
        <f>IFERROR(VLOOKUP(A129,#REF!,4,0),0)</f>
        <v>0</v>
      </c>
      <c r="E129" s="5"/>
      <c r="G129" s="3"/>
    </row>
    <row r="130" spans="1:7">
      <c r="A130" s="14" t="s">
        <v>110</v>
      </c>
      <c r="B130" s="15" t="str">
        <f>IFERROR(VLOOKUP(A130,#REF!,2,0)," ")</f>
        <v xml:space="preserve"> </v>
      </c>
      <c r="C130" s="20">
        <f>IFERROR(VLOOKUP(A130,#REF!,3,0),0)</f>
        <v>0</v>
      </c>
      <c r="D130" s="20">
        <f>IFERROR(VLOOKUP(A130,#REF!,4,0),0)</f>
        <v>0</v>
      </c>
      <c r="E130" s="5"/>
      <c r="G130" s="3"/>
    </row>
    <row r="131" spans="1:7">
      <c r="A131" s="14" t="s">
        <v>62</v>
      </c>
      <c r="B131" s="15" t="str">
        <f>IFERROR(VLOOKUP(A131,#REF!,2,0)," ")</f>
        <v xml:space="preserve"> </v>
      </c>
      <c r="C131" s="20">
        <f>IFERROR(VLOOKUP(A131,#REF!,3,0),0)</f>
        <v>0</v>
      </c>
      <c r="D131" s="20">
        <f>IFERROR(VLOOKUP(A131,#REF!,4,0),0)</f>
        <v>0</v>
      </c>
      <c r="E131" s="5"/>
      <c r="G131" s="3"/>
    </row>
    <row r="132" spans="1:7">
      <c r="A132" s="14" t="s">
        <v>120</v>
      </c>
      <c r="B132" s="15" t="str">
        <f>IFERROR(VLOOKUP(A132,#REF!,2,0)," ")</f>
        <v xml:space="preserve"> </v>
      </c>
      <c r="C132" s="20">
        <f>IFERROR(VLOOKUP(A132,#REF!,3,0),0)</f>
        <v>0</v>
      </c>
      <c r="D132" s="20">
        <f>IFERROR(VLOOKUP(A132,#REF!,4,0),0)</f>
        <v>0</v>
      </c>
      <c r="E132" s="5"/>
      <c r="G132" s="3"/>
    </row>
    <row r="133" spans="1:7">
      <c r="A133" s="14" t="s">
        <v>548</v>
      </c>
      <c r="B133" s="15" t="str">
        <f>IFERROR(VLOOKUP(A133,#REF!,2,0)," ")</f>
        <v xml:space="preserve"> </v>
      </c>
      <c r="C133" s="20">
        <f>IFERROR(VLOOKUP(A133,#REF!,3,0),0)</f>
        <v>0</v>
      </c>
      <c r="D133" s="20">
        <f>IFERROR(VLOOKUP(A133,#REF!,4,0),0)</f>
        <v>0</v>
      </c>
      <c r="E133" s="5"/>
      <c r="G133" s="3"/>
    </row>
    <row r="134" spans="1:7">
      <c r="A134" s="14" t="s">
        <v>1271</v>
      </c>
      <c r="B134" s="15" t="str">
        <f>IFERROR(VLOOKUP(A134,#REF!,2,0)," ")</f>
        <v xml:space="preserve"> </v>
      </c>
      <c r="C134" s="20">
        <f>IFERROR(VLOOKUP(A134,#REF!,3,0),0)</f>
        <v>0</v>
      </c>
      <c r="D134" s="20">
        <f>IFERROR(VLOOKUP(A134,#REF!,4,0),0)</f>
        <v>0</v>
      </c>
      <c r="E134" s="5"/>
      <c r="G134" s="3"/>
    </row>
    <row r="135" spans="1:7">
      <c r="A135" s="14" t="s">
        <v>816</v>
      </c>
      <c r="B135" s="15" t="str">
        <f>IFERROR(VLOOKUP(A135,#REF!,2,0)," ")</f>
        <v xml:space="preserve"> </v>
      </c>
      <c r="C135" s="20">
        <f>IFERROR(VLOOKUP(A135,#REF!,3,0),0)</f>
        <v>0</v>
      </c>
      <c r="D135" s="20">
        <f>IFERROR(VLOOKUP(A135,#REF!,4,0),0)</f>
        <v>0</v>
      </c>
      <c r="E135" s="5"/>
      <c r="G135" s="3"/>
    </row>
    <row r="136" spans="1:7">
      <c r="A136" s="14" t="s">
        <v>377</v>
      </c>
      <c r="B136" s="15" t="str">
        <f>IFERROR(VLOOKUP(A136,#REF!,2,0)," ")</f>
        <v xml:space="preserve"> </v>
      </c>
      <c r="C136" s="20">
        <f>IFERROR(VLOOKUP(A136,#REF!,3,0),0)</f>
        <v>0</v>
      </c>
      <c r="D136" s="20">
        <f>IFERROR(VLOOKUP(A136,#REF!,4,0),0)</f>
        <v>0</v>
      </c>
      <c r="E136" s="5"/>
      <c r="G136" s="3"/>
    </row>
    <row r="137" spans="1:7">
      <c r="A137" s="14" t="s">
        <v>1283</v>
      </c>
      <c r="B137" s="15" t="str">
        <f>IFERROR(VLOOKUP(A137,#REF!,2,0)," ")</f>
        <v xml:space="preserve"> </v>
      </c>
      <c r="C137" s="20">
        <f>IFERROR(VLOOKUP(A137,#REF!,3,0),0)</f>
        <v>0</v>
      </c>
      <c r="D137" s="20">
        <f>IFERROR(VLOOKUP(A137,#REF!,4,0),0)</f>
        <v>0</v>
      </c>
      <c r="E137" s="5"/>
      <c r="G137" s="3"/>
    </row>
    <row r="138" spans="1:7">
      <c r="A138" s="14" t="s">
        <v>744</v>
      </c>
      <c r="B138" s="15" t="str">
        <f>IFERROR(VLOOKUP(A138,#REF!,2,0)," ")</f>
        <v xml:space="preserve"> </v>
      </c>
      <c r="C138" s="20">
        <f>IFERROR(VLOOKUP(A138,#REF!,3,0),0)</f>
        <v>0</v>
      </c>
      <c r="D138" s="20">
        <f>IFERROR(VLOOKUP(A138,#REF!,4,0),0)</f>
        <v>0</v>
      </c>
      <c r="E138" s="5"/>
      <c r="G138" s="3"/>
    </row>
    <row r="139" spans="1:7">
      <c r="A139" s="14" t="s">
        <v>911</v>
      </c>
      <c r="B139" s="15" t="str">
        <f>IFERROR(VLOOKUP(A139,#REF!,2,0)," ")</f>
        <v xml:space="preserve"> </v>
      </c>
      <c r="C139" s="20">
        <f>IFERROR(VLOOKUP(A139,#REF!,3,0),0)</f>
        <v>0</v>
      </c>
      <c r="D139" s="20">
        <f>IFERROR(VLOOKUP(A139,#REF!,4,0),0)</f>
        <v>0</v>
      </c>
      <c r="E139" s="5"/>
      <c r="G139" s="3"/>
    </row>
    <row r="140" spans="1:7">
      <c r="A140" s="14" t="s">
        <v>169</v>
      </c>
      <c r="B140" s="15" t="str">
        <f>IFERROR(VLOOKUP(A140,#REF!,2,0)," ")</f>
        <v xml:space="preserve"> </v>
      </c>
      <c r="C140" s="20">
        <f>IFERROR(VLOOKUP(A140,#REF!,3,0),0)</f>
        <v>0</v>
      </c>
      <c r="D140" s="20">
        <f>IFERROR(VLOOKUP(A140,#REF!,4,0),0)</f>
        <v>0</v>
      </c>
      <c r="E140" s="5"/>
      <c r="G140" s="3"/>
    </row>
    <row r="141" spans="1:7">
      <c r="A141" s="14" t="s">
        <v>56</v>
      </c>
      <c r="B141" s="15" t="str">
        <f>IFERROR(VLOOKUP(A141,#REF!,2,0)," ")</f>
        <v xml:space="preserve"> </v>
      </c>
      <c r="C141" s="20">
        <f>IFERROR(VLOOKUP(A141,#REF!,3,0),0)</f>
        <v>0</v>
      </c>
      <c r="D141" s="20">
        <f>IFERROR(VLOOKUP(A141,#REF!,4,0),0)</f>
        <v>0</v>
      </c>
      <c r="E141" s="5"/>
      <c r="G141" s="3"/>
    </row>
    <row r="142" spans="1:7">
      <c r="A142" s="14" t="s">
        <v>1256</v>
      </c>
      <c r="B142" s="15" t="str">
        <f>IFERROR(VLOOKUP(A142,#REF!,2,0)," ")</f>
        <v xml:space="preserve"> </v>
      </c>
      <c r="C142" s="20">
        <f>IFERROR(VLOOKUP(A142,#REF!,3,0),0)</f>
        <v>0</v>
      </c>
      <c r="D142" s="20">
        <f>IFERROR(VLOOKUP(A142,#REF!,4,0),0)</f>
        <v>0</v>
      </c>
      <c r="E142" s="5"/>
      <c r="G142" s="3"/>
    </row>
    <row r="143" spans="1:7">
      <c r="A143" s="14" t="s">
        <v>1252</v>
      </c>
      <c r="B143" s="15" t="str">
        <f>IFERROR(VLOOKUP(A143,#REF!,2,0)," ")</f>
        <v xml:space="preserve"> </v>
      </c>
      <c r="C143" s="20">
        <f>IFERROR(VLOOKUP(A143,#REF!,3,0),0)</f>
        <v>0</v>
      </c>
      <c r="D143" s="20">
        <f>IFERROR(VLOOKUP(A143,#REF!,4,0),0)</f>
        <v>0</v>
      </c>
      <c r="E143" s="5"/>
      <c r="G143" s="3"/>
    </row>
    <row r="144" spans="1:7">
      <c r="A144" s="14" t="s">
        <v>505</v>
      </c>
      <c r="B144" s="15" t="str">
        <f>IFERROR(VLOOKUP(A144,#REF!,2,0)," ")</f>
        <v xml:space="preserve"> </v>
      </c>
      <c r="C144" s="20">
        <f>IFERROR(VLOOKUP(A144,#REF!,3,0),0)</f>
        <v>0</v>
      </c>
      <c r="D144" s="20">
        <f>IFERROR(VLOOKUP(A144,#REF!,4,0),0)</f>
        <v>0</v>
      </c>
      <c r="E144" s="5"/>
      <c r="G144" s="3"/>
    </row>
    <row r="145" spans="1:7">
      <c r="A145" s="14" t="s">
        <v>630</v>
      </c>
      <c r="B145" s="15" t="str">
        <f>IFERROR(VLOOKUP(A145,#REF!,2,0)," ")</f>
        <v xml:space="preserve"> </v>
      </c>
      <c r="C145" s="20">
        <f>IFERROR(VLOOKUP(A145,#REF!,3,0),0)</f>
        <v>0</v>
      </c>
      <c r="D145" s="20">
        <f>IFERROR(VLOOKUP(A145,#REF!,4,0),0)</f>
        <v>0</v>
      </c>
      <c r="E145" s="5"/>
      <c r="G145" s="3"/>
    </row>
    <row r="146" spans="1:7">
      <c r="A146" s="14" t="s">
        <v>834</v>
      </c>
      <c r="B146" s="15" t="str">
        <f>IFERROR(VLOOKUP(A146,#REF!,2,0)," ")</f>
        <v xml:space="preserve"> </v>
      </c>
      <c r="C146" s="20">
        <f>IFERROR(VLOOKUP(A146,#REF!,3,0),0)</f>
        <v>0</v>
      </c>
      <c r="D146" s="20">
        <f>IFERROR(VLOOKUP(A146,#REF!,4,0),0)</f>
        <v>0</v>
      </c>
      <c r="E146" s="5"/>
      <c r="G146" s="3"/>
    </row>
    <row r="147" spans="1:7">
      <c r="A147" s="14" t="s">
        <v>556</v>
      </c>
      <c r="B147" s="15" t="str">
        <f>IFERROR(VLOOKUP(A147,#REF!,2,0)," ")</f>
        <v xml:space="preserve"> </v>
      </c>
      <c r="C147" s="20">
        <f>IFERROR(VLOOKUP(A147,#REF!,3,0),0)</f>
        <v>0</v>
      </c>
      <c r="D147" s="20">
        <f>IFERROR(VLOOKUP(A147,#REF!,4,0),0)</f>
        <v>0</v>
      </c>
      <c r="E147" s="5"/>
      <c r="G147" s="3"/>
    </row>
    <row r="148" spans="1:7" ht="15">
      <c r="A148" s="69" t="s">
        <v>878</v>
      </c>
      <c r="B148" s="69"/>
      <c r="C148" s="69"/>
      <c r="D148" s="70" t="s">
        <v>2150</v>
      </c>
      <c r="E148" s="5"/>
      <c r="G148" s="3"/>
    </row>
    <row r="149" spans="1:7" ht="12">
      <c r="A149" s="18" t="s">
        <v>370</v>
      </c>
      <c r="B149" s="18" t="s">
        <v>565</v>
      </c>
      <c r="C149" s="16" t="s">
        <v>371</v>
      </c>
      <c r="D149" s="70"/>
      <c r="E149" s="5"/>
    </row>
    <row r="150" spans="1:7" s="2" customFormat="1">
      <c r="A150" s="14" t="s">
        <v>493</v>
      </c>
      <c r="B150" s="15" t="str">
        <f>IFERROR(VLOOKUP(A150,#REF!,2,0)," ")</f>
        <v xml:space="preserve"> </v>
      </c>
      <c r="C150" s="20">
        <f>IFERROR(VLOOKUP(A150,#REF!,3,0),0)</f>
        <v>0</v>
      </c>
      <c r="D150" s="20">
        <f>IFERROR(VLOOKUP(A150,#REF!,4,0),0)</f>
        <v>0</v>
      </c>
      <c r="E150" s="5"/>
    </row>
    <row r="151" spans="1:7" s="2" customFormat="1">
      <c r="A151" s="14" t="s">
        <v>1098</v>
      </c>
      <c r="B151" s="15" t="str">
        <f>IFERROR(VLOOKUP(A151,#REF!,2,0)," ")</f>
        <v xml:space="preserve"> </v>
      </c>
      <c r="C151" s="20">
        <f>IFERROR(VLOOKUP(A151,#REF!,3,0),0)</f>
        <v>0</v>
      </c>
      <c r="D151" s="20">
        <f>IFERROR(VLOOKUP(A151,#REF!,4,0),0)</f>
        <v>0</v>
      </c>
      <c r="E151" s="5"/>
      <c r="G151" s="6"/>
    </row>
    <row r="152" spans="1:7">
      <c r="A152" s="14" t="s">
        <v>386</v>
      </c>
      <c r="B152" s="15" t="str">
        <f>IFERROR(VLOOKUP(A152,#REF!,2,0)," ")</f>
        <v xml:space="preserve"> </v>
      </c>
      <c r="C152" s="20">
        <f>IFERROR(VLOOKUP(A152,#REF!,3,0),0)</f>
        <v>0</v>
      </c>
      <c r="D152" s="20">
        <f>IFERROR(VLOOKUP(A152,#REF!,4,0),0)</f>
        <v>0</v>
      </c>
      <c r="E152" s="5"/>
      <c r="G152" s="6"/>
    </row>
    <row r="153" spans="1:7">
      <c r="A153" s="14" t="s">
        <v>530</v>
      </c>
      <c r="B153" s="15" t="str">
        <f>IFERROR(VLOOKUP(A153,#REF!,2,0)," ")</f>
        <v xml:space="preserve"> </v>
      </c>
      <c r="C153" s="20">
        <f>IFERROR(VLOOKUP(A153,#REF!,3,0),0)</f>
        <v>0</v>
      </c>
      <c r="D153" s="20">
        <f>IFERROR(VLOOKUP(A153,#REF!,4,0),0)</f>
        <v>0</v>
      </c>
      <c r="E153" s="5"/>
      <c r="G153" s="6"/>
    </row>
    <row r="154" spans="1:7">
      <c r="A154" s="14" t="s">
        <v>1186</v>
      </c>
      <c r="B154" s="15" t="str">
        <f>IFERROR(VLOOKUP(A154,#REF!,2,0)," ")</f>
        <v xml:space="preserve"> </v>
      </c>
      <c r="C154" s="20">
        <f>IFERROR(VLOOKUP(A154,#REF!,3,0),0)</f>
        <v>0</v>
      </c>
      <c r="D154" s="20">
        <f>IFERROR(VLOOKUP(A154,#REF!,4,0),0)</f>
        <v>0</v>
      </c>
      <c r="E154" s="5"/>
      <c r="G154" s="6"/>
    </row>
    <row r="155" spans="1:7">
      <c r="A155" s="14" t="s">
        <v>1177</v>
      </c>
      <c r="B155" s="15" t="str">
        <f>IFERROR(VLOOKUP(A155,#REF!,2,0)," ")</f>
        <v xml:space="preserve"> </v>
      </c>
      <c r="C155" s="20">
        <f>IFERROR(VLOOKUP(A155,#REF!,3,0),0)</f>
        <v>0</v>
      </c>
      <c r="D155" s="20">
        <f>IFERROR(VLOOKUP(A155,#REF!,4,0),0)</f>
        <v>0</v>
      </c>
      <c r="E155" s="5"/>
      <c r="G155" s="6"/>
    </row>
    <row r="156" spans="1:7">
      <c r="A156" s="14" t="s">
        <v>1344</v>
      </c>
      <c r="B156" s="15" t="str">
        <f>IFERROR(VLOOKUP(A156,#REF!,2,0)," ")</f>
        <v xml:space="preserve"> </v>
      </c>
      <c r="C156" s="20">
        <f>IFERROR(VLOOKUP(A156,#REF!,3,0),0)</f>
        <v>0</v>
      </c>
      <c r="D156" s="20">
        <f>IFERROR(VLOOKUP(A156,#REF!,4,0),0)</f>
        <v>0</v>
      </c>
      <c r="E156" s="5"/>
      <c r="G156" s="6"/>
    </row>
    <row r="157" spans="1:7">
      <c r="A157" s="14" t="s">
        <v>1182</v>
      </c>
      <c r="B157" s="15" t="str">
        <f>IFERROR(VLOOKUP(A157,#REF!,2,0)," ")</f>
        <v xml:space="preserve"> </v>
      </c>
      <c r="C157" s="20">
        <f>IFERROR(VLOOKUP(A157,#REF!,3,0),0)</f>
        <v>0</v>
      </c>
      <c r="D157" s="20">
        <f>IFERROR(VLOOKUP(A157,#REF!,4,0),0)</f>
        <v>0</v>
      </c>
      <c r="E157" s="5"/>
      <c r="G157" s="6"/>
    </row>
    <row r="158" spans="1:7">
      <c r="A158" s="14" t="s">
        <v>1389</v>
      </c>
      <c r="B158" s="15" t="str">
        <f>IFERROR(VLOOKUP(A158,#REF!,2,0)," ")</f>
        <v xml:space="preserve"> </v>
      </c>
      <c r="C158" s="20">
        <f>IFERROR(VLOOKUP(A158,#REF!,3,0),0)</f>
        <v>0</v>
      </c>
      <c r="D158" s="20">
        <f>IFERROR(VLOOKUP(A158,#REF!,4,0),0)</f>
        <v>0</v>
      </c>
      <c r="E158" s="5"/>
      <c r="G158" s="6"/>
    </row>
    <row r="159" spans="1:7">
      <c r="A159" s="14" t="s">
        <v>153</v>
      </c>
      <c r="B159" s="15" t="str">
        <f>IFERROR(VLOOKUP(A159,#REF!,2,0)," ")</f>
        <v xml:space="preserve"> </v>
      </c>
      <c r="C159" s="20">
        <f>IFERROR(VLOOKUP(A159,#REF!,3,0),0)</f>
        <v>0</v>
      </c>
      <c r="D159" s="20">
        <f>IFERROR(VLOOKUP(A159,#REF!,4,0),0)</f>
        <v>0</v>
      </c>
      <c r="E159" s="5"/>
      <c r="G159" s="6"/>
    </row>
    <row r="160" spans="1:7">
      <c r="A160" s="14" t="s">
        <v>637</v>
      </c>
      <c r="B160" s="15" t="str">
        <f>IFERROR(VLOOKUP(A160,#REF!,2,0)," ")</f>
        <v xml:space="preserve"> </v>
      </c>
      <c r="C160" s="20">
        <f>IFERROR(VLOOKUP(A160,#REF!,3,0),0)</f>
        <v>0</v>
      </c>
      <c r="D160" s="20">
        <f>IFERROR(VLOOKUP(A160,#REF!,4,0),0)</f>
        <v>0</v>
      </c>
      <c r="E160" s="5"/>
      <c r="G160" s="6"/>
    </row>
    <row r="161" spans="1:7">
      <c r="A161" s="14" t="s">
        <v>716</v>
      </c>
      <c r="B161" s="15" t="str">
        <f>IFERROR(VLOOKUP(A161,#REF!,2,0)," ")</f>
        <v xml:space="preserve"> </v>
      </c>
      <c r="C161" s="20">
        <f>IFERROR(VLOOKUP(A161,#REF!,3,0),0)</f>
        <v>0</v>
      </c>
      <c r="D161" s="20">
        <f>IFERROR(VLOOKUP(A161,#REF!,4,0),0)</f>
        <v>0</v>
      </c>
      <c r="E161" s="5"/>
      <c r="G161" s="6"/>
    </row>
    <row r="162" spans="1:7">
      <c r="A162" s="14" t="s">
        <v>508</v>
      </c>
      <c r="B162" s="15" t="str">
        <f>IFERROR(VLOOKUP(A162,#REF!,2,0)," ")</f>
        <v xml:space="preserve"> </v>
      </c>
      <c r="C162" s="20">
        <f>IFERROR(VLOOKUP(A162,#REF!,3,0),0)</f>
        <v>0</v>
      </c>
      <c r="D162" s="20">
        <f>IFERROR(VLOOKUP(A162,#REF!,4,0),0)</f>
        <v>0</v>
      </c>
      <c r="E162" s="5"/>
      <c r="G162" s="6"/>
    </row>
    <row r="163" spans="1:7">
      <c r="A163" s="14" t="s">
        <v>701</v>
      </c>
      <c r="B163" s="15" t="str">
        <f>IFERROR(VLOOKUP(A163,#REF!,2,0)," ")</f>
        <v xml:space="preserve"> </v>
      </c>
      <c r="C163" s="20">
        <f>IFERROR(VLOOKUP(A163,#REF!,3,0),0)</f>
        <v>0</v>
      </c>
      <c r="D163" s="20">
        <f>IFERROR(VLOOKUP(A163,#REF!,4,0),0)</f>
        <v>0</v>
      </c>
      <c r="E163" s="5"/>
      <c r="G163" s="6"/>
    </row>
    <row r="164" spans="1:7">
      <c r="A164" s="14" t="s">
        <v>1106</v>
      </c>
      <c r="B164" s="15" t="str">
        <f>IFERROR(VLOOKUP(A164,#REF!,2,0)," ")</f>
        <v xml:space="preserve"> </v>
      </c>
      <c r="C164" s="20">
        <f>IFERROR(VLOOKUP(A164,#REF!,3,0),0)</f>
        <v>0</v>
      </c>
      <c r="D164" s="20">
        <f>IFERROR(VLOOKUP(A164,#REF!,4,0),0)</f>
        <v>0</v>
      </c>
      <c r="E164" s="5"/>
      <c r="G164" s="6"/>
    </row>
    <row r="165" spans="1:7">
      <c r="A165" s="14" t="s">
        <v>954</v>
      </c>
      <c r="B165" s="15" t="str">
        <f>IFERROR(VLOOKUP(A165,#REF!,2,0)," ")</f>
        <v xml:space="preserve"> </v>
      </c>
      <c r="C165" s="20">
        <f>IFERROR(VLOOKUP(A165,#REF!,3,0),0)</f>
        <v>0</v>
      </c>
      <c r="D165" s="20">
        <f>IFERROR(VLOOKUP(A165,#REF!,4,0),0)</f>
        <v>0</v>
      </c>
      <c r="E165" s="5"/>
      <c r="G165" s="6"/>
    </row>
    <row r="166" spans="1:7">
      <c r="A166" s="14" t="s">
        <v>428</v>
      </c>
      <c r="B166" s="15" t="str">
        <f>IFERROR(VLOOKUP(A166,#REF!,2,0)," ")</f>
        <v xml:space="preserve"> </v>
      </c>
      <c r="C166" s="20">
        <f>IFERROR(VLOOKUP(A166,#REF!,3,0),0)</f>
        <v>0</v>
      </c>
      <c r="D166" s="20">
        <f>IFERROR(VLOOKUP(A166,#REF!,4,0),0)</f>
        <v>0</v>
      </c>
      <c r="E166" s="5"/>
      <c r="G166" s="6"/>
    </row>
    <row r="167" spans="1:7">
      <c r="A167" s="14" t="s">
        <v>897</v>
      </c>
      <c r="B167" s="15" t="str">
        <f>IFERROR(VLOOKUP(A167,#REF!,2,0)," ")</f>
        <v xml:space="preserve"> </v>
      </c>
      <c r="C167" s="20">
        <f>IFERROR(VLOOKUP(A167,#REF!,3,0),0)</f>
        <v>0</v>
      </c>
      <c r="D167" s="20">
        <f>IFERROR(VLOOKUP(A167,#REF!,4,0),0)</f>
        <v>0</v>
      </c>
      <c r="E167" s="5"/>
      <c r="G167" s="6"/>
    </row>
    <row r="168" spans="1:7">
      <c r="A168" s="14" t="s">
        <v>160</v>
      </c>
      <c r="B168" s="15" t="str">
        <f>IFERROR(VLOOKUP(A168,#REF!,2,0)," ")</f>
        <v xml:space="preserve"> </v>
      </c>
      <c r="C168" s="20">
        <f>IFERROR(VLOOKUP(A168,#REF!,3,0),0)</f>
        <v>0</v>
      </c>
      <c r="D168" s="20">
        <f>IFERROR(VLOOKUP(A168,#REF!,4,0),0)</f>
        <v>0</v>
      </c>
      <c r="E168" s="5"/>
      <c r="G168" s="6"/>
    </row>
    <row r="169" spans="1:7">
      <c r="A169" s="14" t="s">
        <v>1053</v>
      </c>
      <c r="B169" s="15" t="str">
        <f>IFERROR(VLOOKUP(A169,#REF!,2,0)," ")</f>
        <v xml:space="preserve"> </v>
      </c>
      <c r="C169" s="20">
        <f>IFERROR(VLOOKUP(A169,#REF!,3,0),0)</f>
        <v>0</v>
      </c>
      <c r="D169" s="20">
        <f>IFERROR(VLOOKUP(A169,#REF!,4,0),0)</f>
        <v>0</v>
      </c>
      <c r="E169" s="5"/>
      <c r="G169" s="6"/>
    </row>
    <row r="170" spans="1:7">
      <c r="A170" s="14" t="s">
        <v>1335</v>
      </c>
      <c r="B170" s="15" t="str">
        <f>IFERROR(VLOOKUP(A170,#REF!,2,0)," ")</f>
        <v xml:space="preserve"> </v>
      </c>
      <c r="C170" s="20">
        <f>IFERROR(VLOOKUP(A170,#REF!,3,0),0)</f>
        <v>0</v>
      </c>
      <c r="D170" s="20">
        <f>IFERROR(VLOOKUP(A170,#REF!,4,0),0)</f>
        <v>0</v>
      </c>
      <c r="E170" s="5"/>
      <c r="G170" s="6"/>
    </row>
    <row r="171" spans="1:7">
      <c r="A171" s="14" t="s">
        <v>1334</v>
      </c>
      <c r="B171" s="15" t="str">
        <f>IFERROR(VLOOKUP(A171,#REF!,2,0)," ")</f>
        <v xml:space="preserve"> </v>
      </c>
      <c r="C171" s="20">
        <f>IFERROR(VLOOKUP(A171,#REF!,3,0),0)</f>
        <v>0</v>
      </c>
      <c r="D171" s="20">
        <f>IFERROR(VLOOKUP(A171,#REF!,4,0),0)</f>
        <v>0</v>
      </c>
      <c r="E171" s="5"/>
      <c r="G171" s="6"/>
    </row>
    <row r="172" spans="1:7">
      <c r="A172" s="14" t="s">
        <v>1099</v>
      </c>
      <c r="B172" s="15" t="str">
        <f>IFERROR(VLOOKUP(A172,#REF!,2,0)," ")</f>
        <v xml:space="preserve"> </v>
      </c>
      <c r="C172" s="20">
        <f>IFERROR(VLOOKUP(A172,#REF!,3,0),0)</f>
        <v>0</v>
      </c>
      <c r="D172" s="20">
        <f>IFERROR(VLOOKUP(A172,#REF!,4,0),0)</f>
        <v>0</v>
      </c>
      <c r="E172" s="5"/>
      <c r="G172" s="6"/>
    </row>
    <row r="173" spans="1:7">
      <c r="A173" s="14" t="s">
        <v>703</v>
      </c>
      <c r="B173" s="15" t="str">
        <f>IFERROR(VLOOKUP(A173,#REF!,2,0)," ")</f>
        <v xml:space="preserve"> </v>
      </c>
      <c r="C173" s="20">
        <f>IFERROR(VLOOKUP(A173,#REF!,3,0),0)</f>
        <v>0</v>
      </c>
      <c r="D173" s="20">
        <f>IFERROR(VLOOKUP(A173,#REF!,4,0),0)</f>
        <v>0</v>
      </c>
      <c r="E173" s="5"/>
      <c r="G173" s="6"/>
    </row>
    <row r="174" spans="1:7">
      <c r="A174" s="14" t="s">
        <v>409</v>
      </c>
      <c r="B174" s="15" t="str">
        <f>IFERROR(VLOOKUP(A174,#REF!,2,0)," ")</f>
        <v xml:space="preserve"> </v>
      </c>
      <c r="C174" s="20">
        <f>IFERROR(VLOOKUP(A174,#REF!,3,0),0)</f>
        <v>0</v>
      </c>
      <c r="D174" s="20">
        <f>IFERROR(VLOOKUP(A174,#REF!,4,0),0)</f>
        <v>0</v>
      </c>
      <c r="E174" s="5"/>
      <c r="G174" s="6"/>
    </row>
    <row r="175" spans="1:7">
      <c r="A175" s="14" t="s">
        <v>873</v>
      </c>
      <c r="B175" s="15" t="str">
        <f>IFERROR(VLOOKUP(A175,#REF!,2,0)," ")</f>
        <v xml:space="preserve"> </v>
      </c>
      <c r="C175" s="20">
        <f>IFERROR(VLOOKUP(A175,#REF!,3,0),0)</f>
        <v>0</v>
      </c>
      <c r="D175" s="20">
        <f>IFERROR(VLOOKUP(A175,#REF!,4,0),0)</f>
        <v>0</v>
      </c>
      <c r="E175" s="5"/>
      <c r="G175" s="6"/>
    </row>
    <row r="176" spans="1:7">
      <c r="A176" s="14" t="s">
        <v>286</v>
      </c>
      <c r="B176" s="15" t="str">
        <f>IFERROR(VLOOKUP(A176,#REF!,2,0)," ")</f>
        <v xml:space="preserve"> </v>
      </c>
      <c r="C176" s="20">
        <f>IFERROR(VLOOKUP(A176,#REF!,3,0),0)</f>
        <v>0</v>
      </c>
      <c r="D176" s="20">
        <f>IFERROR(VLOOKUP(A176,#REF!,4,0),0)</f>
        <v>0</v>
      </c>
      <c r="E176" s="5"/>
      <c r="G176" s="6"/>
    </row>
    <row r="177" spans="1:7">
      <c r="A177" s="14" t="s">
        <v>865</v>
      </c>
      <c r="B177" s="15" t="str">
        <f>IFERROR(VLOOKUP(A177,#REF!,2,0)," ")</f>
        <v xml:space="preserve"> </v>
      </c>
      <c r="C177" s="20">
        <f>IFERROR(VLOOKUP(A177,#REF!,3,0),0)</f>
        <v>0</v>
      </c>
      <c r="D177" s="20">
        <f>IFERROR(VLOOKUP(A177,#REF!,4,0),0)</f>
        <v>0</v>
      </c>
      <c r="E177" s="5"/>
      <c r="G177" s="6"/>
    </row>
    <row r="178" spans="1:7">
      <c r="A178" s="14" t="s">
        <v>498</v>
      </c>
      <c r="B178" s="15" t="str">
        <f>IFERROR(VLOOKUP(A178,#REF!,2,0)," ")</f>
        <v xml:space="preserve"> </v>
      </c>
      <c r="C178" s="20">
        <f>IFERROR(VLOOKUP(A178,#REF!,3,0),0)</f>
        <v>0</v>
      </c>
      <c r="D178" s="20">
        <f>IFERROR(VLOOKUP(A178,#REF!,4,0),0)</f>
        <v>0</v>
      </c>
      <c r="E178" s="5"/>
      <c r="G178" s="6"/>
    </row>
    <row r="179" spans="1:7">
      <c r="A179" s="14" t="s">
        <v>146</v>
      </c>
      <c r="B179" s="15" t="str">
        <f>IFERROR(VLOOKUP(A179,#REF!,2,0)," ")</f>
        <v xml:space="preserve"> </v>
      </c>
      <c r="C179" s="20">
        <f>IFERROR(VLOOKUP(A179,#REF!,3,0),0)</f>
        <v>0</v>
      </c>
      <c r="D179" s="20">
        <f>IFERROR(VLOOKUP(A179,#REF!,4,0),0)</f>
        <v>0</v>
      </c>
      <c r="E179" s="5"/>
      <c r="G179" s="6"/>
    </row>
    <row r="180" spans="1:7">
      <c r="A180" s="14" t="s">
        <v>499</v>
      </c>
      <c r="B180" s="15" t="str">
        <f>IFERROR(VLOOKUP(A180,#REF!,2,0)," ")</f>
        <v xml:space="preserve"> </v>
      </c>
      <c r="C180" s="20">
        <f>IFERROR(VLOOKUP(A180,#REF!,3,0),0)</f>
        <v>0</v>
      </c>
      <c r="D180" s="20">
        <f>IFERROR(VLOOKUP(A180,#REF!,4,0),0)</f>
        <v>0</v>
      </c>
      <c r="E180" s="5"/>
      <c r="G180" s="6"/>
    </row>
    <row r="181" spans="1:7">
      <c r="A181" s="14" t="s">
        <v>948</v>
      </c>
      <c r="B181" s="15" t="str">
        <f>IFERROR(VLOOKUP(A181,#REF!,2,0)," ")</f>
        <v xml:space="preserve"> </v>
      </c>
      <c r="C181" s="20">
        <f>IFERROR(VLOOKUP(A181,#REF!,3,0),0)</f>
        <v>0</v>
      </c>
      <c r="D181" s="20">
        <f>IFERROR(VLOOKUP(A181,#REF!,4,0),0)</f>
        <v>0</v>
      </c>
      <c r="E181" s="5"/>
      <c r="G181" s="6"/>
    </row>
    <row r="182" spans="1:7">
      <c r="A182" s="14" t="s">
        <v>403</v>
      </c>
      <c r="B182" s="15" t="str">
        <f>IFERROR(VLOOKUP(A182,#REF!,2,0)," ")</f>
        <v xml:space="preserve"> </v>
      </c>
      <c r="C182" s="20">
        <f>IFERROR(VLOOKUP(A182,#REF!,3,0),0)</f>
        <v>0</v>
      </c>
      <c r="D182" s="20">
        <f>IFERROR(VLOOKUP(A182,#REF!,4,0),0)</f>
        <v>0</v>
      </c>
      <c r="E182" s="5"/>
      <c r="G182" s="6"/>
    </row>
    <row r="183" spans="1:7">
      <c r="A183" s="14" t="s">
        <v>658</v>
      </c>
      <c r="B183" s="15" t="str">
        <f>IFERROR(VLOOKUP(A183,#REF!,2,0)," ")</f>
        <v xml:space="preserve"> </v>
      </c>
      <c r="C183" s="20">
        <f>IFERROR(VLOOKUP(A183,#REF!,3,0),0)</f>
        <v>0</v>
      </c>
      <c r="D183" s="20">
        <f>IFERROR(VLOOKUP(A183,#REF!,4,0),0)</f>
        <v>0</v>
      </c>
      <c r="E183" s="5"/>
      <c r="G183" s="6"/>
    </row>
    <row r="184" spans="1:7">
      <c r="A184" s="14" t="s">
        <v>420</v>
      </c>
      <c r="B184" s="15" t="str">
        <f>IFERROR(VLOOKUP(A184,#REF!,2,0)," ")</f>
        <v xml:space="preserve"> </v>
      </c>
      <c r="C184" s="20">
        <f>IFERROR(VLOOKUP(A184,#REF!,3,0),0)</f>
        <v>0</v>
      </c>
      <c r="D184" s="20">
        <f>IFERROR(VLOOKUP(A184,#REF!,4,0),0)</f>
        <v>0</v>
      </c>
      <c r="E184" s="5"/>
      <c r="G184" s="6"/>
    </row>
    <row r="185" spans="1:7">
      <c r="A185" s="14" t="s">
        <v>415</v>
      </c>
      <c r="B185" s="15" t="str">
        <f>IFERROR(VLOOKUP(A185,#REF!,2,0)," ")</f>
        <v xml:space="preserve"> </v>
      </c>
      <c r="C185" s="20">
        <f>IFERROR(VLOOKUP(A185,#REF!,3,0),0)</f>
        <v>0</v>
      </c>
      <c r="D185" s="20">
        <f>IFERROR(VLOOKUP(A185,#REF!,4,0),0)</f>
        <v>0</v>
      </c>
      <c r="E185" s="5"/>
      <c r="G185" s="6"/>
    </row>
    <row r="186" spans="1:7">
      <c r="A186" s="14" t="s">
        <v>213</v>
      </c>
      <c r="B186" s="15" t="str">
        <f>IFERROR(VLOOKUP(A186,#REF!,2,0)," ")</f>
        <v xml:space="preserve"> </v>
      </c>
      <c r="C186" s="20">
        <f>IFERROR(VLOOKUP(A186,#REF!,3,0),0)</f>
        <v>0</v>
      </c>
      <c r="D186" s="20">
        <f>IFERROR(VLOOKUP(A186,#REF!,4,0),0)</f>
        <v>0</v>
      </c>
      <c r="E186" s="5"/>
      <c r="G186" s="6"/>
    </row>
    <row r="187" spans="1:7">
      <c r="A187" s="14" t="s">
        <v>206</v>
      </c>
      <c r="B187" s="15" t="str">
        <f>IFERROR(VLOOKUP(A187,#REF!,2,0)," ")</f>
        <v xml:space="preserve"> </v>
      </c>
      <c r="C187" s="20">
        <f>IFERROR(VLOOKUP(A187,#REF!,3,0),0)</f>
        <v>0</v>
      </c>
      <c r="D187" s="20">
        <f>IFERROR(VLOOKUP(A187,#REF!,4,0),0)</f>
        <v>0</v>
      </c>
      <c r="E187" s="5"/>
      <c r="G187" s="6"/>
    </row>
    <row r="188" spans="1:7">
      <c r="A188" s="14" t="s">
        <v>418</v>
      </c>
      <c r="B188" s="15" t="str">
        <f>IFERROR(VLOOKUP(A188,#REF!,2,0)," ")</f>
        <v xml:space="preserve"> </v>
      </c>
      <c r="C188" s="20">
        <f>IFERROR(VLOOKUP(A188,#REF!,3,0),0)</f>
        <v>0</v>
      </c>
      <c r="D188" s="20">
        <f>IFERROR(VLOOKUP(A188,#REF!,4,0),0)</f>
        <v>0</v>
      </c>
      <c r="E188" s="5"/>
      <c r="G188" s="6"/>
    </row>
    <row r="189" spans="1:7">
      <c r="A189" s="14" t="s">
        <v>718</v>
      </c>
      <c r="B189" s="15" t="str">
        <f>IFERROR(VLOOKUP(A189,#REF!,2,0)," ")</f>
        <v xml:space="preserve"> </v>
      </c>
      <c r="C189" s="20">
        <f>IFERROR(VLOOKUP(A189,#REF!,3,0),0)</f>
        <v>0</v>
      </c>
      <c r="D189" s="20">
        <f>IFERROR(VLOOKUP(A189,#REF!,4,0),0)</f>
        <v>0</v>
      </c>
      <c r="E189" s="5"/>
      <c r="G189" s="6"/>
    </row>
    <row r="190" spans="1:7">
      <c r="A190" s="14" t="s">
        <v>854</v>
      </c>
      <c r="B190" s="15" t="str">
        <f>IFERROR(VLOOKUP(A190,#REF!,2,0)," ")</f>
        <v xml:space="preserve"> </v>
      </c>
      <c r="C190" s="20">
        <f>IFERROR(VLOOKUP(A190,#REF!,3,0),0)</f>
        <v>0</v>
      </c>
      <c r="D190" s="20">
        <f>IFERROR(VLOOKUP(A190,#REF!,4,0),0)</f>
        <v>0</v>
      </c>
      <c r="E190" s="5"/>
      <c r="G190" s="6"/>
    </row>
    <row r="191" spans="1:7">
      <c r="A191" s="14" t="s">
        <v>1336</v>
      </c>
      <c r="B191" s="15" t="str">
        <f>IFERROR(VLOOKUP(A191,#REF!,2,0)," ")</f>
        <v xml:space="preserve"> </v>
      </c>
      <c r="C191" s="20">
        <f>IFERROR(VLOOKUP(A191,#REF!,3,0),0)</f>
        <v>0</v>
      </c>
      <c r="D191" s="20">
        <f>IFERROR(VLOOKUP(A191,#REF!,4,0),0)</f>
        <v>0</v>
      </c>
      <c r="E191" s="5"/>
      <c r="G191" s="6"/>
    </row>
    <row r="192" spans="1:7">
      <c r="A192" s="14" t="s">
        <v>1169</v>
      </c>
      <c r="B192" s="15" t="str">
        <f>IFERROR(VLOOKUP(A192,#REF!,2,0)," ")</f>
        <v xml:space="preserve"> </v>
      </c>
      <c r="C192" s="20">
        <f>IFERROR(VLOOKUP(A192,#REF!,3,0),0)</f>
        <v>0</v>
      </c>
      <c r="D192" s="20">
        <f>IFERROR(VLOOKUP(A192,#REF!,4,0),0)</f>
        <v>0</v>
      </c>
      <c r="E192" s="5"/>
      <c r="G192" s="6"/>
    </row>
    <row r="193" spans="1:7">
      <c r="A193" s="14" t="s">
        <v>953</v>
      </c>
      <c r="B193" s="15" t="str">
        <f>IFERROR(VLOOKUP(A193,#REF!,2,0)," ")</f>
        <v xml:space="preserve"> </v>
      </c>
      <c r="C193" s="20">
        <f>IFERROR(VLOOKUP(A193,#REF!,3,0),0)</f>
        <v>0</v>
      </c>
      <c r="D193" s="20">
        <f>IFERROR(VLOOKUP(A193,#REF!,4,0),0)</f>
        <v>0</v>
      </c>
      <c r="E193" s="5"/>
      <c r="G193" s="6"/>
    </row>
    <row r="194" spans="1:7">
      <c r="A194" s="14" t="s">
        <v>1293</v>
      </c>
      <c r="B194" s="15" t="str">
        <f>IFERROR(VLOOKUP(A194,#REF!,2,0)," ")</f>
        <v xml:space="preserve"> </v>
      </c>
      <c r="C194" s="20">
        <f>IFERROR(VLOOKUP(A194,#REF!,3,0),0)</f>
        <v>0</v>
      </c>
      <c r="D194" s="20">
        <f>IFERROR(VLOOKUP(A194,#REF!,4,0),0)</f>
        <v>0</v>
      </c>
      <c r="E194" s="5"/>
      <c r="G194" s="6"/>
    </row>
    <row r="195" spans="1:7">
      <c r="A195" s="14" t="s">
        <v>1292</v>
      </c>
      <c r="B195" s="15" t="str">
        <f>IFERROR(VLOOKUP(A195,#REF!,2,0)," ")</f>
        <v xml:space="preserve"> </v>
      </c>
      <c r="C195" s="20">
        <f>IFERROR(VLOOKUP(A195,#REF!,3,0),0)</f>
        <v>0</v>
      </c>
      <c r="D195" s="20">
        <f>IFERROR(VLOOKUP(A195,#REF!,4,0),0)</f>
        <v>0</v>
      </c>
      <c r="E195" s="5"/>
      <c r="G195" s="6"/>
    </row>
    <row r="196" spans="1:7">
      <c r="A196" s="14" t="s">
        <v>1049</v>
      </c>
      <c r="B196" s="15" t="str">
        <f>IFERROR(VLOOKUP(A196,#REF!,2,0)," ")</f>
        <v xml:space="preserve"> </v>
      </c>
      <c r="C196" s="20">
        <f>IFERROR(VLOOKUP(A196,#REF!,3,0),0)</f>
        <v>0</v>
      </c>
      <c r="D196" s="20">
        <f>IFERROR(VLOOKUP(A196,#REF!,4,0),0)</f>
        <v>0</v>
      </c>
      <c r="E196" s="5"/>
      <c r="G196" s="6"/>
    </row>
    <row r="197" spans="1:7">
      <c r="A197" s="14" t="s">
        <v>1337</v>
      </c>
      <c r="B197" s="15" t="str">
        <f>IFERROR(VLOOKUP(A197,#REF!,2,0)," ")</f>
        <v xml:space="preserve"> </v>
      </c>
      <c r="C197" s="20">
        <f>IFERROR(VLOOKUP(A197,#REF!,3,0),0)</f>
        <v>0</v>
      </c>
      <c r="D197" s="20">
        <f>IFERROR(VLOOKUP(A197,#REF!,4,0),0)</f>
        <v>0</v>
      </c>
      <c r="E197" s="5"/>
      <c r="G197" s="6"/>
    </row>
    <row r="198" spans="1:7">
      <c r="A198" s="14" t="s">
        <v>720</v>
      </c>
      <c r="B198" s="15" t="str">
        <f>IFERROR(VLOOKUP(A198,#REF!,2,0)," ")</f>
        <v xml:space="preserve"> </v>
      </c>
      <c r="C198" s="20">
        <f>IFERROR(VLOOKUP(A198,#REF!,3,0),0)</f>
        <v>0</v>
      </c>
      <c r="D198" s="20">
        <f>IFERROR(VLOOKUP(A198,#REF!,4,0),0)</f>
        <v>0</v>
      </c>
      <c r="E198" s="5"/>
      <c r="G198" s="6"/>
    </row>
    <row r="199" spans="1:7">
      <c r="A199" s="14" t="s">
        <v>1063</v>
      </c>
      <c r="B199" s="15" t="str">
        <f>IFERROR(VLOOKUP(A199,#REF!,2,0)," ")</f>
        <v xml:space="preserve"> </v>
      </c>
      <c r="C199" s="20">
        <f>IFERROR(VLOOKUP(A199,#REF!,3,0),0)</f>
        <v>0</v>
      </c>
      <c r="D199" s="20">
        <f>IFERROR(VLOOKUP(A199,#REF!,4,0),0)</f>
        <v>0</v>
      </c>
      <c r="E199" s="5"/>
      <c r="G199" s="6"/>
    </row>
    <row r="200" spans="1:7">
      <c r="A200" s="14" t="s">
        <v>1380</v>
      </c>
      <c r="B200" s="15" t="str">
        <f>IFERROR(VLOOKUP(A200,#REF!,2,0)," ")</f>
        <v xml:space="preserve"> </v>
      </c>
      <c r="C200" s="20">
        <f>IFERROR(VLOOKUP(A200,#REF!,3,0),0)</f>
        <v>0</v>
      </c>
      <c r="D200" s="20">
        <f>IFERROR(VLOOKUP(A200,#REF!,4,0),0)</f>
        <v>0</v>
      </c>
      <c r="E200" s="5"/>
      <c r="G200" s="6"/>
    </row>
    <row r="201" spans="1:7">
      <c r="A201" s="14" t="s">
        <v>1055</v>
      </c>
      <c r="B201" s="15" t="str">
        <f>IFERROR(VLOOKUP(A201,#REF!,2,0)," ")</f>
        <v xml:space="preserve"> </v>
      </c>
      <c r="C201" s="20">
        <f>IFERROR(VLOOKUP(A201,#REF!,3,0),0)</f>
        <v>0</v>
      </c>
      <c r="D201" s="20">
        <f>IFERROR(VLOOKUP(A201,#REF!,4,0),0)</f>
        <v>0</v>
      </c>
      <c r="E201" s="5"/>
      <c r="G201" s="6"/>
    </row>
    <row r="202" spans="1:7">
      <c r="A202" s="14" t="s">
        <v>1042</v>
      </c>
      <c r="B202" s="15" t="str">
        <f>IFERROR(VLOOKUP(A202,#REF!,2,0)," ")</f>
        <v xml:space="preserve"> </v>
      </c>
      <c r="C202" s="20">
        <f>IFERROR(VLOOKUP(A202,#REF!,3,0),0)</f>
        <v>0</v>
      </c>
      <c r="D202" s="20">
        <f>IFERROR(VLOOKUP(A202,#REF!,4,0),0)</f>
        <v>0</v>
      </c>
      <c r="E202" s="5"/>
      <c r="G202" s="6"/>
    </row>
    <row r="203" spans="1:7">
      <c r="A203" s="14" t="s">
        <v>1043</v>
      </c>
      <c r="B203" s="15" t="str">
        <f>IFERROR(VLOOKUP(A203,#REF!,2,0)," ")</f>
        <v xml:space="preserve"> </v>
      </c>
      <c r="C203" s="20">
        <f>IFERROR(VLOOKUP(A203,#REF!,3,0),0)</f>
        <v>0</v>
      </c>
      <c r="D203" s="20">
        <f>IFERROR(VLOOKUP(A203,#REF!,4,0),0)</f>
        <v>0</v>
      </c>
      <c r="E203" s="5"/>
      <c r="G203" s="6"/>
    </row>
    <row r="204" spans="1:7">
      <c r="A204" s="14" t="s">
        <v>721</v>
      </c>
      <c r="B204" s="15" t="str">
        <f>IFERROR(VLOOKUP(A204,#REF!,2,0)," ")</f>
        <v xml:space="preserve"> </v>
      </c>
      <c r="C204" s="20">
        <f>IFERROR(VLOOKUP(A204,#REF!,3,0),0)</f>
        <v>0</v>
      </c>
      <c r="D204" s="20">
        <f>IFERROR(VLOOKUP(A204,#REF!,4,0),0)</f>
        <v>0</v>
      </c>
      <c r="E204" s="5"/>
      <c r="G204" s="6"/>
    </row>
    <row r="205" spans="1:7">
      <c r="A205" s="14" t="s">
        <v>158</v>
      </c>
      <c r="B205" s="15" t="str">
        <f>IFERROR(VLOOKUP(A205,#REF!,2,0)," ")</f>
        <v xml:space="preserve"> </v>
      </c>
      <c r="C205" s="20">
        <f>IFERROR(VLOOKUP(A205,#REF!,3,0),0)</f>
        <v>0</v>
      </c>
      <c r="D205" s="20">
        <f>IFERROR(VLOOKUP(A205,#REF!,4,0),0)</f>
        <v>0</v>
      </c>
      <c r="E205" s="5"/>
      <c r="G205" s="6"/>
    </row>
    <row r="206" spans="1:7">
      <c r="A206" s="14" t="s">
        <v>427</v>
      </c>
      <c r="B206" s="15" t="str">
        <f>IFERROR(VLOOKUP(A206,#REF!,2,0)," ")</f>
        <v xml:space="preserve"> </v>
      </c>
      <c r="C206" s="20">
        <f>IFERROR(VLOOKUP(A206,#REF!,3,0),0)</f>
        <v>0</v>
      </c>
      <c r="D206" s="20">
        <f>IFERROR(VLOOKUP(A206,#REF!,4,0),0)</f>
        <v>0</v>
      </c>
      <c r="E206" s="5"/>
      <c r="G206" s="6"/>
    </row>
    <row r="207" spans="1:7">
      <c r="A207" s="14" t="s">
        <v>1102</v>
      </c>
      <c r="B207" s="15" t="str">
        <f>IFERROR(VLOOKUP(A207,#REF!,2,0)," ")</f>
        <v xml:space="preserve"> </v>
      </c>
      <c r="C207" s="20">
        <f>IFERROR(VLOOKUP(A207,#REF!,3,0),0)</f>
        <v>0</v>
      </c>
      <c r="D207" s="20">
        <f>IFERROR(VLOOKUP(A207,#REF!,4,0),0)</f>
        <v>0</v>
      </c>
      <c r="E207" s="5"/>
      <c r="G207" s="6"/>
    </row>
    <row r="208" spans="1:7">
      <c r="A208" s="14" t="s">
        <v>699</v>
      </c>
      <c r="B208" s="15" t="str">
        <f>IFERROR(VLOOKUP(A208,#REF!,2,0)," ")</f>
        <v xml:space="preserve"> </v>
      </c>
      <c r="C208" s="20">
        <f>IFERROR(VLOOKUP(A208,#REF!,3,0),0)</f>
        <v>0</v>
      </c>
      <c r="D208" s="20">
        <f>IFERROR(VLOOKUP(A208,#REF!,4,0),0)</f>
        <v>0</v>
      </c>
      <c r="E208" s="5"/>
      <c r="G208" s="6"/>
    </row>
    <row r="209" spans="1:7">
      <c r="A209" s="14" t="s">
        <v>156</v>
      </c>
      <c r="B209" s="15" t="str">
        <f>IFERROR(VLOOKUP(A209,#REF!,2,0)," ")</f>
        <v xml:space="preserve"> </v>
      </c>
      <c r="C209" s="20">
        <f>IFERROR(VLOOKUP(A209,#REF!,3,0),0)</f>
        <v>0</v>
      </c>
      <c r="D209" s="20">
        <f>IFERROR(VLOOKUP(A209,#REF!,4,0),0)</f>
        <v>0</v>
      </c>
      <c r="E209" s="5"/>
      <c r="G209" s="6"/>
    </row>
    <row r="210" spans="1:7">
      <c r="A210" s="14" t="s">
        <v>1338</v>
      </c>
      <c r="B210" s="15" t="str">
        <f>IFERROR(VLOOKUP(A210,#REF!,2,0)," ")</f>
        <v xml:space="preserve"> </v>
      </c>
      <c r="C210" s="20">
        <f>IFERROR(VLOOKUP(A210,#REF!,3,0),0)</f>
        <v>0</v>
      </c>
      <c r="D210" s="20">
        <f>IFERROR(VLOOKUP(A210,#REF!,4,0),0)</f>
        <v>0</v>
      </c>
      <c r="E210" s="5"/>
      <c r="G210" s="6"/>
    </row>
    <row r="211" spans="1:7">
      <c r="A211" s="14" t="s">
        <v>532</v>
      </c>
      <c r="B211" s="15" t="str">
        <f>IFERROR(VLOOKUP(A211,#REF!,2,0)," ")</f>
        <v xml:space="preserve"> </v>
      </c>
      <c r="C211" s="20">
        <f>IFERROR(VLOOKUP(A211,#REF!,3,0),0)</f>
        <v>0</v>
      </c>
      <c r="D211" s="20">
        <f>IFERROR(VLOOKUP(A211,#REF!,4,0),0)</f>
        <v>0</v>
      </c>
      <c r="E211" s="5"/>
      <c r="G211" s="6"/>
    </row>
    <row r="212" spans="1:7">
      <c r="A212" s="14" t="s">
        <v>1107</v>
      </c>
      <c r="B212" s="15" t="str">
        <f>IFERROR(VLOOKUP(A212,#REF!,2,0)," ")</f>
        <v xml:space="preserve"> </v>
      </c>
      <c r="C212" s="20">
        <f>IFERROR(VLOOKUP(A212,#REF!,3,0),0)</f>
        <v>0</v>
      </c>
      <c r="D212" s="20">
        <f>IFERROR(VLOOKUP(A212,#REF!,4,0),0)</f>
        <v>0</v>
      </c>
      <c r="E212" s="5"/>
      <c r="G212" s="6"/>
    </row>
    <row r="213" spans="1:7">
      <c r="A213" s="14" t="s">
        <v>1341</v>
      </c>
      <c r="B213" s="15" t="str">
        <f>IFERROR(VLOOKUP(A213,#REF!,2,0)," ")</f>
        <v xml:space="preserve"> </v>
      </c>
      <c r="C213" s="20">
        <f>IFERROR(VLOOKUP(A213,#REF!,3,0),0)</f>
        <v>0</v>
      </c>
      <c r="D213" s="20">
        <f>IFERROR(VLOOKUP(A213,#REF!,4,0),0)</f>
        <v>0</v>
      </c>
      <c r="E213" s="5"/>
      <c r="G213" s="6"/>
    </row>
    <row r="214" spans="1:7">
      <c r="A214" s="14" t="s">
        <v>534</v>
      </c>
      <c r="B214" s="15" t="str">
        <f>IFERROR(VLOOKUP(A214,#REF!,2,0)," ")</f>
        <v xml:space="preserve"> </v>
      </c>
      <c r="C214" s="20">
        <f>IFERROR(VLOOKUP(A214,#REF!,3,0),0)</f>
        <v>0</v>
      </c>
      <c r="D214" s="20">
        <f>IFERROR(VLOOKUP(A214,#REF!,4,0),0)</f>
        <v>0</v>
      </c>
      <c r="E214" s="5"/>
      <c r="G214" s="6"/>
    </row>
    <row r="215" spans="1:7">
      <c r="A215" s="14" t="s">
        <v>689</v>
      </c>
      <c r="B215" s="15" t="str">
        <f>IFERROR(VLOOKUP(A215,#REF!,2,0)," ")</f>
        <v xml:space="preserve"> </v>
      </c>
      <c r="C215" s="20">
        <f>IFERROR(VLOOKUP(A215,#REF!,3,0),0)</f>
        <v>0</v>
      </c>
      <c r="D215" s="20">
        <f>IFERROR(VLOOKUP(A215,#REF!,4,0),0)</f>
        <v>0</v>
      </c>
      <c r="E215" s="5"/>
      <c r="G215" s="6"/>
    </row>
    <row r="216" spans="1:7">
      <c r="A216" s="14" t="s">
        <v>708</v>
      </c>
      <c r="B216" s="15" t="str">
        <f>IFERROR(VLOOKUP(A216,#REF!,2,0)," ")</f>
        <v xml:space="preserve"> </v>
      </c>
      <c r="C216" s="20">
        <f>IFERROR(VLOOKUP(A216,#REF!,3,0),0)</f>
        <v>0</v>
      </c>
      <c r="D216" s="20">
        <f>IFERROR(VLOOKUP(A216,#REF!,4,0),0)</f>
        <v>0</v>
      </c>
      <c r="E216" s="5"/>
      <c r="G216" s="6"/>
    </row>
    <row r="217" spans="1:7">
      <c r="A217" s="14" t="s">
        <v>155</v>
      </c>
      <c r="B217" s="15" t="str">
        <f>IFERROR(VLOOKUP(A217,#REF!,2,0)," ")</f>
        <v xml:space="preserve"> </v>
      </c>
      <c r="C217" s="20">
        <f>IFERROR(VLOOKUP(A217,#REF!,3,0),0)</f>
        <v>0</v>
      </c>
      <c r="D217" s="20">
        <f>IFERROR(VLOOKUP(A217,#REF!,4,0),0)</f>
        <v>0</v>
      </c>
      <c r="E217" s="5"/>
      <c r="G217" s="6"/>
    </row>
    <row r="218" spans="1:7">
      <c r="A218" s="14" t="s">
        <v>1056</v>
      </c>
      <c r="B218" s="15" t="str">
        <f>IFERROR(VLOOKUP(A218,#REF!,2,0)," ")</f>
        <v xml:space="preserve"> </v>
      </c>
      <c r="C218" s="20">
        <f>IFERROR(VLOOKUP(A218,#REF!,3,0),0)</f>
        <v>0</v>
      </c>
      <c r="D218" s="20">
        <f>IFERROR(VLOOKUP(A218,#REF!,4,0),0)</f>
        <v>0</v>
      </c>
      <c r="E218" s="5"/>
      <c r="G218" s="6"/>
    </row>
    <row r="219" spans="1:7">
      <c r="A219" s="14" t="s">
        <v>527</v>
      </c>
      <c r="B219" s="15" t="str">
        <f>IFERROR(VLOOKUP(A219,#REF!,2,0)," ")</f>
        <v xml:space="preserve"> </v>
      </c>
      <c r="C219" s="20">
        <f>IFERROR(VLOOKUP(A219,#REF!,3,0),0)</f>
        <v>0</v>
      </c>
      <c r="D219" s="20">
        <f>IFERROR(VLOOKUP(A219,#REF!,4,0),0)</f>
        <v>0</v>
      </c>
      <c r="E219" s="5"/>
      <c r="G219" s="6"/>
    </row>
    <row r="220" spans="1:7">
      <c r="A220" s="14" t="s">
        <v>1180</v>
      </c>
      <c r="B220" s="15" t="str">
        <f>IFERROR(VLOOKUP(A220,#REF!,2,0)," ")</f>
        <v xml:space="preserve"> </v>
      </c>
      <c r="C220" s="20">
        <f>IFERROR(VLOOKUP(A220,#REF!,3,0),0)</f>
        <v>0</v>
      </c>
      <c r="D220" s="20">
        <f>IFERROR(VLOOKUP(A220,#REF!,4,0),0)</f>
        <v>0</v>
      </c>
      <c r="E220" s="5"/>
      <c r="G220" s="6"/>
    </row>
    <row r="221" spans="1:7">
      <c r="A221" s="14" t="s">
        <v>529</v>
      </c>
      <c r="B221" s="15" t="str">
        <f>IFERROR(VLOOKUP(A221,#REF!,2,0)," ")</f>
        <v xml:space="preserve"> </v>
      </c>
      <c r="C221" s="20">
        <f>IFERROR(VLOOKUP(A221,#REF!,3,0),0)</f>
        <v>0</v>
      </c>
      <c r="D221" s="20">
        <f>IFERROR(VLOOKUP(A221,#REF!,4,0),0)</f>
        <v>0</v>
      </c>
      <c r="E221" s="5"/>
      <c r="G221" s="6"/>
    </row>
    <row r="222" spans="1:7">
      <c r="A222" s="14" t="s">
        <v>1181</v>
      </c>
      <c r="B222" s="15" t="str">
        <f>IFERROR(VLOOKUP(A222,#REF!,2,0)," ")</f>
        <v xml:space="preserve"> </v>
      </c>
      <c r="C222" s="20">
        <f>IFERROR(VLOOKUP(A222,#REF!,3,0),0)</f>
        <v>0</v>
      </c>
      <c r="D222" s="20">
        <f>IFERROR(VLOOKUP(A222,#REF!,4,0),0)</f>
        <v>0</v>
      </c>
      <c r="E222" s="5"/>
      <c r="G222" s="6"/>
    </row>
    <row r="223" spans="1:7">
      <c r="A223" s="14" t="s">
        <v>1178</v>
      </c>
      <c r="B223" s="15" t="str">
        <f>IFERROR(VLOOKUP(A223,#REF!,2,0)," ")</f>
        <v xml:space="preserve"> </v>
      </c>
      <c r="C223" s="20">
        <f>IFERROR(VLOOKUP(A223,#REF!,3,0),0)</f>
        <v>0</v>
      </c>
      <c r="D223" s="20">
        <f>IFERROR(VLOOKUP(A223,#REF!,4,0),0)</f>
        <v>0</v>
      </c>
      <c r="E223" s="5"/>
      <c r="G223" s="6"/>
    </row>
    <row r="224" spans="1:7">
      <c r="A224" s="14" t="s">
        <v>1179</v>
      </c>
      <c r="B224" s="15" t="str">
        <f>IFERROR(VLOOKUP(A224,#REF!,2,0)," ")</f>
        <v xml:space="preserve"> </v>
      </c>
      <c r="C224" s="20">
        <f>IFERROR(VLOOKUP(A224,#REF!,3,0),0)</f>
        <v>0</v>
      </c>
      <c r="D224" s="20">
        <f>IFERROR(VLOOKUP(A224,#REF!,4,0),0)</f>
        <v>0</v>
      </c>
      <c r="E224" s="5"/>
      <c r="G224" s="6"/>
    </row>
    <row r="225" spans="1:7">
      <c r="A225" s="14" t="s">
        <v>528</v>
      </c>
      <c r="B225" s="15" t="str">
        <f>IFERROR(VLOOKUP(A225,#REF!,2,0)," ")</f>
        <v xml:space="preserve"> </v>
      </c>
      <c r="C225" s="20">
        <f>IFERROR(VLOOKUP(A225,#REF!,3,0),0)</f>
        <v>0</v>
      </c>
      <c r="D225" s="20">
        <f>IFERROR(VLOOKUP(A225,#REF!,4,0),0)</f>
        <v>0</v>
      </c>
      <c r="E225" s="5"/>
      <c r="G225" s="6"/>
    </row>
    <row r="226" spans="1:7">
      <c r="A226" s="14" t="s">
        <v>1188</v>
      </c>
      <c r="B226" s="15" t="str">
        <f>IFERROR(VLOOKUP(A226,#REF!,2,0)," ")</f>
        <v xml:space="preserve"> </v>
      </c>
      <c r="C226" s="20">
        <f>IFERROR(VLOOKUP(A226,#REF!,3,0),0)</f>
        <v>0</v>
      </c>
      <c r="D226" s="20">
        <f>IFERROR(VLOOKUP(A226,#REF!,4,0),0)</f>
        <v>0</v>
      </c>
      <c r="E226" s="5"/>
      <c r="G226" s="6"/>
    </row>
    <row r="227" spans="1:7">
      <c r="A227" s="14" t="s">
        <v>185</v>
      </c>
      <c r="B227" s="15" t="str">
        <f>IFERROR(VLOOKUP(A227,#REF!,2,0)," ")</f>
        <v xml:space="preserve"> </v>
      </c>
      <c r="C227" s="20">
        <f>IFERROR(VLOOKUP(A227,#REF!,3,0),0)</f>
        <v>0</v>
      </c>
      <c r="D227" s="20">
        <f>IFERROR(VLOOKUP(A227,#REF!,4,0),0)</f>
        <v>0</v>
      </c>
      <c r="E227" s="5"/>
      <c r="G227" s="6"/>
    </row>
    <row r="228" spans="1:7">
      <c r="A228" s="14" t="s">
        <v>109</v>
      </c>
      <c r="B228" s="15" t="str">
        <f>IFERROR(VLOOKUP(A228,#REF!,2,0)," ")</f>
        <v xml:space="preserve"> </v>
      </c>
      <c r="C228" s="20">
        <f>IFERROR(VLOOKUP(A228,#REF!,3,0),0)</f>
        <v>0</v>
      </c>
      <c r="D228" s="20">
        <f>IFERROR(VLOOKUP(A228,#REF!,4,0),0)</f>
        <v>0</v>
      </c>
      <c r="E228" s="5"/>
      <c r="G228" s="6"/>
    </row>
    <row r="229" spans="1:7">
      <c r="A229" s="14" t="s">
        <v>108</v>
      </c>
      <c r="B229" s="15" t="str">
        <f>IFERROR(VLOOKUP(A229,#REF!,2,0)," ")</f>
        <v xml:space="preserve"> </v>
      </c>
      <c r="C229" s="20">
        <f>IFERROR(VLOOKUP(A229,#REF!,3,0),0)</f>
        <v>0</v>
      </c>
      <c r="D229" s="20">
        <f>IFERROR(VLOOKUP(A229,#REF!,4,0),0)</f>
        <v>0</v>
      </c>
      <c r="E229" s="5"/>
      <c r="G229" s="6"/>
    </row>
    <row r="230" spans="1:7">
      <c r="A230" s="14" t="s">
        <v>184</v>
      </c>
      <c r="B230" s="15" t="str">
        <f>IFERROR(VLOOKUP(A230,#REF!,2,0)," ")</f>
        <v xml:space="preserve"> </v>
      </c>
      <c r="C230" s="20">
        <f>IFERROR(VLOOKUP(A230,#REF!,3,0),0)</f>
        <v>0</v>
      </c>
      <c r="D230" s="20">
        <f>IFERROR(VLOOKUP(A230,#REF!,4,0),0)</f>
        <v>0</v>
      </c>
      <c r="E230" s="5"/>
      <c r="G230" s="6"/>
    </row>
    <row r="231" spans="1:7">
      <c r="A231" s="14" t="s">
        <v>1039</v>
      </c>
      <c r="B231" s="15" t="str">
        <f>IFERROR(VLOOKUP(A231,#REF!,2,0)," ")</f>
        <v xml:space="preserve"> </v>
      </c>
      <c r="C231" s="20">
        <f>IFERROR(VLOOKUP(A231,#REF!,3,0),0)</f>
        <v>0</v>
      </c>
      <c r="D231" s="20">
        <f>IFERROR(VLOOKUP(A231,#REF!,4,0),0)</f>
        <v>0</v>
      </c>
      <c r="E231" s="5"/>
      <c r="G231" s="6"/>
    </row>
    <row r="232" spans="1:7">
      <c r="A232" s="14" t="s">
        <v>1060</v>
      </c>
      <c r="B232" s="15" t="str">
        <f>IFERROR(VLOOKUP(A232,#REF!,2,0)," ")</f>
        <v xml:space="preserve"> </v>
      </c>
      <c r="C232" s="20">
        <f>IFERROR(VLOOKUP(A232,#REF!,3,0),0)</f>
        <v>0</v>
      </c>
      <c r="D232" s="20">
        <f>IFERROR(VLOOKUP(A232,#REF!,4,0),0)</f>
        <v>0</v>
      </c>
      <c r="E232" s="5"/>
      <c r="G232" s="6"/>
    </row>
    <row r="233" spans="1:7">
      <c r="A233" s="14" t="s">
        <v>1166</v>
      </c>
      <c r="B233" s="15" t="str">
        <f>IFERROR(VLOOKUP(A233,#REF!,2,0)," ")</f>
        <v xml:space="preserve"> </v>
      </c>
      <c r="C233" s="20">
        <f>IFERROR(VLOOKUP(A233,#REF!,3,0),0)</f>
        <v>0</v>
      </c>
      <c r="D233" s="20">
        <f>IFERROR(VLOOKUP(A233,#REF!,4,0),0)</f>
        <v>0</v>
      </c>
      <c r="E233" s="5"/>
      <c r="G233" s="6"/>
    </row>
    <row r="234" spans="1:7">
      <c r="A234" s="14" t="s">
        <v>549</v>
      </c>
      <c r="B234" s="15" t="str">
        <f>IFERROR(VLOOKUP(A234,#REF!,2,0)," ")</f>
        <v xml:space="preserve"> </v>
      </c>
      <c r="C234" s="20">
        <f>IFERROR(VLOOKUP(A234,#REF!,3,0),0)</f>
        <v>0</v>
      </c>
      <c r="D234" s="20">
        <f>IFERROR(VLOOKUP(A234,#REF!,4,0),0)</f>
        <v>0</v>
      </c>
      <c r="E234" s="5"/>
      <c r="G234" s="6"/>
    </row>
    <row r="235" spans="1:7">
      <c r="A235" s="14" t="s">
        <v>550</v>
      </c>
      <c r="B235" s="15" t="str">
        <f>IFERROR(VLOOKUP(A235,#REF!,2,0)," ")</f>
        <v xml:space="preserve"> </v>
      </c>
      <c r="C235" s="20">
        <f>IFERROR(VLOOKUP(A235,#REF!,3,0),0)</f>
        <v>0</v>
      </c>
      <c r="D235" s="20">
        <f>IFERROR(VLOOKUP(A235,#REF!,4,0),0)</f>
        <v>0</v>
      </c>
      <c r="E235" s="5"/>
      <c r="G235" s="6"/>
    </row>
    <row r="236" spans="1:7">
      <c r="A236" s="14" t="s">
        <v>695</v>
      </c>
      <c r="B236" s="15" t="str">
        <f>IFERROR(VLOOKUP(A236,#REF!,2,0)," ")</f>
        <v xml:space="preserve"> </v>
      </c>
      <c r="C236" s="20">
        <f>IFERROR(VLOOKUP(A236,#REF!,3,0),0)</f>
        <v>0</v>
      </c>
      <c r="D236" s="20">
        <f>IFERROR(VLOOKUP(A236,#REF!,4,0),0)</f>
        <v>0</v>
      </c>
      <c r="E236" s="5"/>
      <c r="G236" s="6"/>
    </row>
    <row r="237" spans="1:7">
      <c r="A237" s="14" t="s">
        <v>1057</v>
      </c>
      <c r="B237" s="15" t="str">
        <f>IFERROR(VLOOKUP(A237,#REF!,2,0)," ")</f>
        <v xml:space="preserve"> </v>
      </c>
      <c r="C237" s="20">
        <f>IFERROR(VLOOKUP(A237,#REF!,3,0),0)</f>
        <v>0</v>
      </c>
      <c r="D237" s="20">
        <f>IFERROR(VLOOKUP(A237,#REF!,4,0),0)</f>
        <v>0</v>
      </c>
      <c r="E237" s="5"/>
      <c r="G237" s="6"/>
    </row>
    <row r="238" spans="1:7">
      <c r="A238" s="14" t="s">
        <v>848</v>
      </c>
      <c r="B238" s="15" t="str">
        <f>IFERROR(VLOOKUP(A238,#REF!,2,0)," ")</f>
        <v xml:space="preserve"> </v>
      </c>
      <c r="C238" s="20">
        <f>IFERROR(VLOOKUP(A238,#REF!,3,0),0)</f>
        <v>0</v>
      </c>
      <c r="D238" s="20">
        <f>IFERROR(VLOOKUP(A238,#REF!,4,0),0)</f>
        <v>0</v>
      </c>
      <c r="E238" s="5"/>
      <c r="G238" s="6"/>
    </row>
    <row r="239" spans="1:7">
      <c r="A239" s="14" t="s">
        <v>194</v>
      </c>
      <c r="B239" s="15" t="str">
        <f>IFERROR(VLOOKUP(A239,#REF!,2,0)," ")</f>
        <v xml:space="preserve"> </v>
      </c>
      <c r="C239" s="20">
        <f>IFERROR(VLOOKUP(A239,#REF!,3,0),0)</f>
        <v>0</v>
      </c>
      <c r="D239" s="20">
        <f>IFERROR(VLOOKUP(A239,#REF!,4,0),0)</f>
        <v>0</v>
      </c>
      <c r="E239" s="5"/>
      <c r="G239" s="6"/>
    </row>
    <row r="240" spans="1:7">
      <c r="A240" s="14" t="s">
        <v>557</v>
      </c>
      <c r="B240" s="15" t="str">
        <f>IFERROR(VLOOKUP(A240,#REF!,2,0)," ")</f>
        <v xml:space="preserve"> </v>
      </c>
      <c r="C240" s="20">
        <f>IFERROR(VLOOKUP(A240,#REF!,3,0),0)</f>
        <v>0</v>
      </c>
      <c r="D240" s="20">
        <f>IFERROR(VLOOKUP(A240,#REF!,4,0),0)</f>
        <v>0</v>
      </c>
      <c r="E240" s="5"/>
      <c r="G240" s="6"/>
    </row>
    <row r="241" spans="1:7">
      <c r="A241" s="14" t="s">
        <v>193</v>
      </c>
      <c r="B241" s="15" t="str">
        <f>IFERROR(VLOOKUP(A241,#REF!,2,0)," ")</f>
        <v xml:space="preserve"> </v>
      </c>
      <c r="C241" s="20">
        <f>IFERROR(VLOOKUP(A241,#REF!,3,0),0)</f>
        <v>0</v>
      </c>
      <c r="D241" s="20">
        <f>IFERROR(VLOOKUP(A241,#REF!,4,0),0)</f>
        <v>0</v>
      </c>
      <c r="E241" s="5"/>
      <c r="G241" s="6"/>
    </row>
    <row r="242" spans="1:7">
      <c r="A242" s="14" t="s">
        <v>195</v>
      </c>
      <c r="B242" s="15" t="str">
        <f>IFERROR(VLOOKUP(A242,#REF!,2,0)," ")</f>
        <v xml:space="preserve"> </v>
      </c>
      <c r="C242" s="20">
        <f>IFERROR(VLOOKUP(A242,#REF!,3,0),0)</f>
        <v>0</v>
      </c>
      <c r="D242" s="20">
        <f>IFERROR(VLOOKUP(A242,#REF!,4,0),0)</f>
        <v>0</v>
      </c>
      <c r="E242" s="5"/>
      <c r="G242" s="6"/>
    </row>
    <row r="243" spans="1:7">
      <c r="A243" s="14" t="s">
        <v>196</v>
      </c>
      <c r="B243" s="15" t="str">
        <f>IFERROR(VLOOKUP(A243,#REF!,2,0)," ")</f>
        <v xml:space="preserve"> </v>
      </c>
      <c r="C243" s="20">
        <f>IFERROR(VLOOKUP(A243,#REF!,3,0),0)</f>
        <v>0</v>
      </c>
      <c r="D243" s="20">
        <f>IFERROR(VLOOKUP(A243,#REF!,4,0),0)</f>
        <v>0</v>
      </c>
      <c r="E243" s="5"/>
      <c r="G243" s="6"/>
    </row>
    <row r="244" spans="1:7">
      <c r="A244" s="14" t="s">
        <v>1175</v>
      </c>
      <c r="B244" s="15" t="str">
        <f>IFERROR(VLOOKUP(A244,#REF!,2,0)," ")</f>
        <v xml:space="preserve"> </v>
      </c>
      <c r="C244" s="20">
        <f>IFERROR(VLOOKUP(A244,#REF!,3,0),0)</f>
        <v>0</v>
      </c>
      <c r="D244" s="20">
        <f>IFERROR(VLOOKUP(A244,#REF!,4,0),0)</f>
        <v>0</v>
      </c>
      <c r="E244" s="5"/>
      <c r="G244" s="6"/>
    </row>
    <row r="245" spans="1:7">
      <c r="A245" s="14" t="s">
        <v>1174</v>
      </c>
      <c r="B245" s="15" t="str">
        <f>IFERROR(VLOOKUP(A245,#REF!,2,0)," ")</f>
        <v xml:space="preserve"> </v>
      </c>
      <c r="C245" s="20">
        <f>IFERROR(VLOOKUP(A245,#REF!,3,0),0)</f>
        <v>0</v>
      </c>
      <c r="D245" s="20">
        <f>IFERROR(VLOOKUP(A245,#REF!,4,0),0)</f>
        <v>0</v>
      </c>
      <c r="E245" s="5"/>
      <c r="G245" s="6"/>
    </row>
    <row r="246" spans="1:7">
      <c r="A246" s="14" t="s">
        <v>1183</v>
      </c>
      <c r="B246" s="15" t="str">
        <f>IFERROR(VLOOKUP(A246,#REF!,2,0)," ")</f>
        <v xml:space="preserve"> </v>
      </c>
      <c r="C246" s="20">
        <f>IFERROR(VLOOKUP(A246,#REF!,3,0),0)</f>
        <v>0</v>
      </c>
      <c r="D246" s="20">
        <f>IFERROR(VLOOKUP(A246,#REF!,4,0),0)</f>
        <v>0</v>
      </c>
      <c r="E246" s="5"/>
      <c r="G246" s="6"/>
    </row>
    <row r="247" spans="1:7">
      <c r="A247" s="14" t="s">
        <v>822</v>
      </c>
      <c r="B247" s="15" t="str">
        <f>IFERROR(VLOOKUP(A247,#REF!,2,0)," ")</f>
        <v xml:space="preserve"> </v>
      </c>
      <c r="C247" s="20">
        <f>IFERROR(VLOOKUP(A247,#REF!,3,0),0)</f>
        <v>0</v>
      </c>
      <c r="D247" s="20">
        <f>IFERROR(VLOOKUP(A247,#REF!,4,0),0)</f>
        <v>0</v>
      </c>
      <c r="E247" s="5"/>
      <c r="G247" s="6"/>
    </row>
    <row r="248" spans="1:7">
      <c r="A248" s="14" t="s">
        <v>1185</v>
      </c>
      <c r="B248" s="15" t="str">
        <f>IFERROR(VLOOKUP(A248,#REF!,2,0)," ")</f>
        <v xml:space="preserve"> </v>
      </c>
      <c r="C248" s="20">
        <f>IFERROR(VLOOKUP(A248,#REF!,3,0),0)</f>
        <v>0</v>
      </c>
      <c r="D248" s="20">
        <f>IFERROR(VLOOKUP(A248,#REF!,4,0),0)</f>
        <v>0</v>
      </c>
      <c r="E248" s="5"/>
      <c r="G248" s="6"/>
    </row>
    <row r="249" spans="1:7">
      <c r="A249" s="14" t="s">
        <v>1176</v>
      </c>
      <c r="B249" s="15" t="str">
        <f>IFERROR(VLOOKUP(A249,#REF!,2,0)," ")</f>
        <v xml:space="preserve"> </v>
      </c>
      <c r="C249" s="20">
        <f>IFERROR(VLOOKUP(A249,#REF!,3,0),0)</f>
        <v>0</v>
      </c>
      <c r="D249" s="20">
        <f>IFERROR(VLOOKUP(A249,#REF!,4,0),0)</f>
        <v>0</v>
      </c>
      <c r="E249" s="5"/>
      <c r="G249" s="6"/>
    </row>
    <row r="250" spans="1:7">
      <c r="A250" s="14" t="s">
        <v>157</v>
      </c>
      <c r="B250" s="15" t="str">
        <f>IFERROR(VLOOKUP(A250,#REF!,2,0)," ")</f>
        <v xml:space="preserve"> </v>
      </c>
      <c r="C250" s="20">
        <f>IFERROR(VLOOKUP(A250,#REF!,3,0),0)</f>
        <v>0</v>
      </c>
      <c r="D250" s="20">
        <f>IFERROR(VLOOKUP(A250,#REF!,4,0),0)</f>
        <v>0</v>
      </c>
      <c r="E250" s="5"/>
      <c r="G250" s="6"/>
    </row>
    <row r="251" spans="1:7">
      <c r="A251" s="14" t="s">
        <v>1164</v>
      </c>
      <c r="B251" s="15" t="str">
        <f>IFERROR(VLOOKUP(A251,#REF!,2,0)," ")</f>
        <v xml:space="preserve"> </v>
      </c>
      <c r="C251" s="20">
        <f>IFERROR(VLOOKUP(A251,#REF!,3,0),0)</f>
        <v>0</v>
      </c>
      <c r="D251" s="20">
        <f>IFERROR(VLOOKUP(A251,#REF!,4,0),0)</f>
        <v>0</v>
      </c>
      <c r="E251" s="5"/>
      <c r="G251" s="6"/>
    </row>
    <row r="252" spans="1:7">
      <c r="A252" s="14" t="s">
        <v>1097</v>
      </c>
      <c r="B252" s="15" t="str">
        <f>IFERROR(VLOOKUP(A252,#REF!,2,0)," ")</f>
        <v xml:space="preserve"> </v>
      </c>
      <c r="C252" s="20">
        <f>IFERROR(VLOOKUP(A252,#REF!,3,0),0)</f>
        <v>0</v>
      </c>
      <c r="D252" s="20">
        <f>IFERROR(VLOOKUP(A252,#REF!,4,0),0)</f>
        <v>0</v>
      </c>
      <c r="E252" s="5"/>
      <c r="G252" s="6"/>
    </row>
    <row r="253" spans="1:7">
      <c r="A253" s="14" t="s">
        <v>893</v>
      </c>
      <c r="B253" s="15" t="str">
        <f>IFERROR(VLOOKUP(A253,#REF!,2,0)," ")</f>
        <v xml:space="preserve"> </v>
      </c>
      <c r="C253" s="20">
        <f>IFERROR(VLOOKUP(A253,#REF!,3,0),0)</f>
        <v>0</v>
      </c>
      <c r="D253" s="20">
        <f>IFERROR(VLOOKUP(A253,#REF!,4,0),0)</f>
        <v>0</v>
      </c>
      <c r="E253" s="5"/>
      <c r="G253" s="6"/>
    </row>
    <row r="254" spans="1:7">
      <c r="A254" s="14" t="s">
        <v>424</v>
      </c>
      <c r="B254" s="15" t="str">
        <f>IFERROR(VLOOKUP(A254,#REF!,2,0)," ")</f>
        <v xml:space="preserve"> </v>
      </c>
      <c r="C254" s="20">
        <f>IFERROR(VLOOKUP(A254,#REF!,3,0),0)</f>
        <v>0</v>
      </c>
      <c r="D254" s="20">
        <f>IFERROR(VLOOKUP(A254,#REF!,4,0),0)</f>
        <v>0</v>
      </c>
      <c r="E254" s="5"/>
      <c r="G254" s="6"/>
    </row>
    <row r="255" spans="1:7">
      <c r="A255" s="14" t="s">
        <v>1007</v>
      </c>
      <c r="B255" s="15" t="str">
        <f>IFERROR(VLOOKUP(A255,#REF!,2,0)," ")</f>
        <v xml:space="preserve"> </v>
      </c>
      <c r="C255" s="20">
        <f>IFERROR(VLOOKUP(A255,#REF!,3,0),0)</f>
        <v>0</v>
      </c>
      <c r="D255" s="20">
        <f>IFERROR(VLOOKUP(A255,#REF!,4,0),0)</f>
        <v>0</v>
      </c>
      <c r="E255" s="5"/>
      <c r="G255" s="6"/>
    </row>
    <row r="256" spans="1:7">
      <c r="A256" s="14" t="s">
        <v>719</v>
      </c>
      <c r="B256" s="15" t="str">
        <f>IFERROR(VLOOKUP(A256,#REF!,2,0)," ")</f>
        <v xml:space="preserve"> </v>
      </c>
      <c r="C256" s="20">
        <f>IFERROR(VLOOKUP(A256,#REF!,3,0),0)</f>
        <v>0</v>
      </c>
      <c r="D256" s="20">
        <f>IFERROR(VLOOKUP(A256,#REF!,4,0),0)</f>
        <v>0</v>
      </c>
      <c r="E256" s="5"/>
      <c r="G256" s="6"/>
    </row>
    <row r="257" spans="1:7">
      <c r="A257" s="14" t="s">
        <v>1105</v>
      </c>
      <c r="B257" s="15" t="str">
        <f>IFERROR(VLOOKUP(A257,#REF!,2,0)," ")</f>
        <v xml:space="preserve"> </v>
      </c>
      <c r="C257" s="20">
        <f>IFERROR(VLOOKUP(A257,#REF!,3,0),0)</f>
        <v>0</v>
      </c>
      <c r="D257" s="20">
        <f>IFERROR(VLOOKUP(A257,#REF!,4,0),0)</f>
        <v>0</v>
      </c>
      <c r="E257" s="5"/>
      <c r="G257" s="6"/>
    </row>
    <row r="258" spans="1:7">
      <c r="A258" s="14" t="s">
        <v>1041</v>
      </c>
      <c r="B258" s="15" t="str">
        <f>IFERROR(VLOOKUP(A258,#REF!,2,0)," ")</f>
        <v xml:space="preserve"> </v>
      </c>
      <c r="C258" s="20">
        <f>IFERROR(VLOOKUP(A258,#REF!,3,0),0)</f>
        <v>0</v>
      </c>
      <c r="D258" s="20">
        <f>IFERROR(VLOOKUP(A258,#REF!,4,0),0)</f>
        <v>0</v>
      </c>
      <c r="E258" s="5"/>
      <c r="G258" s="6"/>
    </row>
    <row r="259" spans="1:7">
      <c r="A259" s="14" t="s">
        <v>1015</v>
      </c>
      <c r="B259" s="15" t="str">
        <f>IFERROR(VLOOKUP(A259,#REF!,2,0)," ")</f>
        <v xml:space="preserve"> </v>
      </c>
      <c r="C259" s="20">
        <f>IFERROR(VLOOKUP(A259,#REF!,3,0),0)</f>
        <v>0</v>
      </c>
      <c r="D259" s="20">
        <f>IFERROR(VLOOKUP(A259,#REF!,4,0),0)</f>
        <v>0</v>
      </c>
      <c r="E259" s="5"/>
      <c r="G259" s="6"/>
    </row>
    <row r="260" spans="1:7">
      <c r="A260" s="14" t="s">
        <v>1017</v>
      </c>
      <c r="B260" s="15" t="str">
        <f>IFERROR(VLOOKUP(A260,#REF!,2,0)," ")</f>
        <v xml:space="preserve"> </v>
      </c>
      <c r="C260" s="20">
        <f>IFERROR(VLOOKUP(A260,#REF!,3,0),0)</f>
        <v>0</v>
      </c>
      <c r="D260" s="20">
        <f>IFERROR(VLOOKUP(A260,#REF!,4,0),0)</f>
        <v>0</v>
      </c>
      <c r="E260" s="5"/>
      <c r="G260" s="6"/>
    </row>
    <row r="261" spans="1:7">
      <c r="A261" s="14" t="s">
        <v>1016</v>
      </c>
      <c r="B261" s="15" t="str">
        <f>IFERROR(VLOOKUP(A261,#REF!,2,0)," ")</f>
        <v xml:space="preserve"> </v>
      </c>
      <c r="C261" s="20">
        <f>IFERROR(VLOOKUP(A261,#REF!,3,0),0)</f>
        <v>0</v>
      </c>
      <c r="D261" s="20">
        <f>IFERROR(VLOOKUP(A261,#REF!,4,0),0)</f>
        <v>0</v>
      </c>
      <c r="E261" s="5"/>
      <c r="G261" s="6"/>
    </row>
    <row r="262" spans="1:7">
      <c r="A262" s="14" t="s">
        <v>1018</v>
      </c>
      <c r="B262" s="15" t="str">
        <f>IFERROR(VLOOKUP(A262,#REF!,2,0)," ")</f>
        <v xml:space="preserve"> </v>
      </c>
      <c r="C262" s="20">
        <f>IFERROR(VLOOKUP(A262,#REF!,3,0),0)</f>
        <v>0</v>
      </c>
      <c r="D262" s="20">
        <f>IFERROR(VLOOKUP(A262,#REF!,4,0),0)</f>
        <v>0</v>
      </c>
      <c r="E262" s="5"/>
      <c r="G262" s="6"/>
    </row>
    <row r="263" spans="1:7">
      <c r="A263" s="14" t="s">
        <v>1062</v>
      </c>
      <c r="B263" s="15" t="str">
        <f>IFERROR(VLOOKUP(A263,#REF!,2,0)," ")</f>
        <v xml:space="preserve"> </v>
      </c>
      <c r="C263" s="20">
        <f>IFERROR(VLOOKUP(A263,#REF!,3,0),0)</f>
        <v>0</v>
      </c>
      <c r="D263" s="20">
        <f>IFERROR(VLOOKUP(A263,#REF!,4,0),0)</f>
        <v>0</v>
      </c>
      <c r="E263" s="5"/>
      <c r="G263" s="6"/>
    </row>
    <row r="264" spans="1:7">
      <c r="A264" s="14" t="s">
        <v>705</v>
      </c>
      <c r="B264" s="15" t="str">
        <f>IFERROR(VLOOKUP(A264,#REF!,2,0)," ")</f>
        <v xml:space="preserve"> </v>
      </c>
      <c r="C264" s="20">
        <f>IFERROR(VLOOKUP(A264,#REF!,3,0),0)</f>
        <v>0</v>
      </c>
      <c r="D264" s="20">
        <f>IFERROR(VLOOKUP(A264,#REF!,4,0),0)</f>
        <v>0</v>
      </c>
      <c r="E264" s="5"/>
      <c r="G264" s="6"/>
    </row>
    <row r="265" spans="1:7">
      <c r="A265" s="14" t="s">
        <v>1013</v>
      </c>
      <c r="B265" s="15" t="str">
        <f>IFERROR(VLOOKUP(A265,#REF!,2,0)," ")</f>
        <v xml:space="preserve"> </v>
      </c>
      <c r="C265" s="20">
        <f>IFERROR(VLOOKUP(A265,#REF!,3,0),0)</f>
        <v>0</v>
      </c>
      <c r="D265" s="20">
        <f>IFERROR(VLOOKUP(A265,#REF!,4,0),0)</f>
        <v>0</v>
      </c>
      <c r="E265" s="5"/>
      <c r="G265" s="6"/>
    </row>
    <row r="266" spans="1:7">
      <c r="A266" s="14" t="s">
        <v>1011</v>
      </c>
      <c r="B266" s="15" t="str">
        <f>IFERROR(VLOOKUP(A266,#REF!,2,0)," ")</f>
        <v xml:space="preserve"> </v>
      </c>
      <c r="C266" s="20">
        <f>IFERROR(VLOOKUP(A266,#REF!,3,0),0)</f>
        <v>0</v>
      </c>
      <c r="D266" s="20">
        <f>IFERROR(VLOOKUP(A266,#REF!,4,0),0)</f>
        <v>0</v>
      </c>
      <c r="E266" s="5"/>
      <c r="G266" s="6"/>
    </row>
    <row r="267" spans="1:7">
      <c r="A267" s="14" t="s">
        <v>1014</v>
      </c>
      <c r="B267" s="15" t="str">
        <f>IFERROR(VLOOKUP(A267,#REF!,2,0)," ")</f>
        <v xml:space="preserve"> </v>
      </c>
      <c r="C267" s="20">
        <f>IFERROR(VLOOKUP(A267,#REF!,3,0),0)</f>
        <v>0</v>
      </c>
      <c r="D267" s="20">
        <f>IFERROR(VLOOKUP(A267,#REF!,4,0),0)</f>
        <v>0</v>
      </c>
      <c r="E267" s="5"/>
      <c r="G267" s="6"/>
    </row>
    <row r="268" spans="1:7">
      <c r="A268" s="14" t="s">
        <v>1012</v>
      </c>
      <c r="B268" s="15" t="str">
        <f>IFERROR(VLOOKUP(A268,#REF!,2,0)," ")</f>
        <v xml:space="preserve"> </v>
      </c>
      <c r="C268" s="20">
        <f>IFERROR(VLOOKUP(A268,#REF!,3,0),0)</f>
        <v>0</v>
      </c>
      <c r="D268" s="20">
        <f>IFERROR(VLOOKUP(A268,#REF!,4,0),0)</f>
        <v>0</v>
      </c>
      <c r="E268" s="5"/>
      <c r="G268" s="6"/>
    </row>
    <row r="269" spans="1:7">
      <c r="A269" s="14" t="s">
        <v>85</v>
      </c>
      <c r="B269" s="15" t="str">
        <f>IFERROR(VLOOKUP(A269,#REF!,2,0)," ")</f>
        <v xml:space="preserve"> </v>
      </c>
      <c r="C269" s="20">
        <f>IFERROR(VLOOKUP(A269,#REF!,3,0),0)</f>
        <v>0</v>
      </c>
      <c r="D269" s="20">
        <f>IFERROR(VLOOKUP(A269,#REF!,4,0),0)</f>
        <v>0</v>
      </c>
      <c r="E269" s="5"/>
      <c r="G269" s="6"/>
    </row>
    <row r="270" spans="1:7">
      <c r="A270" s="14" t="s">
        <v>82</v>
      </c>
      <c r="B270" s="15" t="str">
        <f>IFERROR(VLOOKUP(A270,#REF!,2,0)," ")</f>
        <v xml:space="preserve"> </v>
      </c>
      <c r="C270" s="20">
        <f>IFERROR(VLOOKUP(A270,#REF!,3,0),0)</f>
        <v>0</v>
      </c>
      <c r="D270" s="20">
        <f>IFERROR(VLOOKUP(A270,#REF!,4,0),0)</f>
        <v>0</v>
      </c>
      <c r="E270" s="5"/>
      <c r="G270" s="6"/>
    </row>
    <row r="271" spans="1:7">
      <c r="A271" s="14" t="s">
        <v>83</v>
      </c>
      <c r="B271" s="15" t="str">
        <f>IFERROR(VLOOKUP(A271,#REF!,2,0)," ")</f>
        <v xml:space="preserve"> </v>
      </c>
      <c r="C271" s="20">
        <f>IFERROR(VLOOKUP(A271,#REF!,3,0),0)</f>
        <v>0</v>
      </c>
      <c r="D271" s="20">
        <f>IFERROR(VLOOKUP(A271,#REF!,4,0),0)</f>
        <v>0</v>
      </c>
      <c r="E271" s="5"/>
      <c r="G271" s="6"/>
    </row>
    <row r="272" spans="1:7">
      <c r="A272" s="14" t="s">
        <v>81</v>
      </c>
      <c r="B272" s="15" t="str">
        <f>IFERROR(VLOOKUP(A272,#REF!,2,0)," ")</f>
        <v xml:space="preserve"> </v>
      </c>
      <c r="C272" s="20">
        <f>IFERROR(VLOOKUP(A272,#REF!,3,0),0)</f>
        <v>0</v>
      </c>
      <c r="D272" s="20">
        <f>IFERROR(VLOOKUP(A272,#REF!,4,0),0)</f>
        <v>0</v>
      </c>
      <c r="E272" s="5"/>
      <c r="G272" s="6"/>
    </row>
    <row r="273" spans="1:7">
      <c r="A273" s="14" t="s">
        <v>1346</v>
      </c>
      <c r="B273" s="15" t="str">
        <f>IFERROR(VLOOKUP(A273,#REF!,2,0)," ")</f>
        <v xml:space="preserve"> </v>
      </c>
      <c r="C273" s="20">
        <f>IFERROR(VLOOKUP(A273,#REF!,3,0),0)</f>
        <v>0</v>
      </c>
      <c r="D273" s="20">
        <f>IFERROR(VLOOKUP(A273,#REF!,4,0),0)</f>
        <v>0</v>
      </c>
      <c r="E273" s="5"/>
      <c r="G273" s="6"/>
    </row>
    <row r="274" spans="1:7">
      <c r="A274" s="14" t="s">
        <v>159</v>
      </c>
      <c r="B274" s="15" t="str">
        <f>IFERROR(VLOOKUP(A274,#REF!,2,0)," ")</f>
        <v xml:space="preserve"> </v>
      </c>
      <c r="C274" s="20">
        <f>IFERROR(VLOOKUP(A274,#REF!,3,0),0)</f>
        <v>0</v>
      </c>
      <c r="D274" s="20">
        <f>IFERROR(VLOOKUP(A274,#REF!,4,0),0)</f>
        <v>0</v>
      </c>
      <c r="E274" s="5"/>
      <c r="G274" s="6"/>
    </row>
    <row r="275" spans="1:7">
      <c r="A275" s="14" t="s">
        <v>154</v>
      </c>
      <c r="B275" s="15" t="str">
        <f>IFERROR(VLOOKUP(A275,#REF!,2,0)," ")</f>
        <v xml:space="preserve"> </v>
      </c>
      <c r="C275" s="20">
        <f>IFERROR(VLOOKUP(A275,#REF!,3,0),0)</f>
        <v>0</v>
      </c>
      <c r="D275" s="20">
        <f>IFERROR(VLOOKUP(A275,#REF!,4,0),0)</f>
        <v>0</v>
      </c>
      <c r="E275" s="5"/>
      <c r="G275" s="6"/>
    </row>
    <row r="276" spans="1:7">
      <c r="A276" s="14" t="s">
        <v>510</v>
      </c>
      <c r="B276" s="15" t="str">
        <f>IFERROR(VLOOKUP(A276,#REF!,2,0)," ")</f>
        <v xml:space="preserve"> </v>
      </c>
      <c r="C276" s="20">
        <f>IFERROR(VLOOKUP(A276,#REF!,3,0),0)</f>
        <v>0</v>
      </c>
      <c r="D276" s="20">
        <f>IFERROR(VLOOKUP(A276,#REF!,4,0),0)</f>
        <v>0</v>
      </c>
      <c r="E276" s="5"/>
      <c r="G276" s="6"/>
    </row>
    <row r="277" spans="1:7">
      <c r="A277" s="14" t="s">
        <v>1047</v>
      </c>
      <c r="B277" s="15" t="str">
        <f>IFERROR(VLOOKUP(A277,#REF!,2,0)," ")</f>
        <v xml:space="preserve"> </v>
      </c>
      <c r="C277" s="20">
        <f>IFERROR(VLOOKUP(A277,#REF!,3,0),0)</f>
        <v>0</v>
      </c>
      <c r="D277" s="20">
        <f>IFERROR(VLOOKUP(A277,#REF!,4,0),0)</f>
        <v>0</v>
      </c>
      <c r="E277" s="5"/>
      <c r="G277" s="6"/>
    </row>
    <row r="278" spans="1:7">
      <c r="A278" s="14" t="s">
        <v>1168</v>
      </c>
      <c r="B278" s="15" t="str">
        <f>IFERROR(VLOOKUP(A278,#REF!,2,0)," ")</f>
        <v xml:space="preserve"> </v>
      </c>
      <c r="C278" s="20">
        <f>IFERROR(VLOOKUP(A278,#REF!,3,0),0)</f>
        <v>0</v>
      </c>
      <c r="D278" s="20">
        <f>IFERROR(VLOOKUP(A278,#REF!,4,0),0)</f>
        <v>0</v>
      </c>
      <c r="E278" s="5"/>
      <c r="G278" s="6"/>
    </row>
    <row r="279" spans="1:7">
      <c r="A279" s="14" t="s">
        <v>1281</v>
      </c>
      <c r="B279" s="15" t="str">
        <f>IFERROR(VLOOKUP(A279,#REF!,2,0)," ")</f>
        <v xml:space="preserve"> </v>
      </c>
      <c r="C279" s="20">
        <f>IFERROR(VLOOKUP(A279,#REF!,3,0),0)</f>
        <v>0</v>
      </c>
      <c r="D279" s="20">
        <f>IFERROR(VLOOKUP(A279,#REF!,4,0),0)</f>
        <v>0</v>
      </c>
      <c r="E279" s="5"/>
      <c r="G279" s="6"/>
    </row>
    <row r="280" spans="1:7">
      <c r="A280" s="14" t="s">
        <v>1282</v>
      </c>
      <c r="B280" s="15" t="str">
        <f>IFERROR(VLOOKUP(A280,#REF!,2,0)," ")</f>
        <v xml:space="preserve"> </v>
      </c>
      <c r="C280" s="20">
        <f>IFERROR(VLOOKUP(A280,#REF!,3,0),0)</f>
        <v>0</v>
      </c>
      <c r="D280" s="20">
        <f>IFERROR(VLOOKUP(A280,#REF!,4,0),0)</f>
        <v>0</v>
      </c>
      <c r="E280" s="5"/>
      <c r="G280" s="6"/>
    </row>
    <row r="281" spans="1:7">
      <c r="A281" s="14" t="s">
        <v>736</v>
      </c>
      <c r="B281" s="15" t="str">
        <f>IFERROR(VLOOKUP(A281,#REF!,2,0)," ")</f>
        <v xml:space="preserve"> </v>
      </c>
      <c r="C281" s="20">
        <f>IFERROR(VLOOKUP(A281,#REF!,3,0),0)</f>
        <v>0</v>
      </c>
      <c r="D281" s="20">
        <f>IFERROR(VLOOKUP(A281,#REF!,4,0),0)</f>
        <v>0</v>
      </c>
      <c r="E281" s="5"/>
      <c r="G281" s="6"/>
    </row>
    <row r="282" spans="1:7">
      <c r="A282" s="14" t="s">
        <v>1291</v>
      </c>
      <c r="B282" s="15" t="str">
        <f>IFERROR(VLOOKUP(A282,#REF!,2,0)," ")</f>
        <v xml:space="preserve"> </v>
      </c>
      <c r="C282" s="20">
        <f>IFERROR(VLOOKUP(A282,#REF!,3,0),0)</f>
        <v>0</v>
      </c>
      <c r="D282" s="20">
        <f>IFERROR(VLOOKUP(A282,#REF!,4,0),0)</f>
        <v>0</v>
      </c>
      <c r="E282" s="5"/>
      <c r="G282" s="6"/>
    </row>
    <row r="283" spans="1:7">
      <c r="A283" s="14" t="s">
        <v>735</v>
      </c>
      <c r="B283" s="15" t="str">
        <f>IFERROR(VLOOKUP(A283,#REF!,2,0)," ")</f>
        <v xml:space="preserve"> </v>
      </c>
      <c r="C283" s="20">
        <f>IFERROR(VLOOKUP(A283,#REF!,3,0),0)</f>
        <v>0</v>
      </c>
      <c r="D283" s="20">
        <f>IFERROR(VLOOKUP(A283,#REF!,4,0),0)</f>
        <v>0</v>
      </c>
      <c r="E283" s="5"/>
      <c r="G283" s="6"/>
    </row>
    <row r="284" spans="1:7">
      <c r="A284" s="14" t="s">
        <v>742</v>
      </c>
      <c r="B284" s="15" t="str">
        <f>IFERROR(VLOOKUP(A284,#REF!,2,0)," ")</f>
        <v xml:space="preserve"> </v>
      </c>
      <c r="C284" s="20">
        <f>IFERROR(VLOOKUP(A284,#REF!,3,0),0)</f>
        <v>0</v>
      </c>
      <c r="D284" s="20">
        <f>IFERROR(VLOOKUP(A284,#REF!,4,0),0)</f>
        <v>0</v>
      </c>
      <c r="E284" s="5"/>
      <c r="G284" s="6"/>
    </row>
    <row r="285" spans="1:7">
      <c r="A285" s="14" t="s">
        <v>685</v>
      </c>
      <c r="B285" s="15" t="str">
        <f>IFERROR(VLOOKUP(A285,#REF!,2,0)," ")</f>
        <v xml:space="preserve"> </v>
      </c>
      <c r="C285" s="20">
        <f>IFERROR(VLOOKUP(A285,#REF!,3,0),0)</f>
        <v>0</v>
      </c>
      <c r="D285" s="20">
        <f>IFERROR(VLOOKUP(A285,#REF!,4,0),0)</f>
        <v>0</v>
      </c>
      <c r="E285" s="5"/>
      <c r="G285" s="6"/>
    </row>
    <row r="286" spans="1:7">
      <c r="A286" s="14" t="s">
        <v>1347</v>
      </c>
      <c r="B286" s="15" t="str">
        <f>IFERROR(VLOOKUP(A286,#REF!,2,0)," ")</f>
        <v xml:space="preserve"> </v>
      </c>
      <c r="C286" s="20">
        <f>IFERROR(VLOOKUP(A286,#REF!,3,0),0)</f>
        <v>0</v>
      </c>
      <c r="D286" s="20">
        <f>IFERROR(VLOOKUP(A286,#REF!,4,0),0)</f>
        <v>0</v>
      </c>
      <c r="E286" s="5"/>
      <c r="G286" s="6"/>
    </row>
    <row r="287" spans="1:7">
      <c r="A287" s="14" t="s">
        <v>590</v>
      </c>
      <c r="B287" s="15" t="str">
        <f>IFERROR(VLOOKUP(A287,#REF!,2,0)," ")</f>
        <v xml:space="preserve"> </v>
      </c>
      <c r="C287" s="20">
        <f>IFERROR(VLOOKUP(A287,#REF!,3,0),0)</f>
        <v>0</v>
      </c>
      <c r="D287" s="20">
        <f>IFERROR(VLOOKUP(A287,#REF!,4,0),0)</f>
        <v>0</v>
      </c>
      <c r="E287" s="5"/>
      <c r="G287" s="6"/>
    </row>
    <row r="288" spans="1:7">
      <c r="A288" s="14" t="s">
        <v>589</v>
      </c>
      <c r="B288" s="15" t="str">
        <f>IFERROR(VLOOKUP(A288,#REF!,2,0)," ")</f>
        <v xml:space="preserve"> </v>
      </c>
      <c r="C288" s="20">
        <f>IFERROR(VLOOKUP(A288,#REF!,3,0),0)</f>
        <v>0</v>
      </c>
      <c r="D288" s="20">
        <f>IFERROR(VLOOKUP(A288,#REF!,4,0),0)</f>
        <v>0</v>
      </c>
      <c r="E288" s="5"/>
      <c r="G288" s="6"/>
    </row>
    <row r="289" spans="1:7">
      <c r="A289" s="14" t="s">
        <v>1189</v>
      </c>
      <c r="B289" s="15" t="str">
        <f>IFERROR(VLOOKUP(A289,#REF!,2,0)," ")</f>
        <v xml:space="preserve"> </v>
      </c>
      <c r="C289" s="20">
        <f>IFERROR(VLOOKUP(A289,#REF!,3,0),0)</f>
        <v>0</v>
      </c>
      <c r="D289" s="20">
        <f>IFERROR(VLOOKUP(A289,#REF!,4,0),0)</f>
        <v>0</v>
      </c>
      <c r="E289" s="5"/>
      <c r="G289" s="6"/>
    </row>
    <row r="290" spans="1:7">
      <c r="A290" s="14" t="s">
        <v>588</v>
      </c>
      <c r="B290" s="15" t="str">
        <f>IFERROR(VLOOKUP(A290,#REF!,2,0)," ")</f>
        <v xml:space="preserve"> </v>
      </c>
      <c r="C290" s="20">
        <f>IFERROR(VLOOKUP(A290,#REF!,3,0),0)</f>
        <v>0</v>
      </c>
      <c r="D290" s="20">
        <f>IFERROR(VLOOKUP(A290,#REF!,4,0),0)</f>
        <v>0</v>
      </c>
      <c r="E290" s="5"/>
      <c r="G290" s="6"/>
    </row>
    <row r="291" spans="1:7">
      <c r="A291" s="14" t="s">
        <v>526</v>
      </c>
      <c r="B291" s="15" t="str">
        <f>IFERROR(VLOOKUP(A291,#REF!,2,0)," ")</f>
        <v xml:space="preserve"> </v>
      </c>
      <c r="C291" s="20">
        <f>IFERROR(VLOOKUP(A291,#REF!,3,0),0)</f>
        <v>0</v>
      </c>
      <c r="D291" s="20">
        <f>IFERROR(VLOOKUP(A291,#REF!,4,0),0)</f>
        <v>0</v>
      </c>
      <c r="E291" s="5"/>
      <c r="G291" s="6"/>
    </row>
    <row r="292" spans="1:7">
      <c r="A292" s="14" t="s">
        <v>1392</v>
      </c>
      <c r="B292" s="15" t="str">
        <f>IFERROR(VLOOKUP(A292,#REF!,2,0)," ")</f>
        <v xml:space="preserve"> </v>
      </c>
      <c r="C292" s="20">
        <f>IFERROR(VLOOKUP(A292,#REF!,3,0),0)</f>
        <v>0</v>
      </c>
      <c r="D292" s="20">
        <f>IFERROR(VLOOKUP(A292,#REF!,4,0),0)</f>
        <v>0</v>
      </c>
      <c r="E292" s="5"/>
      <c r="G292" s="6"/>
    </row>
    <row r="293" spans="1:7">
      <c r="A293" s="14" t="s">
        <v>717</v>
      </c>
      <c r="B293" s="15" t="str">
        <f>IFERROR(VLOOKUP(A293,#REF!,2,0)," ")</f>
        <v xml:space="preserve"> </v>
      </c>
      <c r="C293" s="20">
        <f>IFERROR(VLOOKUP(A293,#REF!,3,0),0)</f>
        <v>0</v>
      </c>
      <c r="D293" s="20">
        <f>IFERROR(VLOOKUP(A293,#REF!,4,0),0)</f>
        <v>0</v>
      </c>
      <c r="E293" s="5"/>
      <c r="G293" s="6"/>
    </row>
    <row r="294" spans="1:7">
      <c r="A294" s="14" t="s">
        <v>853</v>
      </c>
      <c r="B294" s="15" t="str">
        <f>IFERROR(VLOOKUP(A294,#REF!,2,0)," ")</f>
        <v xml:space="preserve"> </v>
      </c>
      <c r="C294" s="20">
        <f>IFERROR(VLOOKUP(A294,#REF!,3,0),0)</f>
        <v>0</v>
      </c>
      <c r="D294" s="20">
        <f>IFERROR(VLOOKUP(A294,#REF!,4,0),0)</f>
        <v>0</v>
      </c>
      <c r="E294" s="5"/>
      <c r="G294" s="6"/>
    </row>
    <row r="295" spans="1:7">
      <c r="A295" s="14" t="s">
        <v>162</v>
      </c>
      <c r="B295" s="15" t="str">
        <f>IFERROR(VLOOKUP(A295,#REF!,2,0)," ")</f>
        <v xml:space="preserve"> </v>
      </c>
      <c r="C295" s="20">
        <f>IFERROR(VLOOKUP(A295,#REF!,3,0),0)</f>
        <v>0</v>
      </c>
      <c r="D295" s="20">
        <f>IFERROR(VLOOKUP(A295,#REF!,4,0),0)</f>
        <v>0</v>
      </c>
      <c r="E295" s="5"/>
      <c r="G295" s="6"/>
    </row>
    <row r="296" spans="1:7">
      <c r="A296" s="14" t="s">
        <v>709</v>
      </c>
      <c r="B296" s="15" t="str">
        <f>IFERROR(VLOOKUP(A296,#REF!,2,0)," ")</f>
        <v xml:space="preserve"> </v>
      </c>
      <c r="C296" s="20">
        <f>IFERROR(VLOOKUP(A296,#REF!,3,0),0)</f>
        <v>0</v>
      </c>
      <c r="D296" s="20">
        <f>IFERROR(VLOOKUP(A296,#REF!,4,0),0)</f>
        <v>0</v>
      </c>
      <c r="E296" s="5"/>
      <c r="G296" s="6"/>
    </row>
    <row r="297" spans="1:7">
      <c r="A297" s="14" t="s">
        <v>894</v>
      </c>
      <c r="B297" s="15" t="str">
        <f>IFERROR(VLOOKUP(A297,#REF!,2,0)," ")</f>
        <v xml:space="preserve"> </v>
      </c>
      <c r="C297" s="20">
        <f>IFERROR(VLOOKUP(A297,#REF!,3,0),0)</f>
        <v>0</v>
      </c>
      <c r="D297" s="20">
        <f>IFERROR(VLOOKUP(A297,#REF!,4,0),0)</f>
        <v>0</v>
      </c>
      <c r="E297" s="5"/>
      <c r="G297" s="6"/>
    </row>
    <row r="298" spans="1:7">
      <c r="A298" s="14" t="s">
        <v>1173</v>
      </c>
      <c r="B298" s="15" t="str">
        <f>IFERROR(VLOOKUP(A298,#REF!,2,0)," ")</f>
        <v xml:space="preserve"> </v>
      </c>
      <c r="C298" s="20">
        <f>IFERROR(VLOOKUP(A298,#REF!,3,0),0)</f>
        <v>0</v>
      </c>
      <c r="D298" s="20">
        <f>IFERROR(VLOOKUP(A298,#REF!,4,0),0)</f>
        <v>0</v>
      </c>
      <c r="E298" s="5"/>
      <c r="G298" s="6"/>
    </row>
    <row r="299" spans="1:7">
      <c r="A299" s="14" t="s">
        <v>1362</v>
      </c>
      <c r="B299" s="15" t="str">
        <f>IFERROR(VLOOKUP(A299,#REF!,2,0)," ")</f>
        <v xml:space="preserve"> </v>
      </c>
      <c r="C299" s="20">
        <f>IFERROR(VLOOKUP(A299,#REF!,3,0),0)</f>
        <v>0</v>
      </c>
      <c r="D299" s="20">
        <f>IFERROR(VLOOKUP(A299,#REF!,4,0),0)</f>
        <v>0</v>
      </c>
      <c r="E299" s="5"/>
      <c r="G299" s="6"/>
    </row>
    <row r="300" spans="1:7">
      <c r="A300" s="14" t="s">
        <v>453</v>
      </c>
      <c r="B300" s="15" t="str">
        <f>IFERROR(VLOOKUP(A300,#REF!,2,0)," ")</f>
        <v xml:space="preserve"> </v>
      </c>
      <c r="C300" s="20">
        <f>IFERROR(VLOOKUP(A300,#REF!,3,0),0)</f>
        <v>0</v>
      </c>
      <c r="D300" s="20">
        <f>IFERROR(VLOOKUP(A300,#REF!,4,0),0)</f>
        <v>0</v>
      </c>
      <c r="E300" s="5"/>
      <c r="G300" s="6"/>
    </row>
    <row r="301" spans="1:7">
      <c r="A301" s="14" t="s">
        <v>445</v>
      </c>
      <c r="B301" s="15" t="str">
        <f>IFERROR(VLOOKUP(A301,#REF!,2,0)," ")</f>
        <v xml:space="preserve"> </v>
      </c>
      <c r="C301" s="20">
        <f>IFERROR(VLOOKUP(A301,#REF!,3,0),0)</f>
        <v>0</v>
      </c>
      <c r="D301" s="20">
        <f>IFERROR(VLOOKUP(A301,#REF!,4,0),0)</f>
        <v>0</v>
      </c>
      <c r="E301" s="5"/>
      <c r="G301" s="6"/>
    </row>
    <row r="302" spans="1:7">
      <c r="A302" s="14" t="s">
        <v>455</v>
      </c>
      <c r="B302" s="15" t="str">
        <f>IFERROR(VLOOKUP(A302,#REF!,2,0)," ")</f>
        <v xml:space="preserve"> </v>
      </c>
      <c r="C302" s="20">
        <f>IFERROR(VLOOKUP(A302,#REF!,3,0),0)</f>
        <v>0</v>
      </c>
      <c r="D302" s="20">
        <f>IFERROR(VLOOKUP(A302,#REF!,4,0),0)</f>
        <v>0</v>
      </c>
      <c r="E302" s="5"/>
      <c r="G302" s="6"/>
    </row>
    <row r="303" spans="1:7">
      <c r="A303" s="14" t="s">
        <v>1170</v>
      </c>
      <c r="B303" s="15" t="str">
        <f>IFERROR(VLOOKUP(A303,#REF!,2,0)," ")</f>
        <v xml:space="preserve"> </v>
      </c>
      <c r="C303" s="20">
        <f>IFERROR(VLOOKUP(A303,#REF!,3,0),0)</f>
        <v>0</v>
      </c>
      <c r="D303" s="20">
        <f>IFERROR(VLOOKUP(A303,#REF!,4,0),0)</f>
        <v>0</v>
      </c>
      <c r="E303" s="5"/>
      <c r="G303" s="6"/>
    </row>
    <row r="304" spans="1:7">
      <c r="A304" s="14" t="s">
        <v>1365</v>
      </c>
      <c r="B304" s="15" t="str">
        <f>IFERROR(VLOOKUP(A304,#REF!,2,0)," ")</f>
        <v xml:space="preserve"> </v>
      </c>
      <c r="C304" s="20">
        <f>IFERROR(VLOOKUP(A304,#REF!,3,0),0)</f>
        <v>0</v>
      </c>
      <c r="D304" s="20">
        <f>IFERROR(VLOOKUP(A304,#REF!,4,0),0)</f>
        <v>0</v>
      </c>
      <c r="E304" s="5"/>
      <c r="G304" s="6"/>
    </row>
    <row r="305" spans="1:7">
      <c r="A305" s="14" t="s">
        <v>1172</v>
      </c>
      <c r="B305" s="15" t="str">
        <f>IFERROR(VLOOKUP(A305,#REF!,2,0)," ")</f>
        <v xml:space="preserve"> </v>
      </c>
      <c r="C305" s="20">
        <f>IFERROR(VLOOKUP(A305,#REF!,3,0),0)</f>
        <v>0</v>
      </c>
      <c r="D305" s="20">
        <f>IFERROR(VLOOKUP(A305,#REF!,4,0),0)</f>
        <v>0</v>
      </c>
      <c r="E305" s="5"/>
      <c r="G305" s="6"/>
    </row>
    <row r="306" spans="1:7">
      <c r="A306" s="14" t="s">
        <v>1366</v>
      </c>
      <c r="B306" s="15" t="str">
        <f>IFERROR(VLOOKUP(A306,#REF!,2,0)," ")</f>
        <v xml:space="preserve"> </v>
      </c>
      <c r="C306" s="20">
        <f>IFERROR(VLOOKUP(A306,#REF!,3,0),0)</f>
        <v>0</v>
      </c>
      <c r="D306" s="20">
        <f>IFERROR(VLOOKUP(A306,#REF!,4,0),0)</f>
        <v>0</v>
      </c>
      <c r="E306" s="5"/>
      <c r="G306" s="6"/>
    </row>
    <row r="307" spans="1:7">
      <c r="A307" s="14" t="s">
        <v>1364</v>
      </c>
      <c r="B307" s="15" t="str">
        <f>IFERROR(VLOOKUP(A307,#REF!,2,0)," ")</f>
        <v xml:space="preserve"> </v>
      </c>
      <c r="C307" s="20">
        <f>IFERROR(VLOOKUP(A307,#REF!,3,0),0)</f>
        <v>0</v>
      </c>
      <c r="D307" s="20">
        <f>IFERROR(VLOOKUP(A307,#REF!,4,0),0)</f>
        <v>0</v>
      </c>
      <c r="E307" s="5"/>
      <c r="G307" s="6"/>
    </row>
    <row r="308" spans="1:7">
      <c r="A308" s="14" t="s">
        <v>264</v>
      </c>
      <c r="B308" s="15" t="str">
        <f>IFERROR(VLOOKUP(A308,#REF!,2,0)," ")</f>
        <v xml:space="preserve"> </v>
      </c>
      <c r="C308" s="20">
        <f>IFERROR(VLOOKUP(A308,#REF!,3,0),0)</f>
        <v>0</v>
      </c>
      <c r="D308" s="20">
        <f>IFERROR(VLOOKUP(A308,#REF!,4,0),0)</f>
        <v>0</v>
      </c>
      <c r="E308" s="5"/>
      <c r="G308" s="6"/>
    </row>
    <row r="309" spans="1:7">
      <c r="A309" s="14" t="s">
        <v>265</v>
      </c>
      <c r="B309" s="15" t="str">
        <f>IFERROR(VLOOKUP(A309,#REF!,2,0)," ")</f>
        <v xml:space="preserve"> </v>
      </c>
      <c r="C309" s="20">
        <f>IFERROR(VLOOKUP(A309,#REF!,3,0),0)</f>
        <v>0</v>
      </c>
      <c r="D309" s="20">
        <f>IFERROR(VLOOKUP(A309,#REF!,4,0),0)</f>
        <v>0</v>
      </c>
      <c r="E309" s="5"/>
      <c r="G309" s="6"/>
    </row>
    <row r="310" spans="1:7">
      <c r="A310" s="14" t="s">
        <v>260</v>
      </c>
      <c r="B310" s="15" t="str">
        <f>IFERROR(VLOOKUP(A310,#REF!,2,0)," ")</f>
        <v xml:space="preserve"> </v>
      </c>
      <c r="C310" s="20">
        <f>IFERROR(VLOOKUP(A310,#REF!,3,0),0)</f>
        <v>0</v>
      </c>
      <c r="D310" s="20">
        <f>IFERROR(VLOOKUP(A310,#REF!,4,0),0)</f>
        <v>0</v>
      </c>
      <c r="E310" s="5"/>
      <c r="G310" s="6"/>
    </row>
    <row r="311" spans="1:7">
      <c r="A311" s="14" t="s">
        <v>1391</v>
      </c>
      <c r="B311" s="15" t="str">
        <f>IFERROR(VLOOKUP(A311,#REF!,2,0)," ")</f>
        <v xml:space="preserve"> </v>
      </c>
      <c r="C311" s="20">
        <f>IFERROR(VLOOKUP(A311,#REF!,3,0),0)</f>
        <v>0</v>
      </c>
      <c r="D311" s="20">
        <f>IFERROR(VLOOKUP(A311,#REF!,4,0),0)</f>
        <v>0</v>
      </c>
      <c r="E311" s="5"/>
      <c r="G311" s="6"/>
    </row>
    <row r="312" spans="1:7">
      <c r="A312" s="14" t="s">
        <v>691</v>
      </c>
      <c r="B312" s="15" t="str">
        <f>IFERROR(VLOOKUP(A312,#REF!,2,0)," ")</f>
        <v xml:space="preserve"> </v>
      </c>
      <c r="C312" s="20">
        <f>IFERROR(VLOOKUP(A312,#REF!,3,0),0)</f>
        <v>0</v>
      </c>
      <c r="D312" s="20">
        <f>IFERROR(VLOOKUP(A312,#REF!,4,0),0)</f>
        <v>0</v>
      </c>
      <c r="E312" s="5"/>
      <c r="G312" s="6"/>
    </row>
    <row r="313" spans="1:7">
      <c r="A313" s="14" t="s">
        <v>1167</v>
      </c>
      <c r="B313" s="15" t="str">
        <f>IFERROR(VLOOKUP(A313,#REF!,2,0)," ")</f>
        <v xml:space="preserve"> </v>
      </c>
      <c r="C313" s="20">
        <f>IFERROR(VLOOKUP(A313,#REF!,3,0),0)</f>
        <v>0</v>
      </c>
      <c r="D313" s="20">
        <f>IFERROR(VLOOKUP(A313,#REF!,4,0),0)</f>
        <v>0</v>
      </c>
      <c r="E313" s="5"/>
      <c r="G313" s="6"/>
    </row>
    <row r="314" spans="1:7">
      <c r="A314" s="14" t="s">
        <v>696</v>
      </c>
      <c r="B314" s="15" t="str">
        <f>IFERROR(VLOOKUP(A314,#REF!,2,0)," ")</f>
        <v xml:space="preserve"> </v>
      </c>
      <c r="C314" s="20">
        <f>IFERROR(VLOOKUP(A314,#REF!,3,0),0)</f>
        <v>0</v>
      </c>
      <c r="D314" s="20">
        <f>IFERROR(VLOOKUP(A314,#REF!,4,0),0)</f>
        <v>0</v>
      </c>
      <c r="E314" s="5"/>
      <c r="G314" s="6"/>
    </row>
    <row r="315" spans="1:7">
      <c r="A315" s="14" t="s">
        <v>697</v>
      </c>
      <c r="B315" s="15" t="str">
        <f>IFERROR(VLOOKUP(A315,#REF!,2,0)," ")</f>
        <v xml:space="preserve"> </v>
      </c>
      <c r="C315" s="20">
        <f>IFERROR(VLOOKUP(A315,#REF!,3,0),0)</f>
        <v>0</v>
      </c>
      <c r="D315" s="20">
        <f>IFERROR(VLOOKUP(A315,#REF!,4,0),0)</f>
        <v>0</v>
      </c>
      <c r="E315" s="5"/>
      <c r="G315" s="6"/>
    </row>
    <row r="316" spans="1:7">
      <c r="A316" s="14" t="s">
        <v>698</v>
      </c>
      <c r="B316" s="15" t="str">
        <f>IFERROR(VLOOKUP(A316,#REF!,2,0)," ")</f>
        <v xml:space="preserve"> </v>
      </c>
      <c r="C316" s="20">
        <f>IFERROR(VLOOKUP(A316,#REF!,3,0),0)</f>
        <v>0</v>
      </c>
      <c r="D316" s="20">
        <f>IFERROR(VLOOKUP(A316,#REF!,4,0),0)</f>
        <v>0</v>
      </c>
      <c r="E316" s="5"/>
      <c r="G316" s="6"/>
    </row>
    <row r="317" spans="1:7">
      <c r="A317" s="14" t="s">
        <v>707</v>
      </c>
      <c r="B317" s="15" t="str">
        <f>IFERROR(VLOOKUP(A317,#REF!,2,0)," ")</f>
        <v xml:space="preserve"> </v>
      </c>
      <c r="C317" s="20">
        <f>IFERROR(VLOOKUP(A317,#REF!,3,0),0)</f>
        <v>0</v>
      </c>
      <c r="D317" s="20">
        <f>IFERROR(VLOOKUP(A317,#REF!,4,0),0)</f>
        <v>0</v>
      </c>
      <c r="E317" s="5"/>
      <c r="G317" s="6"/>
    </row>
    <row r="318" spans="1:7">
      <c r="A318" s="14" t="s">
        <v>1152</v>
      </c>
      <c r="B318" s="15" t="str">
        <f>IFERROR(VLOOKUP(A318,#REF!,2,0)," ")</f>
        <v xml:space="preserve"> </v>
      </c>
      <c r="C318" s="20">
        <f>IFERROR(VLOOKUP(A318,#REF!,3,0),0)</f>
        <v>0</v>
      </c>
      <c r="D318" s="20">
        <f>IFERROR(VLOOKUP(A318,#REF!,4,0),0)</f>
        <v>0</v>
      </c>
      <c r="E318" s="5"/>
      <c r="G318" s="6"/>
    </row>
    <row r="319" spans="1:7">
      <c r="A319" s="14" t="s">
        <v>682</v>
      </c>
      <c r="B319" s="15" t="str">
        <f>IFERROR(VLOOKUP(A319,#REF!,2,0)," ")</f>
        <v xml:space="preserve"> </v>
      </c>
      <c r="C319" s="20">
        <f>IFERROR(VLOOKUP(A319,#REF!,3,0),0)</f>
        <v>0</v>
      </c>
      <c r="D319" s="20">
        <f>IFERROR(VLOOKUP(A319,#REF!,4,0),0)</f>
        <v>0</v>
      </c>
      <c r="E319" s="5"/>
      <c r="G319" s="6"/>
    </row>
    <row r="320" spans="1:7">
      <c r="A320" s="14" t="s">
        <v>1104</v>
      </c>
      <c r="B320" s="15" t="str">
        <f>IFERROR(VLOOKUP(A320,#REF!,2,0)," ")</f>
        <v xml:space="preserve"> </v>
      </c>
      <c r="C320" s="20">
        <f>IFERROR(VLOOKUP(A320,#REF!,3,0),0)</f>
        <v>0</v>
      </c>
      <c r="D320" s="20">
        <f>IFERROR(VLOOKUP(A320,#REF!,4,0),0)</f>
        <v>0</v>
      </c>
      <c r="E320" s="5"/>
      <c r="G320" s="6"/>
    </row>
    <row r="321" spans="1:7">
      <c r="A321" s="14" t="s">
        <v>1397</v>
      </c>
      <c r="B321" s="15" t="str">
        <f>IFERROR(VLOOKUP(A321,#REF!,2,0)," ")</f>
        <v xml:space="preserve"> </v>
      </c>
      <c r="C321" s="20">
        <f>IFERROR(VLOOKUP(A321,#REF!,3,0),0)</f>
        <v>0</v>
      </c>
      <c r="D321" s="20">
        <f>IFERROR(VLOOKUP(A321,#REF!,4,0),0)</f>
        <v>0</v>
      </c>
      <c r="E321" s="5"/>
      <c r="G321" s="6"/>
    </row>
    <row r="322" spans="1:7" ht="14.25" customHeight="1">
      <c r="A322" s="14" t="s">
        <v>1100</v>
      </c>
      <c r="B322" s="15" t="str">
        <f>IFERROR(VLOOKUP(A322,#REF!,2,0)," ")</f>
        <v xml:space="preserve"> </v>
      </c>
      <c r="C322" s="20">
        <f>IFERROR(VLOOKUP(A322,#REF!,3,0),0)</f>
        <v>0</v>
      </c>
      <c r="D322" s="20">
        <f>IFERROR(VLOOKUP(A322,#REF!,4,0),0)</f>
        <v>0</v>
      </c>
      <c r="E322" s="5"/>
      <c r="G322" s="6"/>
    </row>
    <row r="323" spans="1:7">
      <c r="A323" s="14" t="s">
        <v>688</v>
      </c>
      <c r="B323" s="15" t="str">
        <f>IFERROR(VLOOKUP(A323,#REF!,2,0)," ")</f>
        <v xml:space="preserve"> </v>
      </c>
      <c r="C323" s="20">
        <f>IFERROR(VLOOKUP(A323,#REF!,3,0),0)</f>
        <v>0</v>
      </c>
      <c r="D323" s="20">
        <f>IFERROR(VLOOKUP(A323,#REF!,4,0),0)</f>
        <v>0</v>
      </c>
      <c r="E323" s="5"/>
      <c r="G323" s="6"/>
    </row>
    <row r="324" spans="1:7">
      <c r="A324" s="14" t="s">
        <v>1339</v>
      </c>
      <c r="B324" s="15" t="str">
        <f>IFERROR(VLOOKUP(A324,#REF!,2,0)," ")</f>
        <v xml:space="preserve"> </v>
      </c>
      <c r="C324" s="20">
        <f>IFERROR(VLOOKUP(A324,#REF!,3,0),0)</f>
        <v>0</v>
      </c>
      <c r="D324" s="20">
        <f>IFERROR(VLOOKUP(A324,#REF!,4,0),0)</f>
        <v>0</v>
      </c>
      <c r="E324" s="5"/>
      <c r="G324" s="6"/>
    </row>
    <row r="325" spans="1:7">
      <c r="A325" s="14" t="s">
        <v>433</v>
      </c>
      <c r="B325" s="15" t="str">
        <f>IFERROR(VLOOKUP(A325,#REF!,2,0)," ")</f>
        <v xml:space="preserve"> </v>
      </c>
      <c r="C325" s="20">
        <f>IFERROR(VLOOKUP(A325,#REF!,3,0),0)</f>
        <v>0</v>
      </c>
      <c r="D325" s="20">
        <f>IFERROR(VLOOKUP(A325,#REF!,4,0),0)</f>
        <v>0</v>
      </c>
      <c r="E325" s="5"/>
      <c r="G325" s="6"/>
    </row>
    <row r="326" spans="1:7">
      <c r="A326" s="14" t="s">
        <v>693</v>
      </c>
      <c r="B326" s="15" t="str">
        <f>IFERROR(VLOOKUP(A326,#REF!,2,0)," ")</f>
        <v xml:space="preserve"> </v>
      </c>
      <c r="C326" s="20">
        <f>IFERROR(VLOOKUP(A326,#REF!,3,0),0)</f>
        <v>0</v>
      </c>
      <c r="D326" s="20">
        <f>IFERROR(VLOOKUP(A326,#REF!,4,0),0)</f>
        <v>0</v>
      </c>
      <c r="E326" s="5"/>
      <c r="G326" s="6"/>
    </row>
    <row r="327" spans="1:7">
      <c r="A327" s="14" t="s">
        <v>692</v>
      </c>
      <c r="B327" s="15" t="str">
        <f>IFERROR(VLOOKUP(A327,#REF!,2,0)," ")</f>
        <v xml:space="preserve"> </v>
      </c>
      <c r="C327" s="20">
        <f>IFERROR(VLOOKUP(A327,#REF!,3,0),0)</f>
        <v>0</v>
      </c>
      <c r="D327" s="20">
        <f>IFERROR(VLOOKUP(A327,#REF!,4,0),0)</f>
        <v>0</v>
      </c>
      <c r="E327" s="5"/>
      <c r="G327" s="6"/>
    </row>
    <row r="328" spans="1:7">
      <c r="A328" s="14" t="s">
        <v>722</v>
      </c>
      <c r="B328" s="15" t="str">
        <f>IFERROR(VLOOKUP(A328,#REF!,2,0)," ")</f>
        <v xml:space="preserve"> </v>
      </c>
      <c r="C328" s="20">
        <f>IFERROR(VLOOKUP(A328,#REF!,3,0),0)</f>
        <v>0</v>
      </c>
      <c r="D328" s="20">
        <f>IFERROR(VLOOKUP(A328,#REF!,4,0),0)</f>
        <v>0</v>
      </c>
      <c r="E328" s="5"/>
      <c r="G328" s="6"/>
    </row>
    <row r="329" spans="1:7">
      <c r="A329" s="14" t="s">
        <v>1511</v>
      </c>
      <c r="B329" s="15" t="str">
        <f>IFERROR(VLOOKUP(A329,#REF!,2,0)," ")</f>
        <v xml:space="preserve"> </v>
      </c>
      <c r="C329" s="20">
        <f>IFERROR(VLOOKUP(A329,#REF!,3,0),0)</f>
        <v>0</v>
      </c>
      <c r="D329" s="20">
        <f>IFERROR(VLOOKUP(A329,#REF!,4,0),0)</f>
        <v>0</v>
      </c>
      <c r="E329" s="5"/>
      <c r="G329" s="6"/>
    </row>
    <row r="330" spans="1:7">
      <c r="A330" s="14" t="s">
        <v>1386</v>
      </c>
      <c r="B330" s="15" t="str">
        <f>IFERROR(VLOOKUP(A330,#REF!,2,0)," ")</f>
        <v xml:space="preserve"> </v>
      </c>
      <c r="C330" s="20">
        <f>IFERROR(VLOOKUP(A330,#REF!,3,0),0)</f>
        <v>0</v>
      </c>
      <c r="D330" s="20">
        <f>IFERROR(VLOOKUP(A330,#REF!,4,0),0)</f>
        <v>0</v>
      </c>
      <c r="E330" s="5"/>
      <c r="G330" s="6"/>
    </row>
    <row r="331" spans="1:7">
      <c r="A331" s="14" t="s">
        <v>1387</v>
      </c>
      <c r="B331" s="15" t="str">
        <f>IFERROR(VLOOKUP(A331,#REF!,2,0)," ")</f>
        <v xml:space="preserve"> </v>
      </c>
      <c r="C331" s="20">
        <f>IFERROR(VLOOKUP(A331,#REF!,3,0),0)</f>
        <v>0</v>
      </c>
      <c r="D331" s="20">
        <f>IFERROR(VLOOKUP(A331,#REF!,4,0),0)</f>
        <v>0</v>
      </c>
      <c r="E331" s="5"/>
      <c r="G331" s="6"/>
    </row>
    <row r="332" spans="1:7">
      <c r="A332" s="14" t="s">
        <v>1073</v>
      </c>
      <c r="B332" s="15" t="str">
        <f>IFERROR(VLOOKUP(A332,#REF!,2,0)," ")</f>
        <v xml:space="preserve"> </v>
      </c>
      <c r="C332" s="20">
        <f>IFERROR(VLOOKUP(A332,#REF!,3,0),0)</f>
        <v>0</v>
      </c>
      <c r="D332" s="20">
        <f>IFERROR(VLOOKUP(A332,#REF!,4,0),0)</f>
        <v>0</v>
      </c>
      <c r="E332" s="5"/>
      <c r="G332" s="6"/>
    </row>
    <row r="333" spans="1:7">
      <c r="A333" s="14" t="s">
        <v>700</v>
      </c>
      <c r="B333" s="15" t="str">
        <f>IFERROR(VLOOKUP(A333,#REF!,2,0)," ")</f>
        <v xml:space="preserve"> </v>
      </c>
      <c r="C333" s="20">
        <f>IFERROR(VLOOKUP(A333,#REF!,3,0),0)</f>
        <v>0</v>
      </c>
      <c r="D333" s="20">
        <f>IFERROR(VLOOKUP(A333,#REF!,4,0),0)</f>
        <v>0</v>
      </c>
      <c r="E333" s="5"/>
      <c r="G333" s="6"/>
    </row>
    <row r="334" spans="1:7">
      <c r="A334" s="14" t="s">
        <v>895</v>
      </c>
      <c r="B334" s="15" t="str">
        <f>IFERROR(VLOOKUP(A334,#REF!,2,0)," ")</f>
        <v xml:space="preserve"> </v>
      </c>
      <c r="C334" s="20">
        <f>IFERROR(VLOOKUP(A334,#REF!,3,0),0)</f>
        <v>0</v>
      </c>
      <c r="D334" s="20">
        <f>IFERROR(VLOOKUP(A334,#REF!,4,0),0)</f>
        <v>0</v>
      </c>
      <c r="E334" s="5"/>
      <c r="G334" s="6"/>
    </row>
    <row r="335" spans="1:7">
      <c r="A335" s="14" t="s">
        <v>1171</v>
      </c>
      <c r="B335" s="15" t="str">
        <f>IFERROR(VLOOKUP(A335,#REF!,2,0)," ")</f>
        <v xml:space="preserve"> </v>
      </c>
      <c r="C335" s="20">
        <f>IFERROR(VLOOKUP(A335,#REF!,3,0),0)</f>
        <v>0</v>
      </c>
      <c r="D335" s="20">
        <f>IFERROR(VLOOKUP(A335,#REF!,4,0),0)</f>
        <v>0</v>
      </c>
      <c r="E335" s="5"/>
      <c r="G335" s="6"/>
    </row>
    <row r="336" spans="1:7">
      <c r="A336" s="14" t="s">
        <v>1363</v>
      </c>
      <c r="B336" s="15" t="str">
        <f>IFERROR(VLOOKUP(A336,#REF!,2,0)," ")</f>
        <v xml:space="preserve"> </v>
      </c>
      <c r="C336" s="20">
        <f>IFERROR(VLOOKUP(A336,#REF!,3,0),0)</f>
        <v>0</v>
      </c>
      <c r="D336" s="20">
        <f>IFERROR(VLOOKUP(A336,#REF!,4,0),0)</f>
        <v>0</v>
      </c>
      <c r="E336" s="5"/>
      <c r="G336" s="6"/>
    </row>
    <row r="337" spans="1:7">
      <c r="A337" s="14" t="s">
        <v>846</v>
      </c>
      <c r="B337" s="15" t="str">
        <f>IFERROR(VLOOKUP(A337,#REF!,2,0)," ")</f>
        <v xml:space="preserve"> </v>
      </c>
      <c r="C337" s="20">
        <f>IFERROR(VLOOKUP(A337,#REF!,3,0),0)</f>
        <v>0</v>
      </c>
      <c r="D337" s="20">
        <f>IFERROR(VLOOKUP(A337,#REF!,4,0),0)</f>
        <v>0</v>
      </c>
      <c r="E337" s="5"/>
      <c r="G337" s="6"/>
    </row>
    <row r="338" spans="1:7">
      <c r="A338" s="14" t="s">
        <v>89</v>
      </c>
      <c r="B338" s="15" t="str">
        <f>IFERROR(VLOOKUP(A338,#REF!,2,0)," ")</f>
        <v xml:space="preserve"> </v>
      </c>
      <c r="C338" s="20">
        <f>IFERROR(VLOOKUP(A338,#REF!,3,0),0)</f>
        <v>0</v>
      </c>
      <c r="D338" s="20">
        <f>IFERROR(VLOOKUP(A338,#REF!,4,0),0)</f>
        <v>0</v>
      </c>
      <c r="E338" s="5"/>
      <c r="G338" s="6"/>
    </row>
    <row r="339" spans="1:7">
      <c r="A339" s="14" t="s">
        <v>525</v>
      </c>
      <c r="B339" s="15" t="str">
        <f>IFERROR(VLOOKUP(A339,#REF!,2,0)," ")</f>
        <v xml:space="preserve"> </v>
      </c>
      <c r="C339" s="20">
        <f>IFERROR(VLOOKUP(A339,#REF!,3,0),0)</f>
        <v>0</v>
      </c>
      <c r="D339" s="20">
        <f>IFERROR(VLOOKUP(A339,#REF!,4,0),0)</f>
        <v>0</v>
      </c>
      <c r="E339" s="5"/>
      <c r="G339" s="6"/>
    </row>
    <row r="340" spans="1:7">
      <c r="A340" s="14" t="s">
        <v>1087</v>
      </c>
      <c r="B340" s="15" t="str">
        <f>IFERROR(VLOOKUP(A340,#REF!,2,0)," ")</f>
        <v xml:space="preserve"> </v>
      </c>
      <c r="C340" s="20">
        <f>IFERROR(VLOOKUP(A340,#REF!,3,0),0)</f>
        <v>0</v>
      </c>
      <c r="D340" s="20">
        <f>IFERROR(VLOOKUP(A340,#REF!,4,0),0)</f>
        <v>0</v>
      </c>
      <c r="E340" s="5"/>
      <c r="G340" s="6"/>
    </row>
    <row r="341" spans="1:7">
      <c r="A341" s="14" t="s">
        <v>1086</v>
      </c>
      <c r="B341" s="15" t="str">
        <f>IFERROR(VLOOKUP(A341,#REF!,2,0)," ")</f>
        <v xml:space="preserve"> </v>
      </c>
      <c r="C341" s="20">
        <f>IFERROR(VLOOKUP(A341,#REF!,3,0),0)</f>
        <v>0</v>
      </c>
      <c r="D341" s="20">
        <f>IFERROR(VLOOKUP(A341,#REF!,4,0),0)</f>
        <v>0</v>
      </c>
      <c r="E341" s="5"/>
      <c r="G341" s="6"/>
    </row>
    <row r="342" spans="1:7">
      <c r="A342" s="14" t="s">
        <v>1089</v>
      </c>
      <c r="B342" s="15" t="str">
        <f>IFERROR(VLOOKUP(A342,#REF!,2,0)," ")</f>
        <v xml:space="preserve"> </v>
      </c>
      <c r="C342" s="20">
        <f>IFERROR(VLOOKUP(A342,#REF!,3,0),0)</f>
        <v>0</v>
      </c>
      <c r="D342" s="20">
        <f>IFERROR(VLOOKUP(A342,#REF!,4,0),0)</f>
        <v>0</v>
      </c>
      <c r="E342" s="5"/>
      <c r="G342" s="6"/>
    </row>
    <row r="343" spans="1:7">
      <c r="A343" s="14" t="s">
        <v>1088</v>
      </c>
      <c r="B343" s="15" t="str">
        <f>IFERROR(VLOOKUP(A343,#REF!,2,0)," ")</f>
        <v xml:space="preserve"> </v>
      </c>
      <c r="C343" s="20">
        <f>IFERROR(VLOOKUP(A343,#REF!,3,0),0)</f>
        <v>0</v>
      </c>
      <c r="D343" s="20">
        <f>IFERROR(VLOOKUP(A343,#REF!,4,0),0)</f>
        <v>0</v>
      </c>
      <c r="E343" s="5"/>
      <c r="G343" s="6"/>
    </row>
    <row r="344" spans="1:7">
      <c r="A344" s="14" t="s">
        <v>1084</v>
      </c>
      <c r="B344" s="15" t="str">
        <f>IFERROR(VLOOKUP(A344,#REF!,2,0)," ")</f>
        <v xml:space="preserve"> </v>
      </c>
      <c r="C344" s="20">
        <f>IFERROR(VLOOKUP(A344,#REF!,3,0),0)</f>
        <v>0</v>
      </c>
      <c r="D344" s="20">
        <f>IFERROR(VLOOKUP(A344,#REF!,4,0),0)</f>
        <v>0</v>
      </c>
      <c r="E344" s="5"/>
      <c r="G344" s="6"/>
    </row>
    <row r="345" spans="1:7">
      <c r="A345" s="14" t="s">
        <v>1083</v>
      </c>
      <c r="B345" s="15" t="str">
        <f>IFERROR(VLOOKUP(A345,#REF!,2,0)," ")</f>
        <v xml:space="preserve"> </v>
      </c>
      <c r="C345" s="20">
        <f>IFERROR(VLOOKUP(A345,#REF!,3,0),0)</f>
        <v>0</v>
      </c>
      <c r="D345" s="20">
        <f>IFERROR(VLOOKUP(A345,#REF!,4,0),0)</f>
        <v>0</v>
      </c>
      <c r="E345" s="5"/>
      <c r="G345" s="6"/>
    </row>
    <row r="346" spans="1:7">
      <c r="A346" s="14" t="s">
        <v>1085</v>
      </c>
      <c r="B346" s="15" t="str">
        <f>IFERROR(VLOOKUP(A346,#REF!,2,0)," ")</f>
        <v xml:space="preserve"> </v>
      </c>
      <c r="C346" s="20">
        <f>IFERROR(VLOOKUP(A346,#REF!,3,0),0)</f>
        <v>0</v>
      </c>
      <c r="D346" s="20">
        <f>IFERROR(VLOOKUP(A346,#REF!,4,0),0)</f>
        <v>0</v>
      </c>
      <c r="E346" s="5"/>
      <c r="G346" s="6"/>
    </row>
    <row r="347" spans="1:7">
      <c r="A347" s="14" t="s">
        <v>1082</v>
      </c>
      <c r="B347" s="15" t="str">
        <f>IFERROR(VLOOKUP(A347,#REF!,2,0)," ")</f>
        <v xml:space="preserve"> </v>
      </c>
      <c r="C347" s="20">
        <f>IFERROR(VLOOKUP(A347,#REF!,3,0),0)</f>
        <v>0</v>
      </c>
      <c r="D347" s="20">
        <f>IFERROR(VLOOKUP(A347,#REF!,4,0),0)</f>
        <v>0</v>
      </c>
      <c r="E347" s="5"/>
      <c r="G347" s="6"/>
    </row>
    <row r="348" spans="1:7">
      <c r="A348" s="14" t="s">
        <v>1078</v>
      </c>
      <c r="B348" s="15" t="str">
        <f>IFERROR(VLOOKUP(A348,#REF!,2,0)," ")</f>
        <v xml:space="preserve"> </v>
      </c>
      <c r="C348" s="20">
        <f>IFERROR(VLOOKUP(A348,#REF!,3,0),0)</f>
        <v>0</v>
      </c>
      <c r="D348" s="20">
        <f>IFERROR(VLOOKUP(A348,#REF!,4,0),0)</f>
        <v>0</v>
      </c>
      <c r="E348" s="5"/>
      <c r="G348" s="6"/>
    </row>
    <row r="349" spans="1:7">
      <c r="A349" s="14" t="s">
        <v>1092</v>
      </c>
      <c r="B349" s="15" t="str">
        <f>IFERROR(VLOOKUP(A349,#REF!,2,0)," ")</f>
        <v xml:space="preserve"> </v>
      </c>
      <c r="C349" s="20">
        <f>IFERROR(VLOOKUP(A349,#REF!,3,0),0)</f>
        <v>0</v>
      </c>
      <c r="D349" s="20">
        <f>IFERROR(VLOOKUP(A349,#REF!,4,0),0)</f>
        <v>0</v>
      </c>
      <c r="E349" s="5"/>
      <c r="G349" s="6"/>
    </row>
    <row r="350" spans="1:7">
      <c r="A350" s="14" t="s">
        <v>1093</v>
      </c>
      <c r="B350" s="15" t="str">
        <f>IFERROR(VLOOKUP(A350,#REF!,2,0)," ")</f>
        <v xml:space="preserve"> </v>
      </c>
      <c r="C350" s="20">
        <f>IFERROR(VLOOKUP(A350,#REF!,3,0),0)</f>
        <v>0</v>
      </c>
      <c r="D350" s="20">
        <f>IFERROR(VLOOKUP(A350,#REF!,4,0),0)</f>
        <v>0</v>
      </c>
      <c r="E350" s="5"/>
      <c r="G350" s="6"/>
    </row>
    <row r="351" spans="1:7">
      <c r="A351" s="14" t="s">
        <v>1090</v>
      </c>
      <c r="B351" s="15" t="str">
        <f>IFERROR(VLOOKUP(A351,#REF!,2,0)," ")</f>
        <v xml:space="preserve"> </v>
      </c>
      <c r="C351" s="20">
        <f>IFERROR(VLOOKUP(A351,#REF!,3,0),0)</f>
        <v>0</v>
      </c>
      <c r="D351" s="20">
        <f>IFERROR(VLOOKUP(A351,#REF!,4,0),0)</f>
        <v>0</v>
      </c>
      <c r="E351" s="5"/>
      <c r="G351" s="6"/>
    </row>
    <row r="352" spans="1:7">
      <c r="A352" s="14" t="s">
        <v>1094</v>
      </c>
      <c r="B352" s="15" t="str">
        <f>IFERROR(VLOOKUP(A352,#REF!,2,0)," ")</f>
        <v xml:space="preserve"> </v>
      </c>
      <c r="C352" s="20">
        <f>IFERROR(VLOOKUP(A352,#REF!,3,0),0)</f>
        <v>0</v>
      </c>
      <c r="D352" s="20">
        <f>IFERROR(VLOOKUP(A352,#REF!,4,0),0)</f>
        <v>0</v>
      </c>
      <c r="E352" s="5"/>
      <c r="G352" s="6"/>
    </row>
    <row r="353" spans="1:7">
      <c r="A353" s="14" t="s">
        <v>1091</v>
      </c>
      <c r="B353" s="15" t="str">
        <f>IFERROR(VLOOKUP(A353,#REF!,2,0)," ")</f>
        <v xml:space="preserve"> </v>
      </c>
      <c r="C353" s="20">
        <f>IFERROR(VLOOKUP(A353,#REF!,3,0),0)</f>
        <v>0</v>
      </c>
      <c r="D353" s="20">
        <f>IFERROR(VLOOKUP(A353,#REF!,4,0),0)</f>
        <v>0</v>
      </c>
      <c r="E353" s="5"/>
      <c r="G353" s="6"/>
    </row>
    <row r="354" spans="1:7">
      <c r="A354" s="14" t="s">
        <v>706</v>
      </c>
      <c r="B354" s="15" t="str">
        <f>IFERROR(VLOOKUP(A354,#REF!,2,0)," ")</f>
        <v xml:space="preserve"> </v>
      </c>
      <c r="C354" s="20">
        <f>IFERROR(VLOOKUP(A354,#REF!,3,0),0)</f>
        <v>0</v>
      </c>
      <c r="D354" s="20">
        <f>IFERROR(VLOOKUP(A354,#REF!,4,0),0)</f>
        <v>0</v>
      </c>
      <c r="E354" s="5"/>
      <c r="G354" s="6"/>
    </row>
    <row r="355" spans="1:7">
      <c r="A355" s="14" t="s">
        <v>1058</v>
      </c>
      <c r="B355" s="15" t="str">
        <f>IFERROR(VLOOKUP(A355,#REF!,2,0)," ")</f>
        <v xml:space="preserve"> </v>
      </c>
      <c r="C355" s="20">
        <f>IFERROR(VLOOKUP(A355,#REF!,3,0),0)</f>
        <v>0</v>
      </c>
      <c r="D355" s="20">
        <f>IFERROR(VLOOKUP(A355,#REF!,4,0),0)</f>
        <v>0</v>
      </c>
      <c r="E355" s="5"/>
      <c r="G355" s="6"/>
    </row>
    <row r="356" spans="1:7">
      <c r="A356" s="14" t="s">
        <v>1044</v>
      </c>
      <c r="B356" s="15" t="str">
        <f>IFERROR(VLOOKUP(A356,#REF!,2,0)," ")</f>
        <v xml:space="preserve"> </v>
      </c>
      <c r="C356" s="20">
        <f>IFERROR(VLOOKUP(A356,#REF!,3,0),0)</f>
        <v>0</v>
      </c>
      <c r="D356" s="20">
        <f>IFERROR(VLOOKUP(A356,#REF!,4,0),0)</f>
        <v>0</v>
      </c>
      <c r="E356" s="5"/>
      <c r="G356" s="6"/>
    </row>
    <row r="357" spans="1:7">
      <c r="A357" s="14" t="s">
        <v>1161</v>
      </c>
      <c r="B357" s="15" t="str">
        <f>IFERROR(VLOOKUP(A357,#REF!,2,0)," ")</f>
        <v xml:space="preserve"> </v>
      </c>
      <c r="C357" s="20">
        <f>IFERROR(VLOOKUP(A357,#REF!,3,0),0)</f>
        <v>0</v>
      </c>
      <c r="D357" s="20">
        <f>IFERROR(VLOOKUP(A357,#REF!,4,0),0)</f>
        <v>0</v>
      </c>
      <c r="E357" s="5"/>
      <c r="G357" s="6"/>
    </row>
    <row r="358" spans="1:7">
      <c r="A358" s="14" t="s">
        <v>1345</v>
      </c>
      <c r="B358" s="15" t="str">
        <f>IFERROR(VLOOKUP(A358,#REF!,2,0)," ")</f>
        <v xml:space="preserve"> </v>
      </c>
      <c r="C358" s="20">
        <f>IFERROR(VLOOKUP(A358,#REF!,3,0),0)</f>
        <v>0</v>
      </c>
      <c r="D358" s="20">
        <f>IFERROR(VLOOKUP(A358,#REF!,4,0),0)</f>
        <v>0</v>
      </c>
      <c r="E358" s="5"/>
      <c r="G358" s="6"/>
    </row>
    <row r="359" spans="1:7">
      <c r="A359" s="14" t="s">
        <v>638</v>
      </c>
      <c r="B359" s="15" t="str">
        <f>IFERROR(VLOOKUP(A359,#REF!,2,0)," ")</f>
        <v xml:space="preserve"> </v>
      </c>
      <c r="C359" s="20">
        <f>IFERROR(VLOOKUP(A359,#REF!,3,0),0)</f>
        <v>0</v>
      </c>
      <c r="D359" s="20">
        <f>IFERROR(VLOOKUP(A359,#REF!,4,0),0)</f>
        <v>0</v>
      </c>
      <c r="E359" s="5"/>
      <c r="G359" s="6"/>
    </row>
    <row r="360" spans="1:7">
      <c r="A360" s="14" t="s">
        <v>1393</v>
      </c>
      <c r="B360" s="15" t="str">
        <f>IFERROR(VLOOKUP(A360,#REF!,2,0)," ")</f>
        <v xml:space="preserve"> </v>
      </c>
      <c r="C360" s="20">
        <f>IFERROR(VLOOKUP(A360,#REF!,3,0),0)</f>
        <v>0</v>
      </c>
      <c r="D360" s="20">
        <f>IFERROR(VLOOKUP(A360,#REF!,4,0),0)</f>
        <v>0</v>
      </c>
      <c r="E360" s="5"/>
      <c r="G360" s="6"/>
    </row>
    <row r="361" spans="1:7">
      <c r="A361" s="14" t="s">
        <v>683</v>
      </c>
      <c r="B361" s="15" t="str">
        <f>IFERROR(VLOOKUP(A361,#REF!,2,0)," ")</f>
        <v xml:space="preserve"> </v>
      </c>
      <c r="C361" s="20">
        <f>IFERROR(VLOOKUP(A361,#REF!,3,0),0)</f>
        <v>0</v>
      </c>
      <c r="D361" s="20">
        <f>IFERROR(VLOOKUP(A361,#REF!,4,0),0)</f>
        <v>0</v>
      </c>
      <c r="E361" s="5"/>
      <c r="G361" s="6"/>
    </row>
    <row r="362" spans="1:7">
      <c r="A362" s="14" t="s">
        <v>684</v>
      </c>
      <c r="B362" s="15" t="str">
        <f>IFERROR(VLOOKUP(A362,#REF!,2,0)," ")</f>
        <v xml:space="preserve"> </v>
      </c>
      <c r="C362" s="20">
        <f>IFERROR(VLOOKUP(A362,#REF!,3,0),0)</f>
        <v>0</v>
      </c>
      <c r="D362" s="20">
        <f>IFERROR(VLOOKUP(A362,#REF!,4,0),0)</f>
        <v>0</v>
      </c>
      <c r="E362" s="5"/>
      <c r="G362" s="6"/>
    </row>
    <row r="363" spans="1:7">
      <c r="A363" s="14" t="s">
        <v>704</v>
      </c>
      <c r="B363" s="15" t="str">
        <f>IFERROR(VLOOKUP(A363,#REF!,2,0)," ")</f>
        <v xml:space="preserve"> </v>
      </c>
      <c r="C363" s="20">
        <f>IFERROR(VLOOKUP(A363,#REF!,3,0),0)</f>
        <v>0</v>
      </c>
      <c r="D363" s="20">
        <f>IFERROR(VLOOKUP(A363,#REF!,4,0),0)</f>
        <v>0</v>
      </c>
      <c r="E363" s="5"/>
      <c r="G363" s="6"/>
    </row>
    <row r="364" spans="1:7">
      <c r="A364" s="14" t="s">
        <v>1343</v>
      </c>
      <c r="B364" s="15" t="str">
        <f>IFERROR(VLOOKUP(A364,#REF!,2,0)," ")</f>
        <v xml:space="preserve"> </v>
      </c>
      <c r="C364" s="20">
        <f>IFERROR(VLOOKUP(A364,#REF!,3,0),0)</f>
        <v>0</v>
      </c>
      <c r="D364" s="20">
        <f>IFERROR(VLOOKUP(A364,#REF!,4,0),0)</f>
        <v>0</v>
      </c>
      <c r="E364" s="5"/>
      <c r="G364" s="6"/>
    </row>
    <row r="365" spans="1:7">
      <c r="A365" s="14" t="s">
        <v>1390</v>
      </c>
      <c r="B365" s="15" t="str">
        <f>IFERROR(VLOOKUP(A365,#REF!,2,0)," ")</f>
        <v xml:space="preserve"> </v>
      </c>
      <c r="C365" s="20">
        <f>IFERROR(VLOOKUP(A365,#REF!,3,0),0)</f>
        <v>0</v>
      </c>
      <c r="D365" s="20">
        <f>IFERROR(VLOOKUP(A365,#REF!,4,0),0)</f>
        <v>0</v>
      </c>
      <c r="E365" s="5"/>
      <c r="G365" s="6"/>
    </row>
    <row r="366" spans="1:7">
      <c r="A366" s="14" t="s">
        <v>431</v>
      </c>
      <c r="B366" s="15" t="str">
        <f>IFERROR(VLOOKUP(A366,#REF!,2,0)," ")</f>
        <v xml:space="preserve"> </v>
      </c>
      <c r="C366" s="20">
        <f>IFERROR(VLOOKUP(A366,#REF!,3,0),0)</f>
        <v>0</v>
      </c>
      <c r="D366" s="20">
        <f>IFERROR(VLOOKUP(A366,#REF!,4,0),0)</f>
        <v>0</v>
      </c>
      <c r="E366" s="5"/>
      <c r="G366" s="6"/>
    </row>
    <row r="367" spans="1:7">
      <c r="A367" s="14" t="s">
        <v>628</v>
      </c>
      <c r="B367" s="15" t="str">
        <f>IFERROR(VLOOKUP(A367,#REF!,2,0)," ")</f>
        <v xml:space="preserve"> </v>
      </c>
      <c r="C367" s="20">
        <f>IFERROR(VLOOKUP(A367,#REF!,3,0),0)</f>
        <v>0</v>
      </c>
      <c r="D367" s="20">
        <f>IFERROR(VLOOKUP(A367,#REF!,4,0),0)</f>
        <v>0</v>
      </c>
      <c r="E367" s="5"/>
      <c r="G367" s="6"/>
    </row>
    <row r="368" spans="1:7">
      <c r="A368" s="14" t="s">
        <v>847</v>
      </c>
      <c r="B368" s="15" t="str">
        <f>IFERROR(VLOOKUP(A368,#REF!,2,0)," ")</f>
        <v xml:space="preserve"> </v>
      </c>
      <c r="C368" s="20">
        <f>IFERROR(VLOOKUP(A368,#REF!,3,0),0)</f>
        <v>0</v>
      </c>
      <c r="D368" s="20">
        <f>IFERROR(VLOOKUP(A368,#REF!,4,0),0)</f>
        <v>0</v>
      </c>
      <c r="E368" s="5"/>
      <c r="G368" s="6"/>
    </row>
    <row r="369" spans="1:7">
      <c r="A369" s="14" t="s">
        <v>702</v>
      </c>
      <c r="B369" s="15" t="str">
        <f>IFERROR(VLOOKUP(A369,#REF!,2,0)," ")</f>
        <v xml:space="preserve"> </v>
      </c>
      <c r="C369" s="20">
        <f>IFERROR(VLOOKUP(A369,#REF!,3,0),0)</f>
        <v>0</v>
      </c>
      <c r="D369" s="20">
        <f>IFERROR(VLOOKUP(A369,#REF!,4,0),0)</f>
        <v>0</v>
      </c>
      <c r="E369" s="5"/>
      <c r="G369" s="6"/>
    </row>
    <row r="370" spans="1:7">
      <c r="A370" s="14" t="s">
        <v>1184</v>
      </c>
      <c r="B370" s="15" t="str">
        <f>IFERROR(VLOOKUP(A370,#REF!,2,0)," ")</f>
        <v xml:space="preserve"> </v>
      </c>
      <c r="C370" s="20">
        <f>IFERROR(VLOOKUP(A370,#REF!,3,0),0)</f>
        <v>0</v>
      </c>
      <c r="D370" s="20">
        <f>IFERROR(VLOOKUP(A370,#REF!,4,0),0)</f>
        <v>0</v>
      </c>
      <c r="E370" s="5"/>
      <c r="G370" s="6"/>
    </row>
    <row r="371" spans="1:7">
      <c r="A371" s="14" t="s">
        <v>152</v>
      </c>
      <c r="B371" s="15" t="str">
        <f>IFERROR(VLOOKUP(A371,#REF!,2,0)," ")</f>
        <v xml:space="preserve"> </v>
      </c>
      <c r="C371" s="20">
        <f>IFERROR(VLOOKUP(A371,#REF!,3,0),0)</f>
        <v>0</v>
      </c>
      <c r="D371" s="20">
        <f>IFERROR(VLOOKUP(A371,#REF!,4,0),0)</f>
        <v>0</v>
      </c>
      <c r="E371" s="5"/>
      <c r="G371" s="6"/>
    </row>
    <row r="372" spans="1:7">
      <c r="A372" s="14" t="s">
        <v>1235</v>
      </c>
      <c r="B372" s="15" t="str">
        <f>IFERROR(VLOOKUP(A372,#REF!,2,0)," ")</f>
        <v xml:space="preserve"> </v>
      </c>
      <c r="C372" s="20">
        <f>IFERROR(VLOOKUP(A372,#REF!,3,0),0)</f>
        <v>0</v>
      </c>
      <c r="D372" s="20">
        <f>IFERROR(VLOOKUP(A372,#REF!,4,0),0)</f>
        <v>0</v>
      </c>
      <c r="E372" s="5"/>
      <c r="G372" s="6"/>
    </row>
    <row r="373" spans="1:7">
      <c r="A373" s="14" t="s">
        <v>1163</v>
      </c>
      <c r="B373" s="15" t="str">
        <f>IFERROR(VLOOKUP(A373,#REF!,2,0)," ")</f>
        <v xml:space="preserve"> </v>
      </c>
      <c r="C373" s="20">
        <f>IFERROR(VLOOKUP(A373,#REF!,3,0),0)</f>
        <v>0</v>
      </c>
      <c r="D373" s="20">
        <f>IFERROR(VLOOKUP(A373,#REF!,4,0),0)</f>
        <v>0</v>
      </c>
      <c r="E373" s="5"/>
      <c r="G373" s="6"/>
    </row>
    <row r="374" spans="1:7">
      <c r="A374" s="14" t="s">
        <v>1038</v>
      </c>
      <c r="B374" s="15" t="str">
        <f>IFERROR(VLOOKUP(A374,#REF!,2,0)," ")</f>
        <v xml:space="preserve"> </v>
      </c>
      <c r="C374" s="20">
        <f>IFERROR(VLOOKUP(A374,#REF!,3,0),0)</f>
        <v>0</v>
      </c>
      <c r="D374" s="20">
        <f>IFERROR(VLOOKUP(A374,#REF!,4,0),0)</f>
        <v>0</v>
      </c>
      <c r="E374" s="5"/>
      <c r="G374" s="6"/>
    </row>
    <row r="375" spans="1:7">
      <c r="A375" s="14" t="s">
        <v>916</v>
      </c>
      <c r="B375" s="15" t="str">
        <f>IFERROR(VLOOKUP(A375,#REF!,2,0)," ")</f>
        <v xml:space="preserve"> </v>
      </c>
      <c r="C375" s="20">
        <f>IFERROR(VLOOKUP(A375,#REF!,3,0),0)</f>
        <v>0</v>
      </c>
      <c r="D375" s="20">
        <f>IFERROR(VLOOKUP(A375,#REF!,4,0),0)</f>
        <v>0</v>
      </c>
      <c r="E375" s="5"/>
      <c r="G375" s="6"/>
    </row>
    <row r="376" spans="1:7">
      <c r="A376" s="14" t="s">
        <v>1129</v>
      </c>
      <c r="B376" s="15" t="str">
        <f>IFERROR(VLOOKUP(A376,#REF!,2,0)," ")</f>
        <v xml:space="preserve"> </v>
      </c>
      <c r="C376" s="20">
        <f>IFERROR(VLOOKUP(A376,#REF!,3,0),0)</f>
        <v>0</v>
      </c>
      <c r="D376" s="20">
        <f>IFERROR(VLOOKUP(A376,#REF!,4,0),0)</f>
        <v>0</v>
      </c>
      <c r="E376" s="5"/>
      <c r="G376" s="6"/>
    </row>
    <row r="377" spans="1:7">
      <c r="A377" s="14" t="s">
        <v>1162</v>
      </c>
      <c r="B377" s="15" t="str">
        <f>IFERROR(VLOOKUP(A377,#REF!,2,0)," ")</f>
        <v xml:space="preserve"> </v>
      </c>
      <c r="C377" s="20">
        <f>IFERROR(VLOOKUP(A377,#REF!,3,0),0)</f>
        <v>0</v>
      </c>
      <c r="D377" s="20">
        <f>IFERROR(VLOOKUP(A377,#REF!,4,0),0)</f>
        <v>0</v>
      </c>
      <c r="E377" s="5"/>
      <c r="G377" s="6"/>
    </row>
    <row r="378" spans="1:7">
      <c r="A378" s="14" t="s">
        <v>680</v>
      </c>
      <c r="B378" s="15" t="str">
        <f>IFERROR(VLOOKUP(A378,#REF!,2,0)," ")</f>
        <v xml:space="preserve"> </v>
      </c>
      <c r="C378" s="20">
        <f>IFERROR(VLOOKUP(A378,#REF!,3,0),0)</f>
        <v>0</v>
      </c>
      <c r="D378" s="20">
        <f>IFERROR(VLOOKUP(A378,#REF!,4,0),0)</f>
        <v>0</v>
      </c>
      <c r="E378" s="5"/>
      <c r="G378" s="6"/>
    </row>
    <row r="379" spans="1:7">
      <c r="A379" s="14" t="s">
        <v>905</v>
      </c>
      <c r="B379" s="15" t="str">
        <f>IFERROR(VLOOKUP(A379,#REF!,2,0)," ")</f>
        <v xml:space="preserve"> </v>
      </c>
      <c r="C379" s="20">
        <f>IFERROR(VLOOKUP(A379,#REF!,3,0),0)</f>
        <v>0</v>
      </c>
      <c r="D379" s="20">
        <f>IFERROR(VLOOKUP(A379,#REF!,4,0),0)</f>
        <v>0</v>
      </c>
      <c r="E379" s="5"/>
      <c r="G379" s="6"/>
    </row>
    <row r="380" spans="1:7">
      <c r="A380" s="14" t="s">
        <v>906</v>
      </c>
      <c r="B380" s="15" t="str">
        <f>IFERROR(VLOOKUP(A380,#REF!,2,0)," ")</f>
        <v xml:space="preserve"> </v>
      </c>
      <c r="C380" s="20">
        <f>IFERROR(VLOOKUP(A380,#REF!,3,0),0)</f>
        <v>0</v>
      </c>
      <c r="D380" s="20">
        <f>IFERROR(VLOOKUP(A380,#REF!,4,0),0)</f>
        <v>0</v>
      </c>
      <c r="E380" s="5"/>
      <c r="G380" s="6"/>
    </row>
    <row r="381" spans="1:7">
      <c r="A381" s="14" t="s">
        <v>907</v>
      </c>
      <c r="B381" s="15" t="str">
        <f>IFERROR(VLOOKUP(A381,#REF!,2,0)," ")</f>
        <v xml:space="preserve"> </v>
      </c>
      <c r="C381" s="20">
        <f>IFERROR(VLOOKUP(A381,#REF!,3,0),0)</f>
        <v>0</v>
      </c>
      <c r="D381" s="20">
        <f>IFERROR(VLOOKUP(A381,#REF!,4,0),0)</f>
        <v>0</v>
      </c>
      <c r="E381" s="5"/>
      <c r="G381" s="6"/>
    </row>
    <row r="382" spans="1:7">
      <c r="A382" s="14" t="s">
        <v>1156</v>
      </c>
      <c r="B382" s="15" t="str">
        <f>IFERROR(VLOOKUP(A382,#REF!,2,0)," ")</f>
        <v xml:space="preserve"> </v>
      </c>
      <c r="C382" s="20">
        <f>IFERROR(VLOOKUP(A382,#REF!,3,0),0)</f>
        <v>0</v>
      </c>
      <c r="D382" s="20">
        <f>IFERROR(VLOOKUP(A382,#REF!,4,0),0)</f>
        <v>0</v>
      </c>
      <c r="E382" s="5"/>
      <c r="G382" s="6"/>
    </row>
    <row r="383" spans="1:7">
      <c r="A383" s="14" t="s">
        <v>1157</v>
      </c>
      <c r="B383" s="15" t="str">
        <f>IFERROR(VLOOKUP(A383,#REF!,2,0)," ")</f>
        <v xml:space="preserve"> </v>
      </c>
      <c r="C383" s="20">
        <f>IFERROR(VLOOKUP(A383,#REF!,3,0),0)</f>
        <v>0</v>
      </c>
      <c r="D383" s="20">
        <f>IFERROR(VLOOKUP(A383,#REF!,4,0),0)</f>
        <v>0</v>
      </c>
      <c r="E383" s="5"/>
      <c r="G383" s="6"/>
    </row>
    <row r="384" spans="1:7">
      <c r="A384" s="14" t="s">
        <v>694</v>
      </c>
      <c r="B384" s="15" t="str">
        <f>IFERROR(VLOOKUP(A384,#REF!,2,0)," ")</f>
        <v xml:space="preserve"> </v>
      </c>
      <c r="C384" s="20">
        <f>IFERROR(VLOOKUP(A384,#REF!,3,0),0)</f>
        <v>0</v>
      </c>
      <c r="D384" s="20">
        <f>IFERROR(VLOOKUP(A384,#REF!,4,0),0)</f>
        <v>0</v>
      </c>
      <c r="E384" s="5"/>
      <c r="G384" s="6"/>
    </row>
    <row r="385" spans="1:7">
      <c r="A385" s="14" t="s">
        <v>690</v>
      </c>
      <c r="B385" s="15" t="str">
        <f>IFERROR(VLOOKUP(A385,#REF!,2,0)," ")</f>
        <v xml:space="preserve"> </v>
      </c>
      <c r="C385" s="20">
        <f>IFERROR(VLOOKUP(A385,#REF!,3,0),0)</f>
        <v>0</v>
      </c>
      <c r="D385" s="20">
        <f>IFERROR(VLOOKUP(A385,#REF!,4,0),0)</f>
        <v>0</v>
      </c>
      <c r="E385" s="5"/>
      <c r="G385" s="6"/>
    </row>
    <row r="386" spans="1:7">
      <c r="A386" s="14" t="s">
        <v>687</v>
      </c>
      <c r="B386" s="15" t="str">
        <f>IFERROR(VLOOKUP(A386,#REF!,2,0)," ")</f>
        <v xml:space="preserve"> </v>
      </c>
      <c r="C386" s="20">
        <f>IFERROR(VLOOKUP(A386,#REF!,3,0),0)</f>
        <v>0</v>
      </c>
      <c r="D386" s="20">
        <f>IFERROR(VLOOKUP(A386,#REF!,4,0),0)</f>
        <v>0</v>
      </c>
      <c r="E386" s="5"/>
      <c r="G386" s="6"/>
    </row>
    <row r="387" spans="1:7">
      <c r="A387" s="14" t="s">
        <v>686</v>
      </c>
      <c r="B387" s="15" t="str">
        <f>IFERROR(VLOOKUP(A387,#REF!,2,0)," ")</f>
        <v xml:space="preserve"> </v>
      </c>
      <c r="C387" s="20">
        <f>IFERROR(VLOOKUP(A387,#REF!,3,0),0)</f>
        <v>0</v>
      </c>
      <c r="D387" s="20">
        <f>IFERROR(VLOOKUP(A387,#REF!,4,0),0)</f>
        <v>0</v>
      </c>
      <c r="E387" s="5"/>
      <c r="G387" s="6"/>
    </row>
    <row r="388" spans="1:7">
      <c r="A388" s="14" t="s">
        <v>1054</v>
      </c>
      <c r="B388" s="15" t="str">
        <f>IFERROR(VLOOKUP(A388,#REF!,2,0)," ")</f>
        <v xml:space="preserve"> </v>
      </c>
      <c r="C388" s="20">
        <f>IFERROR(VLOOKUP(A388,#REF!,3,0),0)</f>
        <v>0</v>
      </c>
      <c r="D388" s="20">
        <f>IFERROR(VLOOKUP(A388,#REF!,4,0),0)</f>
        <v>0</v>
      </c>
      <c r="E388" s="5"/>
      <c r="G388" s="6"/>
    </row>
    <row r="389" spans="1:7">
      <c r="A389" s="14" t="s">
        <v>1382</v>
      </c>
      <c r="B389" s="15" t="str">
        <f>IFERROR(VLOOKUP(A389,#REF!,2,0)," ")</f>
        <v xml:space="preserve"> </v>
      </c>
      <c r="C389" s="20">
        <f>IFERROR(VLOOKUP(A389,#REF!,3,0),0)</f>
        <v>0</v>
      </c>
      <c r="D389" s="20">
        <f>IFERROR(VLOOKUP(A389,#REF!,4,0),0)</f>
        <v>0</v>
      </c>
      <c r="E389" s="5"/>
      <c r="G389" s="6"/>
    </row>
    <row r="390" spans="1:7">
      <c r="A390" s="14" t="s">
        <v>434</v>
      </c>
      <c r="B390" s="15" t="str">
        <f>IFERROR(VLOOKUP(A390,#REF!,2,0)," ")</f>
        <v xml:space="preserve"> </v>
      </c>
      <c r="C390" s="20">
        <f>IFERROR(VLOOKUP(A390,#REF!,3,0),0)</f>
        <v>0</v>
      </c>
      <c r="D390" s="20">
        <f>IFERROR(VLOOKUP(A390,#REF!,4,0),0)</f>
        <v>0</v>
      </c>
      <c r="E390" s="5"/>
      <c r="G390" s="6"/>
    </row>
    <row r="391" spans="1:7">
      <c r="A391" s="14" t="s">
        <v>896</v>
      </c>
      <c r="B391" s="15" t="str">
        <f>IFERROR(VLOOKUP(A391,#REF!,2,0)," ")</f>
        <v xml:space="preserve"> </v>
      </c>
      <c r="C391" s="20">
        <f>IFERROR(VLOOKUP(A391,#REF!,3,0),0)</f>
        <v>0</v>
      </c>
      <c r="D391" s="20">
        <f>IFERROR(VLOOKUP(A391,#REF!,4,0),0)</f>
        <v>0</v>
      </c>
      <c r="E391" s="5"/>
      <c r="G391" s="6"/>
    </row>
    <row r="392" spans="1:7">
      <c r="A392" s="14" t="s">
        <v>84</v>
      </c>
      <c r="B392" s="15" t="str">
        <f>IFERROR(VLOOKUP(A392,#REF!,2,0)," ")</f>
        <v xml:space="preserve"> </v>
      </c>
      <c r="C392" s="20">
        <f>IFERROR(VLOOKUP(A392,#REF!,3,0),0)</f>
        <v>0</v>
      </c>
      <c r="D392" s="20">
        <f>IFERROR(VLOOKUP(A392,#REF!,4,0),0)</f>
        <v>0</v>
      </c>
      <c r="E392" s="5"/>
      <c r="G392" s="6"/>
    </row>
    <row r="393" spans="1:7">
      <c r="A393" s="14" t="s">
        <v>855</v>
      </c>
      <c r="B393" s="15" t="str">
        <f>IFERROR(VLOOKUP(A393,#REF!,2,0)," ")</f>
        <v xml:space="preserve"> </v>
      </c>
      <c r="C393" s="20">
        <f>IFERROR(VLOOKUP(A393,#REF!,3,0),0)</f>
        <v>0</v>
      </c>
      <c r="D393" s="20">
        <f>IFERROR(VLOOKUP(A393,#REF!,4,0),0)</f>
        <v>0</v>
      </c>
      <c r="E393" s="5"/>
      <c r="G393" s="6"/>
    </row>
    <row r="394" spans="1:7">
      <c r="A394" s="14" t="s">
        <v>87</v>
      </c>
      <c r="B394" s="15" t="str">
        <f>IFERROR(VLOOKUP(A394,#REF!,2,0)," ")</f>
        <v xml:space="preserve"> </v>
      </c>
      <c r="C394" s="20">
        <f>IFERROR(VLOOKUP(A394,#REF!,3,0),0)</f>
        <v>0</v>
      </c>
      <c r="D394" s="20">
        <f>IFERROR(VLOOKUP(A394,#REF!,4,0),0)</f>
        <v>0</v>
      </c>
      <c r="E394" s="5"/>
      <c r="G394" s="6"/>
    </row>
    <row r="395" spans="1:7">
      <c r="A395" s="14" t="s">
        <v>507</v>
      </c>
      <c r="B395" s="15" t="str">
        <f>IFERROR(VLOOKUP(A395,#REF!,2,0)," ")</f>
        <v xml:space="preserve"> </v>
      </c>
      <c r="C395" s="20">
        <f>IFERROR(VLOOKUP(A395,#REF!,3,0),0)</f>
        <v>0</v>
      </c>
      <c r="D395" s="20">
        <f>IFERROR(VLOOKUP(A395,#REF!,4,0),0)</f>
        <v>0</v>
      </c>
      <c r="E395" s="5"/>
      <c r="G395" s="6"/>
    </row>
    <row r="396" spans="1:7">
      <c r="A396" s="14" t="s">
        <v>1342</v>
      </c>
      <c r="B396" s="15" t="str">
        <f>IFERROR(VLOOKUP(A396,#REF!,2,0)," ")</f>
        <v xml:space="preserve"> </v>
      </c>
      <c r="C396" s="20">
        <f>IFERROR(VLOOKUP(A396,#REF!,3,0),0)</f>
        <v>0</v>
      </c>
      <c r="D396" s="20">
        <f>IFERROR(VLOOKUP(A396,#REF!,4,0),0)</f>
        <v>0</v>
      </c>
      <c r="E396" s="5"/>
      <c r="G396" s="6"/>
    </row>
    <row r="397" spans="1:7">
      <c r="A397" s="14" t="s">
        <v>849</v>
      </c>
      <c r="B397" s="15" t="str">
        <f>IFERROR(VLOOKUP(A397,#REF!,2,0)," ")</f>
        <v xml:space="preserve"> </v>
      </c>
      <c r="C397" s="20">
        <f>IFERROR(VLOOKUP(A397,#REF!,3,0),0)</f>
        <v>0</v>
      </c>
      <c r="D397" s="20">
        <f>IFERROR(VLOOKUP(A397,#REF!,4,0),0)</f>
        <v>0</v>
      </c>
      <c r="E397" s="5"/>
      <c r="G397" s="6"/>
    </row>
    <row r="398" spans="1:7">
      <c r="A398" s="14" t="s">
        <v>1052</v>
      </c>
      <c r="B398" s="15" t="str">
        <f>IFERROR(VLOOKUP(A398,#REF!,2,0)," ")</f>
        <v xml:space="preserve"> </v>
      </c>
      <c r="C398" s="20">
        <f>IFERROR(VLOOKUP(A398,#REF!,3,0),0)</f>
        <v>0</v>
      </c>
      <c r="D398" s="20">
        <f>IFERROR(VLOOKUP(A398,#REF!,4,0),0)</f>
        <v>0</v>
      </c>
      <c r="E398" s="5"/>
      <c r="G398" s="6"/>
    </row>
    <row r="399" spans="1:7">
      <c r="A399" s="14" t="s">
        <v>86</v>
      </c>
      <c r="B399" s="15" t="str">
        <f>IFERROR(VLOOKUP(A399,#REF!,2,0)," ")</f>
        <v xml:space="preserve"> </v>
      </c>
      <c r="C399" s="20">
        <f>IFERROR(VLOOKUP(A399,#REF!,3,0),0)</f>
        <v>0</v>
      </c>
      <c r="D399" s="20">
        <f>IFERROR(VLOOKUP(A399,#REF!,4,0),0)</f>
        <v>0</v>
      </c>
      <c r="E399" s="5"/>
      <c r="G399" s="6"/>
    </row>
    <row r="400" spans="1:7">
      <c r="A400" s="14" t="s">
        <v>1165</v>
      </c>
      <c r="B400" s="15" t="str">
        <f>IFERROR(VLOOKUP(A400,#REF!,2,0)," ")</f>
        <v xml:space="preserve"> </v>
      </c>
      <c r="C400" s="20">
        <f>IFERROR(VLOOKUP(A400,#REF!,3,0),0)</f>
        <v>0</v>
      </c>
      <c r="D400" s="20">
        <f>IFERROR(VLOOKUP(A400,#REF!,4,0),0)</f>
        <v>0</v>
      </c>
      <c r="E400" s="5"/>
      <c r="G400" s="6"/>
    </row>
    <row r="401" spans="1:7">
      <c r="A401" s="14" t="s">
        <v>1046</v>
      </c>
      <c r="B401" s="15" t="str">
        <f>IFERROR(VLOOKUP(A401,#REF!,2,0)," ")</f>
        <v xml:space="preserve"> </v>
      </c>
      <c r="C401" s="20">
        <f>IFERROR(VLOOKUP(A401,#REF!,3,0),0)</f>
        <v>0</v>
      </c>
      <c r="D401" s="20">
        <f>IFERROR(VLOOKUP(A401,#REF!,4,0),0)</f>
        <v>0</v>
      </c>
      <c r="E401" s="5"/>
      <c r="G401" s="6"/>
    </row>
    <row r="402" spans="1:7">
      <c r="A402" s="14" t="s">
        <v>1050</v>
      </c>
      <c r="B402" s="15" t="str">
        <f>IFERROR(VLOOKUP(A402,#REF!,2,0)," ")</f>
        <v xml:space="preserve"> </v>
      </c>
      <c r="C402" s="20">
        <f>IFERROR(VLOOKUP(A402,#REF!,3,0),0)</f>
        <v>0</v>
      </c>
      <c r="D402" s="20">
        <f>IFERROR(VLOOKUP(A402,#REF!,4,0),0)</f>
        <v>0</v>
      </c>
      <c r="E402" s="5"/>
      <c r="G402" s="6"/>
    </row>
    <row r="403" spans="1:7">
      <c r="A403" s="14" t="s">
        <v>1051</v>
      </c>
      <c r="B403" s="15" t="str">
        <f>IFERROR(VLOOKUP(A403,#REF!,2,0)," ")</f>
        <v xml:space="preserve"> </v>
      </c>
      <c r="C403" s="20">
        <f>IFERROR(VLOOKUP(A403,#REF!,3,0),0)</f>
        <v>0</v>
      </c>
      <c r="D403" s="20">
        <f>IFERROR(VLOOKUP(A403,#REF!,4,0),0)</f>
        <v>0</v>
      </c>
      <c r="E403" s="5"/>
      <c r="G403" s="6"/>
    </row>
    <row r="404" spans="1:7">
      <c r="A404" s="14" t="s">
        <v>1187</v>
      </c>
      <c r="B404" s="15" t="str">
        <f>IFERROR(VLOOKUP(A404,#REF!,2,0)," ")</f>
        <v xml:space="preserve"> </v>
      </c>
      <c r="C404" s="20">
        <f>IFERROR(VLOOKUP(A404,#REF!,3,0),0)</f>
        <v>0</v>
      </c>
      <c r="D404" s="20">
        <f>IFERROR(VLOOKUP(A404,#REF!,4,0),0)</f>
        <v>0</v>
      </c>
      <c r="E404" s="5"/>
      <c r="G404" s="6"/>
    </row>
    <row r="405" spans="1:7">
      <c r="A405" s="14" t="s">
        <v>1263</v>
      </c>
      <c r="B405" s="15" t="str">
        <f>IFERROR(VLOOKUP(A405,#REF!,2,0)," ")</f>
        <v xml:space="preserve"> </v>
      </c>
      <c r="C405" s="20">
        <f>IFERROR(VLOOKUP(A405,#REF!,3,0),0)</f>
        <v>0</v>
      </c>
      <c r="D405" s="20">
        <f>IFERROR(VLOOKUP(A405,#REF!,4,0),0)</f>
        <v>0</v>
      </c>
      <c r="E405" s="5"/>
      <c r="G405" s="6"/>
    </row>
    <row r="406" spans="1:7">
      <c r="A406" s="14" t="s">
        <v>1040</v>
      </c>
      <c r="B406" s="15" t="str">
        <f>IFERROR(VLOOKUP(A406,#REF!,2,0)," ")</f>
        <v xml:space="preserve"> </v>
      </c>
      <c r="C406" s="20">
        <f>IFERROR(VLOOKUP(A406,#REF!,3,0),0)</f>
        <v>0</v>
      </c>
      <c r="D406" s="20">
        <f>IFERROR(VLOOKUP(A406,#REF!,4,0),0)</f>
        <v>0</v>
      </c>
      <c r="E406" s="5"/>
      <c r="G406" s="6"/>
    </row>
    <row r="407" spans="1:7">
      <c r="A407" s="14" t="s">
        <v>1264</v>
      </c>
      <c r="B407" s="15" t="str">
        <f>IFERROR(VLOOKUP(A407,#REF!,2,0)," ")</f>
        <v xml:space="preserve"> </v>
      </c>
      <c r="C407" s="20">
        <f>IFERROR(VLOOKUP(A407,#REF!,3,0),0)</f>
        <v>0</v>
      </c>
      <c r="D407" s="20">
        <f>IFERROR(VLOOKUP(A407,#REF!,4,0),0)</f>
        <v>0</v>
      </c>
      <c r="E407" s="5"/>
      <c r="G407" s="6"/>
    </row>
    <row r="408" spans="1:7">
      <c r="A408" s="14" t="s">
        <v>485</v>
      </c>
      <c r="B408" s="15" t="str">
        <f>IFERROR(VLOOKUP(A408,#REF!,2,0)," ")</f>
        <v xml:space="preserve"> </v>
      </c>
      <c r="C408" s="20">
        <f>IFERROR(VLOOKUP(A408,#REF!,3,0),0)</f>
        <v>0</v>
      </c>
      <c r="D408" s="20">
        <f>IFERROR(VLOOKUP(A408,#REF!,4,0),0)</f>
        <v>0</v>
      </c>
      <c r="E408" s="5"/>
      <c r="G408" s="6"/>
    </row>
    <row r="409" spans="1:7">
      <c r="A409" s="14" t="s">
        <v>840</v>
      </c>
      <c r="B409" s="15" t="str">
        <f>IFERROR(VLOOKUP(A409,#REF!,2,0)," ")</f>
        <v xml:space="preserve"> </v>
      </c>
      <c r="C409" s="20">
        <f>IFERROR(VLOOKUP(A409,#REF!,3,0),0)</f>
        <v>0</v>
      </c>
      <c r="D409" s="20">
        <f>IFERROR(VLOOKUP(A409,#REF!,4,0),0)</f>
        <v>0</v>
      </c>
      <c r="E409" s="5"/>
      <c r="G409" s="6"/>
    </row>
    <row r="410" spans="1:7">
      <c r="A410" s="14" t="s">
        <v>480</v>
      </c>
      <c r="B410" s="15" t="str">
        <f>IFERROR(VLOOKUP(A410,#REF!,2,0)," ")</f>
        <v xml:space="preserve"> </v>
      </c>
      <c r="C410" s="20">
        <f>IFERROR(VLOOKUP(A410,#REF!,3,0),0)</f>
        <v>0</v>
      </c>
      <c r="D410" s="20">
        <f>IFERROR(VLOOKUP(A410,#REF!,4,0),0)</f>
        <v>0</v>
      </c>
      <c r="E410" s="5"/>
      <c r="G410" s="6"/>
    </row>
    <row r="411" spans="1:7">
      <c r="A411" s="14" t="s">
        <v>479</v>
      </c>
      <c r="B411" s="15" t="str">
        <f>IFERROR(VLOOKUP(A411,#REF!,2,0)," ")</f>
        <v xml:space="preserve"> </v>
      </c>
      <c r="C411" s="20">
        <f>IFERROR(VLOOKUP(A411,#REF!,3,0),0)</f>
        <v>0</v>
      </c>
      <c r="D411" s="20">
        <f>IFERROR(VLOOKUP(A411,#REF!,4,0),0)</f>
        <v>0</v>
      </c>
      <c r="E411" s="5"/>
      <c r="G411" s="6"/>
    </row>
    <row r="412" spans="1:7">
      <c r="A412" s="14" t="s">
        <v>489</v>
      </c>
      <c r="B412" s="15" t="str">
        <f>IFERROR(VLOOKUP(A412,#REF!,2,0)," ")</f>
        <v xml:space="preserve"> </v>
      </c>
      <c r="C412" s="20">
        <f>IFERROR(VLOOKUP(A412,#REF!,3,0),0)</f>
        <v>0</v>
      </c>
      <c r="D412" s="20">
        <f>IFERROR(VLOOKUP(A412,#REF!,4,0),0)</f>
        <v>0</v>
      </c>
      <c r="E412" s="5"/>
      <c r="G412" s="6"/>
    </row>
    <row r="413" spans="1:7">
      <c r="A413" s="14" t="s">
        <v>841</v>
      </c>
      <c r="B413" s="15" t="str">
        <f>IFERROR(VLOOKUP(A413,#REF!,2,0)," ")</f>
        <v xml:space="preserve"> </v>
      </c>
      <c r="C413" s="20">
        <f>IFERROR(VLOOKUP(A413,#REF!,3,0),0)</f>
        <v>0</v>
      </c>
      <c r="D413" s="20">
        <f>IFERROR(VLOOKUP(A413,#REF!,4,0),0)</f>
        <v>0</v>
      </c>
      <c r="E413" s="5"/>
      <c r="G413" s="6"/>
    </row>
    <row r="414" spans="1:7">
      <c r="A414" s="14" t="s">
        <v>481</v>
      </c>
      <c r="B414" s="15" t="str">
        <f>IFERROR(VLOOKUP(A414,#REF!,2,0)," ")</f>
        <v xml:space="preserve"> </v>
      </c>
      <c r="C414" s="20">
        <f>IFERROR(VLOOKUP(A414,#REF!,3,0),0)</f>
        <v>0</v>
      </c>
      <c r="D414" s="20">
        <f>IFERROR(VLOOKUP(A414,#REF!,4,0),0)</f>
        <v>0</v>
      </c>
      <c r="E414" s="5"/>
      <c r="G414" s="6"/>
    </row>
    <row r="415" spans="1:7">
      <c r="A415" s="14" t="s">
        <v>488</v>
      </c>
      <c r="B415" s="15" t="str">
        <f>IFERROR(VLOOKUP(A415,#REF!,2,0)," ")</f>
        <v xml:space="preserve"> </v>
      </c>
      <c r="C415" s="20">
        <f>IFERROR(VLOOKUP(A415,#REF!,3,0),0)</f>
        <v>0</v>
      </c>
      <c r="D415" s="20">
        <f>IFERROR(VLOOKUP(A415,#REF!,4,0),0)</f>
        <v>0</v>
      </c>
      <c r="E415" s="5"/>
      <c r="G415" s="6"/>
    </row>
    <row r="416" spans="1:7">
      <c r="A416" s="14" t="s">
        <v>484</v>
      </c>
      <c r="B416" s="15" t="str">
        <f>IFERROR(VLOOKUP(A416,#REF!,2,0)," ")</f>
        <v xml:space="preserve"> </v>
      </c>
      <c r="C416" s="20">
        <f>IFERROR(VLOOKUP(A416,#REF!,3,0),0)</f>
        <v>0</v>
      </c>
      <c r="D416" s="20">
        <f>IFERROR(VLOOKUP(A416,#REF!,4,0),0)</f>
        <v>0</v>
      </c>
      <c r="E416" s="5"/>
      <c r="G416" s="6"/>
    </row>
    <row r="417" spans="1:7">
      <c r="A417" s="14" t="s">
        <v>482</v>
      </c>
      <c r="B417" s="15" t="str">
        <f>IFERROR(VLOOKUP(A417,#REF!,2,0)," ")</f>
        <v xml:space="preserve"> </v>
      </c>
      <c r="C417" s="20">
        <f>IFERROR(VLOOKUP(A417,#REF!,3,0),0)</f>
        <v>0</v>
      </c>
      <c r="D417" s="20">
        <f>IFERROR(VLOOKUP(A417,#REF!,4,0),0)</f>
        <v>0</v>
      </c>
      <c r="E417" s="5"/>
      <c r="G417" s="6"/>
    </row>
    <row r="418" spans="1:7">
      <c r="A418" s="14" t="s">
        <v>838</v>
      </c>
      <c r="B418" s="15" t="str">
        <f>IFERROR(VLOOKUP(A418,#REF!,2,0)," ")</f>
        <v xml:space="preserve"> </v>
      </c>
      <c r="C418" s="20">
        <f>IFERROR(VLOOKUP(A418,#REF!,3,0),0)</f>
        <v>0</v>
      </c>
      <c r="D418" s="20">
        <f>IFERROR(VLOOKUP(A418,#REF!,4,0),0)</f>
        <v>0</v>
      </c>
      <c r="E418" s="5"/>
      <c r="G418" s="6"/>
    </row>
    <row r="419" spans="1:7">
      <c r="A419" s="14" t="s">
        <v>486</v>
      </c>
      <c r="B419" s="15" t="str">
        <f>IFERROR(VLOOKUP(A419,#REF!,2,0)," ")</f>
        <v xml:space="preserve"> </v>
      </c>
      <c r="C419" s="20">
        <f>IFERROR(VLOOKUP(A419,#REF!,3,0),0)</f>
        <v>0</v>
      </c>
      <c r="D419" s="20">
        <f>IFERROR(VLOOKUP(A419,#REF!,4,0),0)</f>
        <v>0</v>
      </c>
      <c r="E419" s="5"/>
      <c r="G419" s="6"/>
    </row>
    <row r="420" spans="1:7">
      <c r="A420" s="14" t="s">
        <v>842</v>
      </c>
      <c r="B420" s="15" t="str">
        <f>IFERROR(VLOOKUP(A420,#REF!,2,0)," ")</f>
        <v xml:space="preserve"> </v>
      </c>
      <c r="C420" s="20">
        <f>IFERROR(VLOOKUP(A420,#REF!,3,0),0)</f>
        <v>0</v>
      </c>
      <c r="D420" s="20">
        <f>IFERROR(VLOOKUP(A420,#REF!,4,0),0)</f>
        <v>0</v>
      </c>
      <c r="E420" s="5"/>
      <c r="G420" s="6"/>
    </row>
    <row r="421" spans="1:7">
      <c r="A421" s="14" t="s">
        <v>483</v>
      </c>
      <c r="B421" s="15" t="str">
        <f>IFERROR(VLOOKUP(A421,#REF!,2,0)," ")</f>
        <v xml:space="preserve"> </v>
      </c>
      <c r="C421" s="20">
        <f>IFERROR(VLOOKUP(A421,#REF!,3,0),0)</f>
        <v>0</v>
      </c>
      <c r="D421" s="20">
        <f>IFERROR(VLOOKUP(A421,#REF!,4,0),0)</f>
        <v>0</v>
      </c>
      <c r="E421" s="5"/>
      <c r="G421" s="6"/>
    </row>
    <row r="422" spans="1:7">
      <c r="A422" s="14" t="s">
        <v>487</v>
      </c>
      <c r="B422" s="15" t="str">
        <f>IFERROR(VLOOKUP(A422,#REF!,2,0)," ")</f>
        <v xml:space="preserve"> </v>
      </c>
      <c r="C422" s="20">
        <f>IFERROR(VLOOKUP(A422,#REF!,3,0),0)</f>
        <v>0</v>
      </c>
      <c r="D422" s="20">
        <f>IFERROR(VLOOKUP(A422,#REF!,4,0),0)</f>
        <v>0</v>
      </c>
      <c r="E422" s="5"/>
      <c r="G422" s="6"/>
    </row>
    <row r="423" spans="1:7">
      <c r="A423" s="14" t="s">
        <v>839</v>
      </c>
      <c r="B423" s="15" t="str">
        <f>IFERROR(VLOOKUP(A423,#REF!,2,0)," ")</f>
        <v xml:space="preserve"> </v>
      </c>
      <c r="C423" s="20">
        <f>IFERROR(VLOOKUP(A423,#REF!,3,0),0)</f>
        <v>0</v>
      </c>
      <c r="D423" s="20">
        <f>IFERROR(VLOOKUP(A423,#REF!,4,0),0)</f>
        <v>0</v>
      </c>
      <c r="E423" s="5"/>
      <c r="G423" s="6"/>
    </row>
    <row r="424" spans="1:7">
      <c r="A424" s="14" t="s">
        <v>1158</v>
      </c>
      <c r="B424" s="15" t="str">
        <f>IFERROR(VLOOKUP(A424,#REF!,2,0)," ")</f>
        <v xml:space="preserve"> </v>
      </c>
      <c r="C424" s="20">
        <f>IFERROR(VLOOKUP(A424,#REF!,3,0),0)</f>
        <v>0</v>
      </c>
      <c r="D424" s="20">
        <f>IFERROR(VLOOKUP(A424,#REF!,4,0),0)</f>
        <v>0</v>
      </c>
      <c r="E424" s="5"/>
      <c r="G424" s="6"/>
    </row>
    <row r="425" spans="1:7">
      <c r="A425" s="14" t="s">
        <v>1159</v>
      </c>
      <c r="B425" s="15" t="str">
        <f>IFERROR(VLOOKUP(A425,#REF!,2,0)," ")</f>
        <v xml:space="preserve"> </v>
      </c>
      <c r="C425" s="20">
        <f>IFERROR(VLOOKUP(A425,#REF!,3,0),0)</f>
        <v>0</v>
      </c>
      <c r="D425" s="20">
        <f>IFERROR(VLOOKUP(A425,#REF!,4,0),0)</f>
        <v>0</v>
      </c>
      <c r="E425" s="5"/>
      <c r="G425" s="6"/>
    </row>
    <row r="426" spans="1:7">
      <c r="A426" s="14" t="s">
        <v>714</v>
      </c>
      <c r="B426" s="15" t="str">
        <f>IFERROR(VLOOKUP(A426,#REF!,2,0)," ")</f>
        <v xml:space="preserve"> </v>
      </c>
      <c r="C426" s="20">
        <f>IFERROR(VLOOKUP(A426,#REF!,3,0),0)</f>
        <v>0</v>
      </c>
      <c r="D426" s="20">
        <f>IFERROR(VLOOKUP(A426,#REF!,4,0),0)</f>
        <v>0</v>
      </c>
      <c r="E426" s="5"/>
      <c r="G426" s="6"/>
    </row>
    <row r="427" spans="1:7">
      <c r="A427" s="14" t="s">
        <v>844</v>
      </c>
      <c r="B427" s="15" t="str">
        <f>IFERROR(VLOOKUP(A427,#REF!,2,0)," ")</f>
        <v xml:space="preserve"> </v>
      </c>
      <c r="C427" s="20">
        <f>IFERROR(VLOOKUP(A427,#REF!,3,0),0)</f>
        <v>0</v>
      </c>
      <c r="D427" s="20">
        <f>IFERROR(VLOOKUP(A427,#REF!,4,0),0)</f>
        <v>0</v>
      </c>
      <c r="E427" s="5"/>
      <c r="G427" s="6"/>
    </row>
    <row r="428" spans="1:7">
      <c r="A428" s="14" t="s">
        <v>711</v>
      </c>
      <c r="B428" s="15" t="str">
        <f>IFERROR(VLOOKUP(A428,#REF!,2,0)," ")</f>
        <v xml:space="preserve"> </v>
      </c>
      <c r="C428" s="20">
        <f>IFERROR(VLOOKUP(A428,#REF!,3,0),0)</f>
        <v>0</v>
      </c>
      <c r="D428" s="20">
        <f>IFERROR(VLOOKUP(A428,#REF!,4,0),0)</f>
        <v>0</v>
      </c>
      <c r="E428" s="5"/>
      <c r="G428" s="6"/>
    </row>
    <row r="429" spans="1:7">
      <c r="A429" s="14" t="s">
        <v>712</v>
      </c>
      <c r="B429" s="15" t="str">
        <f>IFERROR(VLOOKUP(A429,#REF!,2,0)," ")</f>
        <v xml:space="preserve"> </v>
      </c>
      <c r="C429" s="20">
        <f>IFERROR(VLOOKUP(A429,#REF!,3,0),0)</f>
        <v>0</v>
      </c>
      <c r="D429" s="20">
        <f>IFERROR(VLOOKUP(A429,#REF!,4,0),0)</f>
        <v>0</v>
      </c>
      <c r="E429" s="5"/>
      <c r="G429" s="6"/>
    </row>
    <row r="430" spans="1:7">
      <c r="A430" s="14" t="s">
        <v>713</v>
      </c>
      <c r="B430" s="15" t="str">
        <f>IFERROR(VLOOKUP(A430,#REF!,2,0)," ")</f>
        <v xml:space="preserve"> </v>
      </c>
      <c r="C430" s="20">
        <f>IFERROR(VLOOKUP(A430,#REF!,3,0),0)</f>
        <v>0</v>
      </c>
      <c r="D430" s="20">
        <f>IFERROR(VLOOKUP(A430,#REF!,4,0),0)</f>
        <v>0</v>
      </c>
      <c r="E430" s="5"/>
      <c r="G430" s="6"/>
    </row>
    <row r="431" spans="1:7">
      <c r="A431" s="14" t="s">
        <v>715</v>
      </c>
      <c r="B431" s="15" t="str">
        <f>IFERROR(VLOOKUP(A431,#REF!,2,0)," ")</f>
        <v xml:space="preserve"> </v>
      </c>
      <c r="C431" s="20">
        <f>IFERROR(VLOOKUP(A431,#REF!,3,0),0)</f>
        <v>0</v>
      </c>
      <c r="D431" s="20">
        <f>IFERROR(VLOOKUP(A431,#REF!,4,0),0)</f>
        <v>0</v>
      </c>
      <c r="E431" s="5"/>
      <c r="G431" s="6"/>
    </row>
    <row r="432" spans="1:7">
      <c r="A432" s="14" t="s">
        <v>845</v>
      </c>
      <c r="B432" s="15" t="str">
        <f>IFERROR(VLOOKUP(A432,#REF!,2,0)," ")</f>
        <v xml:space="preserve"> </v>
      </c>
      <c r="C432" s="20">
        <f>IFERROR(VLOOKUP(A432,#REF!,3,0),0)</f>
        <v>0</v>
      </c>
      <c r="D432" s="20">
        <f>IFERROR(VLOOKUP(A432,#REF!,4,0),0)</f>
        <v>0</v>
      </c>
      <c r="E432" s="5"/>
      <c r="G432" s="6"/>
    </row>
    <row r="433" spans="1:7">
      <c r="A433" s="14" t="s">
        <v>843</v>
      </c>
      <c r="B433" s="15" t="str">
        <f>IFERROR(VLOOKUP(A433,#REF!,2,0)," ")</f>
        <v xml:space="preserve"> </v>
      </c>
      <c r="C433" s="20">
        <f>IFERROR(VLOOKUP(A433,#REF!,3,0),0)</f>
        <v>0</v>
      </c>
      <c r="D433" s="20">
        <f>IFERROR(VLOOKUP(A433,#REF!,4,0),0)</f>
        <v>0</v>
      </c>
      <c r="E433" s="5"/>
      <c r="G433" s="6"/>
    </row>
    <row r="434" spans="1:7">
      <c r="A434" s="14" t="s">
        <v>955</v>
      </c>
      <c r="B434" s="15" t="str">
        <f>IFERROR(VLOOKUP(A434,#REF!,2,0)," ")</f>
        <v xml:space="preserve"> </v>
      </c>
      <c r="C434" s="20">
        <f>IFERROR(VLOOKUP(A434,#REF!,3,0),0)</f>
        <v>0</v>
      </c>
      <c r="D434" s="20">
        <f>IFERROR(VLOOKUP(A434,#REF!,4,0),0)</f>
        <v>0</v>
      </c>
      <c r="E434" s="5"/>
      <c r="G434" s="6"/>
    </row>
    <row r="435" spans="1:7">
      <c r="A435" s="14" t="s">
        <v>1103</v>
      </c>
      <c r="B435" s="15" t="str">
        <f>IFERROR(VLOOKUP(A435,#REF!,2,0)," ")</f>
        <v xml:space="preserve"> </v>
      </c>
      <c r="C435" s="20">
        <f>IFERROR(VLOOKUP(A435,#REF!,3,0),0)</f>
        <v>0</v>
      </c>
      <c r="D435" s="20">
        <f>IFERROR(VLOOKUP(A435,#REF!,4,0),0)</f>
        <v>0</v>
      </c>
      <c r="E435" s="5"/>
      <c r="G435" s="6"/>
    </row>
    <row r="436" spans="1:7">
      <c r="A436" s="14" t="s">
        <v>1265</v>
      </c>
      <c r="B436" s="15" t="str">
        <f>IFERROR(VLOOKUP(A436,#REF!,2,0)," ")</f>
        <v xml:space="preserve"> </v>
      </c>
      <c r="C436" s="20">
        <f>IFERROR(VLOOKUP(A436,#REF!,3,0),0)</f>
        <v>0</v>
      </c>
      <c r="D436" s="20">
        <f>IFERROR(VLOOKUP(A436,#REF!,4,0),0)</f>
        <v>0</v>
      </c>
      <c r="E436" s="5"/>
      <c r="G436" s="6"/>
    </row>
    <row r="437" spans="1:7">
      <c r="A437" s="14" t="s">
        <v>1048</v>
      </c>
      <c r="B437" s="15" t="str">
        <f>IFERROR(VLOOKUP(A437,#REF!,2,0)," ")</f>
        <v xml:space="preserve"> </v>
      </c>
      <c r="C437" s="20">
        <f>IFERROR(VLOOKUP(A437,#REF!,3,0),0)</f>
        <v>0</v>
      </c>
      <c r="D437" s="20">
        <f>IFERROR(VLOOKUP(A437,#REF!,4,0),0)</f>
        <v>0</v>
      </c>
      <c r="E437" s="5"/>
      <c r="G437" s="6"/>
    </row>
    <row r="438" spans="1:7">
      <c r="A438" s="14" t="s">
        <v>898</v>
      </c>
      <c r="B438" s="15" t="str">
        <f>IFERROR(VLOOKUP(A438,#REF!,2,0)," ")</f>
        <v xml:space="preserve"> </v>
      </c>
      <c r="C438" s="20">
        <f>IFERROR(VLOOKUP(A438,#REF!,3,0),0)</f>
        <v>0</v>
      </c>
      <c r="D438" s="20">
        <f>IFERROR(VLOOKUP(A438,#REF!,4,0),0)</f>
        <v>0</v>
      </c>
      <c r="E438" s="5"/>
      <c r="G438" s="6"/>
    </row>
    <row r="439" spans="1:7">
      <c r="A439" s="14" t="s">
        <v>917</v>
      </c>
      <c r="B439" s="15" t="str">
        <f>IFERROR(VLOOKUP(A439,#REF!,2,0)," ")</f>
        <v xml:space="preserve"> </v>
      </c>
      <c r="C439" s="20">
        <f>IFERROR(VLOOKUP(A439,#REF!,3,0),0)</f>
        <v>0</v>
      </c>
      <c r="D439" s="20">
        <f>IFERROR(VLOOKUP(A439,#REF!,4,0),0)</f>
        <v>0</v>
      </c>
      <c r="E439" s="5"/>
      <c r="G439" s="6"/>
    </row>
    <row r="440" spans="1:7">
      <c r="A440" s="14" t="s">
        <v>1101</v>
      </c>
      <c r="B440" s="15" t="str">
        <f>IFERROR(VLOOKUP(A440,#REF!,2,0)," ")</f>
        <v xml:space="preserve"> </v>
      </c>
      <c r="C440" s="20">
        <f>IFERROR(VLOOKUP(A440,#REF!,3,0),0)</f>
        <v>0</v>
      </c>
      <c r="D440" s="20">
        <f>IFERROR(VLOOKUP(A440,#REF!,4,0),0)</f>
        <v>0</v>
      </c>
      <c r="E440" s="5"/>
    </row>
    <row r="441" spans="1:7">
      <c r="A441" s="14" t="s">
        <v>1388</v>
      </c>
      <c r="B441" s="15" t="str">
        <f>IFERROR(VLOOKUP(A441,#REF!,2,0)," ")</f>
        <v xml:space="preserve"> </v>
      </c>
      <c r="C441" s="20">
        <f>IFERROR(VLOOKUP(A441,#REF!,3,0),0)</f>
        <v>0</v>
      </c>
      <c r="D441" s="20">
        <f>IFERROR(VLOOKUP(A441,#REF!,4,0),0)</f>
        <v>0</v>
      </c>
      <c r="E441" s="5"/>
    </row>
    <row r="442" spans="1:7" s="2" customFormat="1">
      <c r="A442" s="14" t="s">
        <v>1045</v>
      </c>
      <c r="B442" s="15" t="str">
        <f>IFERROR(VLOOKUP(A442,#REF!,2,0)," ")</f>
        <v xml:space="preserve"> </v>
      </c>
      <c r="C442" s="20">
        <f>IFERROR(VLOOKUP(A442,#REF!,3,0),0)</f>
        <v>0</v>
      </c>
      <c r="D442" s="20">
        <f>IFERROR(VLOOKUP(A442,#REF!,4,0),0)</f>
        <v>0</v>
      </c>
      <c r="E442" s="5"/>
    </row>
    <row r="443" spans="1:7">
      <c r="A443" s="14" t="s">
        <v>533</v>
      </c>
      <c r="B443" s="15" t="str">
        <f>IFERROR(VLOOKUP(A443,#REF!,2,0)," ")</f>
        <v xml:space="preserve"> </v>
      </c>
      <c r="C443" s="20">
        <f>IFERROR(VLOOKUP(A443,#REF!,3,0),0)</f>
        <v>0</v>
      </c>
      <c r="D443" s="20">
        <f>IFERROR(VLOOKUP(A443,#REF!,4,0),0)</f>
        <v>0</v>
      </c>
      <c r="E443" s="5"/>
      <c r="G443" s="3"/>
    </row>
    <row r="444" spans="1:7">
      <c r="A444" s="14" t="s">
        <v>1340</v>
      </c>
      <c r="B444" s="15" t="str">
        <f>IFERROR(VLOOKUP(A444,#REF!,2,0)," ")</f>
        <v xml:space="preserve"> </v>
      </c>
      <c r="C444" s="20">
        <f>IFERROR(VLOOKUP(A444,#REF!,3,0),0)</f>
        <v>0</v>
      </c>
      <c r="D444" s="20">
        <f>IFERROR(VLOOKUP(A444,#REF!,4,0),0)</f>
        <v>0</v>
      </c>
      <c r="E444" s="5"/>
      <c r="G444" s="3"/>
    </row>
    <row r="445" spans="1:7" ht="15">
      <c r="A445" s="69" t="s">
        <v>879</v>
      </c>
      <c r="B445" s="69"/>
      <c r="C445" s="69"/>
      <c r="D445" s="70" t="s">
        <v>2150</v>
      </c>
      <c r="E445" s="5"/>
      <c r="G445" s="3"/>
    </row>
    <row r="446" spans="1:7" ht="12">
      <c r="A446" s="18" t="s">
        <v>370</v>
      </c>
      <c r="B446" s="18" t="s">
        <v>565</v>
      </c>
      <c r="C446" s="16" t="s">
        <v>371</v>
      </c>
      <c r="D446" s="70"/>
      <c r="E446" s="5"/>
      <c r="G446" s="3"/>
    </row>
    <row r="447" spans="1:7">
      <c r="A447" s="14" t="s">
        <v>143</v>
      </c>
      <c r="B447" s="15" t="str">
        <f>IFERROR(VLOOKUP(A447,#REF!,2,0)," ")</f>
        <v xml:space="preserve"> </v>
      </c>
      <c r="C447" s="20">
        <f>IFERROR(VLOOKUP(A447,#REF!,3,0),0)</f>
        <v>0</v>
      </c>
      <c r="D447" s="20">
        <f>IFERROR(VLOOKUP(A447,#REF!,4,0),0)</f>
        <v>0</v>
      </c>
      <c r="E447" s="5"/>
      <c r="G447" s="3"/>
    </row>
    <row r="448" spans="1:7">
      <c r="A448" s="14" t="s">
        <v>315</v>
      </c>
      <c r="B448" s="15" t="str">
        <f>IFERROR(VLOOKUP(A448,#REF!,2,0)," ")</f>
        <v xml:space="preserve"> </v>
      </c>
      <c r="C448" s="20">
        <f>IFERROR(VLOOKUP(A448,#REF!,3,0),0)</f>
        <v>0</v>
      </c>
      <c r="D448" s="20">
        <f>IFERROR(VLOOKUP(A448,#REF!,4,0),0)</f>
        <v>0</v>
      </c>
      <c r="E448" s="5"/>
      <c r="G448" s="3"/>
    </row>
    <row r="449" spans="1:7">
      <c r="A449" s="14" t="s">
        <v>1344</v>
      </c>
      <c r="B449" s="15" t="str">
        <f>IFERROR(VLOOKUP(A449,#REF!,2,0)," ")</f>
        <v xml:space="preserve"> </v>
      </c>
      <c r="C449" s="20">
        <f>IFERROR(VLOOKUP(A449,#REF!,3,0),0)</f>
        <v>0</v>
      </c>
      <c r="D449" s="20">
        <f>IFERROR(VLOOKUP(A449,#REF!,4,0),0)</f>
        <v>0</v>
      </c>
      <c r="E449" s="5"/>
      <c r="G449" s="3"/>
    </row>
    <row r="450" spans="1:7">
      <c r="A450" s="14" t="s">
        <v>938</v>
      </c>
      <c r="B450" s="15" t="str">
        <f>IFERROR(VLOOKUP(A450,#REF!,2,0)," ")</f>
        <v xml:space="preserve"> </v>
      </c>
      <c r="C450" s="20">
        <f>IFERROR(VLOOKUP(A450,#REF!,3,0),0)</f>
        <v>0</v>
      </c>
      <c r="D450" s="20">
        <f>IFERROR(VLOOKUP(A450,#REF!,4,0),0)</f>
        <v>0</v>
      </c>
      <c r="E450" s="5"/>
      <c r="G450" s="3"/>
    </row>
    <row r="451" spans="1:7">
      <c r="A451" s="14" t="s">
        <v>274</v>
      </c>
      <c r="B451" s="15" t="str">
        <f>IFERROR(VLOOKUP(A451,#REF!,2,0)," ")</f>
        <v xml:space="preserve"> </v>
      </c>
      <c r="C451" s="20">
        <f>IFERROR(VLOOKUP(A451,#REF!,3,0),0)</f>
        <v>0</v>
      </c>
      <c r="D451" s="20">
        <f>IFERROR(VLOOKUP(A451,#REF!,4,0),0)</f>
        <v>0</v>
      </c>
      <c r="E451" s="5"/>
      <c r="G451" s="3"/>
    </row>
    <row r="452" spans="1:7">
      <c r="A452" s="14" t="s">
        <v>716</v>
      </c>
      <c r="B452" s="15" t="str">
        <f>IFERROR(VLOOKUP(A452,#REF!,2,0)," ")</f>
        <v xml:space="preserve"> </v>
      </c>
      <c r="C452" s="20">
        <f>IFERROR(VLOOKUP(A452,#REF!,3,0),0)</f>
        <v>0</v>
      </c>
      <c r="D452" s="20">
        <f>IFERROR(VLOOKUP(A452,#REF!,4,0),0)</f>
        <v>0</v>
      </c>
      <c r="E452" s="5"/>
      <c r="G452" s="3"/>
    </row>
    <row r="453" spans="1:7">
      <c r="A453" s="14" t="s">
        <v>897</v>
      </c>
      <c r="B453" s="15" t="str">
        <f>IFERROR(VLOOKUP(A453,#REF!,2,0)," ")</f>
        <v xml:space="preserve"> </v>
      </c>
      <c r="C453" s="20">
        <f>IFERROR(VLOOKUP(A453,#REF!,3,0),0)</f>
        <v>0</v>
      </c>
      <c r="D453" s="20">
        <f>IFERROR(VLOOKUP(A453,#REF!,4,0),0)</f>
        <v>0</v>
      </c>
      <c r="E453" s="5"/>
      <c r="G453" s="3"/>
    </row>
    <row r="454" spans="1:7">
      <c r="A454" s="14" t="s">
        <v>285</v>
      </c>
      <c r="B454" s="15" t="str">
        <f>IFERROR(VLOOKUP(A454,#REF!,2,0)," ")</f>
        <v xml:space="preserve"> </v>
      </c>
      <c r="C454" s="20">
        <f>IFERROR(VLOOKUP(A454,#REF!,3,0),0)</f>
        <v>0</v>
      </c>
      <c r="D454" s="20">
        <f>IFERROR(VLOOKUP(A454,#REF!,4,0),0)</f>
        <v>0</v>
      </c>
      <c r="E454" s="5"/>
      <c r="G454" s="3"/>
    </row>
    <row r="455" spans="1:7">
      <c r="A455" s="14" t="s">
        <v>947</v>
      </c>
      <c r="B455" s="15" t="str">
        <f>IFERROR(VLOOKUP(A455,#REF!,2,0)," ")</f>
        <v xml:space="preserve"> </v>
      </c>
      <c r="C455" s="20">
        <f>IFERROR(VLOOKUP(A455,#REF!,3,0),0)</f>
        <v>0</v>
      </c>
      <c r="D455" s="20">
        <f>IFERROR(VLOOKUP(A455,#REF!,4,0),0)</f>
        <v>0</v>
      </c>
      <c r="E455" s="5"/>
      <c r="G455" s="3"/>
    </row>
    <row r="456" spans="1:7">
      <c r="A456" s="14" t="s">
        <v>414</v>
      </c>
      <c r="B456" s="15" t="str">
        <f>IFERROR(VLOOKUP(A456,#REF!,2,0)," ")</f>
        <v xml:space="preserve"> </v>
      </c>
      <c r="C456" s="20">
        <f>IFERROR(VLOOKUP(A456,#REF!,3,0),0)</f>
        <v>0</v>
      </c>
      <c r="D456" s="20">
        <f>IFERROR(VLOOKUP(A456,#REF!,4,0),0)</f>
        <v>0</v>
      </c>
      <c r="E456" s="5"/>
      <c r="G456" s="3"/>
    </row>
    <row r="457" spans="1:7">
      <c r="A457" s="14" t="s">
        <v>718</v>
      </c>
      <c r="B457" s="15" t="str">
        <f>IFERROR(VLOOKUP(A457,#REF!,2,0)," ")</f>
        <v xml:space="preserve"> </v>
      </c>
      <c r="C457" s="20">
        <f>IFERROR(VLOOKUP(A457,#REF!,3,0),0)</f>
        <v>0</v>
      </c>
      <c r="D457" s="20">
        <f>IFERROR(VLOOKUP(A457,#REF!,4,0),0)</f>
        <v>0</v>
      </c>
      <c r="E457" s="5"/>
      <c r="G457" s="3"/>
    </row>
    <row r="458" spans="1:7">
      <c r="A458" s="14" t="s">
        <v>329</v>
      </c>
      <c r="B458" s="15" t="str">
        <f>IFERROR(VLOOKUP(A458,#REF!,2,0)," ")</f>
        <v xml:space="preserve"> </v>
      </c>
      <c r="C458" s="20">
        <f>IFERROR(VLOOKUP(A458,#REF!,3,0),0)</f>
        <v>0</v>
      </c>
      <c r="D458" s="20">
        <f>IFERROR(VLOOKUP(A458,#REF!,4,0),0)</f>
        <v>0</v>
      </c>
      <c r="E458" s="5"/>
      <c r="G458" s="3"/>
    </row>
    <row r="459" spans="1:7">
      <c r="A459" s="14" t="s">
        <v>577</v>
      </c>
      <c r="B459" s="15" t="str">
        <f>IFERROR(VLOOKUP(A459,#REF!,2,0)," ")</f>
        <v xml:space="preserve"> </v>
      </c>
      <c r="C459" s="20">
        <f>IFERROR(VLOOKUP(A459,#REF!,3,0),0)</f>
        <v>0</v>
      </c>
      <c r="D459" s="20">
        <f>IFERROR(VLOOKUP(A459,#REF!,4,0),0)</f>
        <v>0</v>
      </c>
      <c r="E459" s="5"/>
      <c r="G459" s="3"/>
    </row>
    <row r="460" spans="1:7">
      <c r="A460" s="14" t="s">
        <v>587</v>
      </c>
      <c r="B460" s="15" t="str">
        <f>IFERROR(VLOOKUP(A460,#REF!,2,0)," ")</f>
        <v xml:space="preserve"> </v>
      </c>
      <c r="C460" s="20">
        <f>IFERROR(VLOOKUP(A460,#REF!,3,0),0)</f>
        <v>0</v>
      </c>
      <c r="D460" s="20">
        <f>IFERROR(VLOOKUP(A460,#REF!,4,0),0)</f>
        <v>0</v>
      </c>
      <c r="E460" s="5"/>
      <c r="G460" s="3"/>
    </row>
    <row r="461" spans="1:7">
      <c r="A461" s="14" t="s">
        <v>930</v>
      </c>
      <c r="B461" s="15" t="str">
        <f>IFERROR(VLOOKUP(A461,#REF!,2,0)," ")</f>
        <v xml:space="preserve"> </v>
      </c>
      <c r="C461" s="20">
        <f>IFERROR(VLOOKUP(A461,#REF!,3,0),0)</f>
        <v>0</v>
      </c>
      <c r="D461" s="20">
        <f>IFERROR(VLOOKUP(A461,#REF!,4,0),0)</f>
        <v>0</v>
      </c>
      <c r="E461" s="5"/>
      <c r="G461" s="3"/>
    </row>
    <row r="462" spans="1:7">
      <c r="A462" s="14" t="s">
        <v>822</v>
      </c>
      <c r="B462" s="15" t="str">
        <f>IFERROR(VLOOKUP(A462,#REF!,2,0)," ")</f>
        <v xml:space="preserve"> </v>
      </c>
      <c r="C462" s="20">
        <f>IFERROR(VLOOKUP(A462,#REF!,3,0),0)</f>
        <v>0</v>
      </c>
      <c r="D462" s="20">
        <f>IFERROR(VLOOKUP(A462,#REF!,4,0),0)</f>
        <v>0</v>
      </c>
      <c r="E462" s="5"/>
      <c r="G462" s="3"/>
    </row>
    <row r="463" spans="1:7">
      <c r="A463" s="14" t="s">
        <v>227</v>
      </c>
      <c r="B463" s="15" t="str">
        <f>IFERROR(VLOOKUP(A463,#REF!,2,0)," ")</f>
        <v xml:space="preserve"> </v>
      </c>
      <c r="C463" s="20">
        <f>IFERROR(VLOOKUP(A463,#REF!,3,0),0)</f>
        <v>0</v>
      </c>
      <c r="D463" s="20">
        <f>IFERROR(VLOOKUP(A463,#REF!,4,0),0)</f>
        <v>0</v>
      </c>
      <c r="E463" s="5"/>
      <c r="G463" s="3"/>
    </row>
    <row r="464" spans="1:7">
      <c r="A464" s="14" t="s">
        <v>1140</v>
      </c>
      <c r="B464" s="15" t="str">
        <f>IFERROR(VLOOKUP(A464,#REF!,2,0)," ")</f>
        <v xml:space="preserve"> </v>
      </c>
      <c r="C464" s="20">
        <f>IFERROR(VLOOKUP(A464,#REF!,3,0),0)</f>
        <v>0</v>
      </c>
      <c r="D464" s="20">
        <f>IFERROR(VLOOKUP(A464,#REF!,4,0),0)</f>
        <v>0</v>
      </c>
      <c r="E464" s="5"/>
      <c r="G464" s="3"/>
    </row>
    <row r="465" spans="1:7">
      <c r="A465" s="14" t="s">
        <v>1007</v>
      </c>
      <c r="B465" s="15" t="str">
        <f>IFERROR(VLOOKUP(A465,#REF!,2,0)," ")</f>
        <v xml:space="preserve"> </v>
      </c>
      <c r="C465" s="20">
        <f>IFERROR(VLOOKUP(A465,#REF!,3,0),0)</f>
        <v>0</v>
      </c>
      <c r="D465" s="20">
        <f>IFERROR(VLOOKUP(A465,#REF!,4,0),0)</f>
        <v>0</v>
      </c>
      <c r="E465" s="5"/>
      <c r="G465" s="3"/>
    </row>
    <row r="466" spans="1:7">
      <c r="A466" s="14" t="s">
        <v>719</v>
      </c>
      <c r="B466" s="15" t="str">
        <f>IFERROR(VLOOKUP(A466,#REF!,2,0)," ")</f>
        <v xml:space="preserve"> </v>
      </c>
      <c r="C466" s="20">
        <f>IFERROR(VLOOKUP(A466,#REF!,3,0),0)</f>
        <v>0</v>
      </c>
      <c r="D466" s="20">
        <f>IFERROR(VLOOKUP(A466,#REF!,4,0),0)</f>
        <v>0</v>
      </c>
      <c r="E466" s="5"/>
      <c r="G466" s="3"/>
    </row>
    <row r="467" spans="1:7">
      <c r="A467" s="14" t="s">
        <v>509</v>
      </c>
      <c r="B467" s="15" t="str">
        <f>IFERROR(VLOOKUP(A467,#REF!,2,0)," ")</f>
        <v xml:space="preserve"> </v>
      </c>
      <c r="C467" s="20">
        <f>IFERROR(VLOOKUP(A467,#REF!,3,0),0)</f>
        <v>0</v>
      </c>
      <c r="D467" s="20">
        <f>IFERROR(VLOOKUP(A467,#REF!,4,0),0)</f>
        <v>0</v>
      </c>
      <c r="E467" s="5"/>
      <c r="G467" s="3"/>
    </row>
    <row r="468" spans="1:7">
      <c r="A468" s="14" t="s">
        <v>388</v>
      </c>
      <c r="B468" s="15" t="str">
        <f>IFERROR(VLOOKUP(A468,#REF!,2,0)," ")</f>
        <v xml:space="preserve"> </v>
      </c>
      <c r="C468" s="20">
        <f>IFERROR(VLOOKUP(A468,#REF!,3,0),0)</f>
        <v>0</v>
      </c>
      <c r="D468" s="20">
        <f>IFERROR(VLOOKUP(A468,#REF!,4,0),0)</f>
        <v>0</v>
      </c>
      <c r="E468" s="5"/>
      <c r="G468" s="3"/>
    </row>
    <row r="469" spans="1:7">
      <c r="A469" s="14" t="s">
        <v>739</v>
      </c>
      <c r="B469" s="15" t="str">
        <f>IFERROR(VLOOKUP(A469,#REF!,2,0)," ")</f>
        <v xml:space="preserve"> </v>
      </c>
      <c r="C469" s="20">
        <f>IFERROR(VLOOKUP(A469,#REF!,3,0),0)</f>
        <v>0</v>
      </c>
      <c r="D469" s="20">
        <f>IFERROR(VLOOKUP(A469,#REF!,4,0),0)</f>
        <v>0</v>
      </c>
      <c r="E469" s="5"/>
      <c r="G469" s="3"/>
    </row>
    <row r="470" spans="1:7">
      <c r="A470" s="14" t="s">
        <v>850</v>
      </c>
      <c r="B470" s="15" t="str">
        <f>IFERROR(VLOOKUP(A470,#REF!,2,0)," ")</f>
        <v xml:space="preserve"> </v>
      </c>
      <c r="C470" s="20">
        <f>IFERROR(VLOOKUP(A470,#REF!,3,0),0)</f>
        <v>0</v>
      </c>
      <c r="D470" s="20">
        <f>IFERROR(VLOOKUP(A470,#REF!,4,0),0)</f>
        <v>0</v>
      </c>
      <c r="E470" s="5"/>
      <c r="G470" s="3"/>
    </row>
    <row r="471" spans="1:7">
      <c r="A471" s="14" t="s">
        <v>591</v>
      </c>
      <c r="B471" s="15" t="str">
        <f>IFERROR(VLOOKUP(A471,#REF!,2,0)," ")</f>
        <v xml:space="preserve"> </v>
      </c>
      <c r="C471" s="20">
        <f>IFERROR(VLOOKUP(A471,#REF!,3,0),0)</f>
        <v>0</v>
      </c>
      <c r="D471" s="20">
        <f>IFERROR(VLOOKUP(A471,#REF!,4,0),0)</f>
        <v>0</v>
      </c>
      <c r="E471" s="5"/>
      <c r="G471" s="3"/>
    </row>
    <row r="472" spans="1:7">
      <c r="A472" s="14" t="s">
        <v>717</v>
      </c>
      <c r="B472" s="15" t="str">
        <f>IFERROR(VLOOKUP(A472,#REF!,2,0)," ")</f>
        <v xml:space="preserve"> </v>
      </c>
      <c r="C472" s="20">
        <f>IFERROR(VLOOKUP(A472,#REF!,3,0),0)</f>
        <v>0</v>
      </c>
      <c r="D472" s="20">
        <f>IFERROR(VLOOKUP(A472,#REF!,4,0),0)</f>
        <v>0</v>
      </c>
      <c r="E472" s="5"/>
      <c r="G472" s="3"/>
    </row>
    <row r="473" spans="1:7">
      <c r="A473" s="14" t="s">
        <v>162</v>
      </c>
      <c r="B473" s="15" t="str">
        <f>IFERROR(VLOOKUP(A473,#REF!,2,0)," ")</f>
        <v xml:space="preserve"> </v>
      </c>
      <c r="C473" s="20">
        <f>IFERROR(VLOOKUP(A473,#REF!,3,0),0)</f>
        <v>0</v>
      </c>
      <c r="D473" s="20">
        <f>IFERROR(VLOOKUP(A473,#REF!,4,0),0)</f>
        <v>0</v>
      </c>
      <c r="E473" s="5"/>
      <c r="G473" s="3"/>
    </row>
    <row r="474" spans="1:7">
      <c r="A474" s="14" t="s">
        <v>1037</v>
      </c>
      <c r="B474" s="15" t="str">
        <f>IFERROR(VLOOKUP(A474,#REF!,2,0)," ")</f>
        <v xml:space="preserve"> </v>
      </c>
      <c r="C474" s="20">
        <f>IFERROR(VLOOKUP(A474,#REF!,3,0),0)</f>
        <v>0</v>
      </c>
      <c r="D474" s="20">
        <f>IFERROR(VLOOKUP(A474,#REF!,4,0),0)</f>
        <v>0</v>
      </c>
      <c r="E474" s="5"/>
      <c r="G474" s="3"/>
    </row>
    <row r="475" spans="1:7">
      <c r="A475" s="14" t="s">
        <v>469</v>
      </c>
      <c r="B475" s="15" t="str">
        <f>IFERROR(VLOOKUP(A475,#REF!,2,0)," ")</f>
        <v xml:space="preserve"> </v>
      </c>
      <c r="C475" s="20">
        <f>IFERROR(VLOOKUP(A475,#REF!,3,0),0)</f>
        <v>0</v>
      </c>
      <c r="D475" s="20">
        <f>IFERROR(VLOOKUP(A475,#REF!,4,0),0)</f>
        <v>0</v>
      </c>
      <c r="E475" s="5"/>
      <c r="G475" s="3"/>
    </row>
    <row r="476" spans="1:7">
      <c r="A476" s="14" t="s">
        <v>1305</v>
      </c>
      <c r="B476" s="15" t="str">
        <f>IFERROR(VLOOKUP(A476,#REF!,2,0)," ")</f>
        <v xml:space="preserve"> </v>
      </c>
      <c r="C476" s="20">
        <f>IFERROR(VLOOKUP(A476,#REF!,3,0),0)</f>
        <v>0</v>
      </c>
      <c r="D476" s="20">
        <f>IFERROR(VLOOKUP(A476,#REF!,4,0),0)</f>
        <v>0</v>
      </c>
      <c r="E476" s="5"/>
      <c r="G476" s="3"/>
    </row>
    <row r="477" spans="1:7">
      <c r="A477" s="14" t="s">
        <v>1310</v>
      </c>
      <c r="B477" s="15" t="str">
        <f>IFERROR(VLOOKUP(A477,#REF!,2,0)," ")</f>
        <v xml:space="preserve"> </v>
      </c>
      <c r="C477" s="20">
        <f>IFERROR(VLOOKUP(A477,#REF!,3,0),0)</f>
        <v>0</v>
      </c>
      <c r="D477" s="20">
        <f>IFERROR(VLOOKUP(A477,#REF!,4,0),0)</f>
        <v>0</v>
      </c>
      <c r="E477" s="5"/>
      <c r="G477" s="3"/>
    </row>
    <row r="478" spans="1:7">
      <c r="A478" s="14" t="s">
        <v>1317</v>
      </c>
      <c r="B478" s="15" t="str">
        <f>IFERROR(VLOOKUP(A478,#REF!,2,0)," ")</f>
        <v xml:space="preserve"> </v>
      </c>
      <c r="C478" s="20">
        <f>IFERROR(VLOOKUP(A478,#REF!,3,0),0)</f>
        <v>0</v>
      </c>
      <c r="D478" s="20">
        <f>IFERROR(VLOOKUP(A478,#REF!,4,0),0)</f>
        <v>0</v>
      </c>
      <c r="E478" s="5"/>
      <c r="G478" s="3"/>
    </row>
    <row r="479" spans="1:7">
      <c r="A479" s="14" t="s">
        <v>1254</v>
      </c>
      <c r="B479" s="15" t="str">
        <f>IFERROR(VLOOKUP(A479,#REF!,2,0)," ")</f>
        <v xml:space="preserve"> </v>
      </c>
      <c r="C479" s="20">
        <f>IFERROR(VLOOKUP(A479,#REF!,3,0),0)</f>
        <v>0</v>
      </c>
      <c r="D479" s="20">
        <f>IFERROR(VLOOKUP(A479,#REF!,4,0),0)</f>
        <v>0</v>
      </c>
      <c r="E479" s="5"/>
      <c r="G479" s="3"/>
    </row>
    <row r="480" spans="1:7">
      <c r="A480" s="14" t="s">
        <v>1071</v>
      </c>
      <c r="B480" s="15" t="str">
        <f>IFERROR(VLOOKUP(A480,#REF!,2,0)," ")</f>
        <v xml:space="preserve"> </v>
      </c>
      <c r="C480" s="20">
        <f>IFERROR(VLOOKUP(A480,#REF!,3,0),0)</f>
        <v>0</v>
      </c>
      <c r="D480" s="20">
        <f>IFERROR(VLOOKUP(A480,#REF!,4,0),0)</f>
        <v>0</v>
      </c>
      <c r="E480" s="5"/>
      <c r="G480" s="3"/>
    </row>
    <row r="481" spans="1:7">
      <c r="A481" s="14" t="s">
        <v>1078</v>
      </c>
      <c r="B481" s="15" t="str">
        <f>IFERROR(VLOOKUP(A481,#REF!,2,0)," ")</f>
        <v xml:space="preserve"> </v>
      </c>
      <c r="C481" s="20">
        <f>IFERROR(VLOOKUP(A481,#REF!,3,0),0)</f>
        <v>0</v>
      </c>
      <c r="D481" s="20">
        <f>IFERROR(VLOOKUP(A481,#REF!,4,0),0)</f>
        <v>0</v>
      </c>
      <c r="E481" s="5"/>
      <c r="G481" s="3"/>
    </row>
    <row r="482" spans="1:7">
      <c r="A482" s="14" t="s">
        <v>431</v>
      </c>
      <c r="B482" s="15" t="str">
        <f>IFERROR(VLOOKUP(A482,#REF!,2,0)," ")</f>
        <v xml:space="preserve"> </v>
      </c>
      <c r="C482" s="20">
        <f>IFERROR(VLOOKUP(A482,#REF!,3,0),0)</f>
        <v>0</v>
      </c>
      <c r="D482" s="20">
        <f>IFERROR(VLOOKUP(A482,#REF!,4,0),0)</f>
        <v>0</v>
      </c>
      <c r="E482" s="5"/>
      <c r="G482" s="3"/>
    </row>
    <row r="483" spans="1:7">
      <c r="A483" s="14" t="s">
        <v>628</v>
      </c>
      <c r="B483" s="15" t="str">
        <f>IFERROR(VLOOKUP(A483,#REF!,2,0)," ")</f>
        <v xml:space="preserve"> </v>
      </c>
      <c r="C483" s="20">
        <f>IFERROR(VLOOKUP(A483,#REF!,3,0),0)</f>
        <v>0</v>
      </c>
      <c r="D483" s="20">
        <f>IFERROR(VLOOKUP(A483,#REF!,4,0),0)</f>
        <v>0</v>
      </c>
      <c r="E483" s="5"/>
      <c r="G483" s="3"/>
    </row>
    <row r="484" spans="1:7">
      <c r="A484" s="14" t="s">
        <v>702</v>
      </c>
      <c r="B484" s="15" t="str">
        <f>IFERROR(VLOOKUP(A484,#REF!,2,0)," ")</f>
        <v xml:space="preserve"> </v>
      </c>
      <c r="C484" s="20">
        <f>IFERROR(VLOOKUP(A484,#REF!,3,0),0)</f>
        <v>0</v>
      </c>
      <c r="D484" s="20">
        <f>IFERROR(VLOOKUP(A484,#REF!,4,0),0)</f>
        <v>0</v>
      </c>
      <c r="E484" s="5"/>
      <c r="G484" s="3"/>
    </row>
    <row r="485" spans="1:7">
      <c r="A485" s="14" t="s">
        <v>584</v>
      </c>
      <c r="B485" s="15" t="str">
        <f>IFERROR(VLOOKUP(A485,#REF!,2,0)," ")</f>
        <v xml:space="preserve"> </v>
      </c>
      <c r="C485" s="20">
        <f>IFERROR(VLOOKUP(A485,#REF!,3,0),0)</f>
        <v>0</v>
      </c>
      <c r="D485" s="20">
        <f>IFERROR(VLOOKUP(A485,#REF!,4,0),0)</f>
        <v>0</v>
      </c>
      <c r="E485" s="5"/>
    </row>
    <row r="486" spans="1:7" s="2" customFormat="1">
      <c r="A486" s="14" t="s">
        <v>1133</v>
      </c>
      <c r="B486" s="15" t="str">
        <f>IFERROR(VLOOKUP(A486,#REF!,2,0)," ")</f>
        <v xml:space="preserve"> </v>
      </c>
      <c r="C486" s="20">
        <f>IFERROR(VLOOKUP(A486,#REF!,3,0),0)</f>
        <v>0</v>
      </c>
      <c r="D486" s="20">
        <f>IFERROR(VLOOKUP(A486,#REF!,4,0),0)</f>
        <v>0</v>
      </c>
      <c r="E486" s="5"/>
    </row>
    <row r="487" spans="1:7">
      <c r="A487" s="14" t="s">
        <v>1297</v>
      </c>
      <c r="B487" s="15" t="str">
        <f>IFERROR(VLOOKUP(A487,#REF!,2,0)," ")</f>
        <v xml:space="preserve"> </v>
      </c>
      <c r="C487" s="20">
        <f>IFERROR(VLOOKUP(A487,#REF!,3,0),0)</f>
        <v>0</v>
      </c>
      <c r="D487" s="20">
        <f>IFERROR(VLOOKUP(A487,#REF!,4,0),0)</f>
        <v>0</v>
      </c>
      <c r="E487" s="5"/>
      <c r="G487" s="6"/>
    </row>
    <row r="488" spans="1:7" ht="15">
      <c r="A488" s="69" t="s">
        <v>880</v>
      </c>
      <c r="B488" s="69"/>
      <c r="C488" s="69"/>
      <c r="D488" s="70" t="s">
        <v>2150</v>
      </c>
      <c r="E488" s="5"/>
      <c r="G488" s="6"/>
    </row>
    <row r="489" spans="1:7" ht="12">
      <c r="A489" s="18" t="s">
        <v>370</v>
      </c>
      <c r="B489" s="18" t="s">
        <v>565</v>
      </c>
      <c r="C489" s="16" t="s">
        <v>371</v>
      </c>
      <c r="D489" s="70"/>
      <c r="E489" s="5"/>
      <c r="G489" s="6"/>
    </row>
    <row r="490" spans="1:7">
      <c r="A490" s="14" t="s">
        <v>1272</v>
      </c>
      <c r="B490" s="15" t="str">
        <f>IFERROR(VLOOKUP(A490,#REF!,2,0)," ")</f>
        <v xml:space="preserve"> </v>
      </c>
      <c r="C490" s="20">
        <f>IFERROR(VLOOKUP(A490,#REF!,3,0),0)</f>
        <v>0</v>
      </c>
      <c r="D490" s="20">
        <f>IFERROR(VLOOKUP(A490,#REF!,4,0),0)</f>
        <v>0</v>
      </c>
      <c r="E490" s="5"/>
      <c r="G490" s="6"/>
    </row>
    <row r="491" spans="1:7">
      <c r="A491" s="14" t="s">
        <v>444</v>
      </c>
      <c r="B491" s="15" t="str">
        <f>IFERROR(VLOOKUP(A491,#REF!,2,0)," ")</f>
        <v xml:space="preserve"> </v>
      </c>
      <c r="C491" s="20">
        <f>IFERROR(VLOOKUP(A491,#REF!,3,0),0)</f>
        <v>0</v>
      </c>
      <c r="D491" s="20">
        <f>IFERROR(VLOOKUP(A491,#REF!,4,0),0)</f>
        <v>0</v>
      </c>
      <c r="E491" s="5"/>
      <c r="G491" s="6"/>
    </row>
    <row r="492" spans="1:7">
      <c r="A492" s="14" t="s">
        <v>602</v>
      </c>
      <c r="B492" s="15" t="str">
        <f>IFERROR(VLOOKUP(A492,#REF!,2,0)," ")</f>
        <v xml:space="preserve"> </v>
      </c>
      <c r="C492" s="20">
        <f>IFERROR(VLOOKUP(A492,#REF!,3,0),0)</f>
        <v>0</v>
      </c>
      <c r="D492" s="20">
        <f>IFERROR(VLOOKUP(A492,#REF!,4,0),0)</f>
        <v>0</v>
      </c>
      <c r="E492" s="5"/>
      <c r="G492" s="6"/>
    </row>
    <row r="493" spans="1:7">
      <c r="A493" s="14" t="s">
        <v>993</v>
      </c>
      <c r="B493" s="15" t="str">
        <f>IFERROR(VLOOKUP(A493,#REF!,2,0)," ")</f>
        <v xml:space="preserve"> </v>
      </c>
      <c r="C493" s="20">
        <f>IFERROR(VLOOKUP(A493,#REF!,3,0),0)</f>
        <v>0</v>
      </c>
      <c r="D493" s="20">
        <f>IFERROR(VLOOKUP(A493,#REF!,4,0),0)</f>
        <v>0</v>
      </c>
      <c r="E493" s="5"/>
      <c r="G493" s="6"/>
    </row>
    <row r="494" spans="1:7">
      <c r="A494" s="14" t="s">
        <v>979</v>
      </c>
      <c r="B494" s="15" t="str">
        <f>IFERROR(VLOOKUP(A494,#REF!,2,0)," ")</f>
        <v xml:space="preserve"> </v>
      </c>
      <c r="C494" s="20">
        <f>IFERROR(VLOOKUP(A494,#REF!,3,0),0)</f>
        <v>0</v>
      </c>
      <c r="D494" s="20">
        <f>IFERROR(VLOOKUP(A494,#REF!,4,0),0)</f>
        <v>0</v>
      </c>
      <c r="E494" s="5"/>
      <c r="G494" s="6"/>
    </row>
    <row r="495" spans="1:7">
      <c r="A495" s="14" t="s">
        <v>333</v>
      </c>
      <c r="B495" s="15" t="str">
        <f>IFERROR(VLOOKUP(A495,#REF!,2,0)," ")</f>
        <v xml:space="preserve"> </v>
      </c>
      <c r="C495" s="20">
        <f>IFERROR(VLOOKUP(A495,#REF!,3,0),0)</f>
        <v>0</v>
      </c>
      <c r="D495" s="20">
        <f>IFERROR(VLOOKUP(A495,#REF!,4,0),0)</f>
        <v>0</v>
      </c>
      <c r="E495" s="5"/>
      <c r="G495" s="6"/>
    </row>
    <row r="496" spans="1:7">
      <c r="A496" s="14" t="s">
        <v>604</v>
      </c>
      <c r="B496" s="15" t="str">
        <f>IFERROR(VLOOKUP(A496,#REF!,2,0)," ")</f>
        <v xml:space="preserve"> </v>
      </c>
      <c r="C496" s="20">
        <f>IFERROR(VLOOKUP(A496,#REF!,3,0),0)</f>
        <v>0</v>
      </c>
      <c r="D496" s="20">
        <f>IFERROR(VLOOKUP(A496,#REF!,4,0),0)</f>
        <v>0</v>
      </c>
      <c r="E496" s="5"/>
      <c r="G496" s="6"/>
    </row>
    <row r="497" spans="1:7">
      <c r="A497" s="14" t="s">
        <v>275</v>
      </c>
      <c r="B497" s="15" t="str">
        <f>IFERROR(VLOOKUP(A497,#REF!,2,0)," ")</f>
        <v xml:space="preserve"> </v>
      </c>
      <c r="C497" s="20">
        <f>IFERROR(VLOOKUP(A497,#REF!,3,0),0)</f>
        <v>0</v>
      </c>
      <c r="D497" s="20">
        <f>IFERROR(VLOOKUP(A497,#REF!,4,0),0)</f>
        <v>0</v>
      </c>
      <c r="E497" s="5"/>
      <c r="G497" s="6"/>
    </row>
    <row r="498" spans="1:7">
      <c r="A498" s="14" t="s">
        <v>678</v>
      </c>
      <c r="B498" s="15" t="str">
        <f>IFERROR(VLOOKUP(A498,#REF!,2,0)," ")</f>
        <v xml:space="preserve"> </v>
      </c>
      <c r="C498" s="20">
        <f>IFERROR(VLOOKUP(A498,#REF!,3,0),0)</f>
        <v>0</v>
      </c>
      <c r="D498" s="20">
        <f>IFERROR(VLOOKUP(A498,#REF!,4,0),0)</f>
        <v>0</v>
      </c>
      <c r="E498" s="5"/>
      <c r="G498" s="6"/>
    </row>
    <row r="499" spans="1:7">
      <c r="A499" s="14" t="s">
        <v>614</v>
      </c>
      <c r="B499" s="15" t="str">
        <f>IFERROR(VLOOKUP(A499,#REF!,2,0)," ")</f>
        <v xml:space="preserve"> </v>
      </c>
      <c r="C499" s="20">
        <f>IFERROR(VLOOKUP(A499,#REF!,3,0),0)</f>
        <v>0</v>
      </c>
      <c r="D499" s="20">
        <f>IFERROR(VLOOKUP(A499,#REF!,4,0),0)</f>
        <v>0</v>
      </c>
      <c r="E499" s="5"/>
      <c r="G499" s="6"/>
    </row>
    <row r="500" spans="1:7">
      <c r="A500" s="14" t="s">
        <v>411</v>
      </c>
      <c r="B500" s="15" t="str">
        <f>IFERROR(VLOOKUP(A500,#REF!,2,0)," ")</f>
        <v xml:space="preserve"> </v>
      </c>
      <c r="C500" s="20">
        <f>IFERROR(VLOOKUP(A500,#REF!,3,0),0)</f>
        <v>0</v>
      </c>
      <c r="D500" s="20">
        <f>IFERROR(VLOOKUP(A500,#REF!,4,0),0)</f>
        <v>0</v>
      </c>
      <c r="E500" s="5"/>
      <c r="G500" s="6"/>
    </row>
    <row r="501" spans="1:7">
      <c r="A501" s="14" t="s">
        <v>871</v>
      </c>
      <c r="B501" s="15" t="str">
        <f>IFERROR(VLOOKUP(A501,#REF!,2,0)," ")</f>
        <v xml:space="preserve"> </v>
      </c>
      <c r="C501" s="20">
        <f>IFERROR(VLOOKUP(A501,#REF!,3,0),0)</f>
        <v>0</v>
      </c>
      <c r="D501" s="20">
        <f>IFERROR(VLOOKUP(A501,#REF!,4,0),0)</f>
        <v>0</v>
      </c>
      <c r="E501" s="5"/>
      <c r="G501" s="6"/>
    </row>
    <row r="502" spans="1:7">
      <c r="A502" s="14" t="s">
        <v>992</v>
      </c>
      <c r="B502" s="15" t="str">
        <f>IFERROR(VLOOKUP(A502,#REF!,2,0)," ")</f>
        <v xml:space="preserve"> </v>
      </c>
      <c r="C502" s="20">
        <f>IFERROR(VLOOKUP(A502,#REF!,3,0),0)</f>
        <v>0</v>
      </c>
      <c r="D502" s="20">
        <f>IFERROR(VLOOKUP(A502,#REF!,4,0),0)</f>
        <v>0</v>
      </c>
      <c r="E502" s="5"/>
      <c r="G502" s="6"/>
    </row>
    <row r="503" spans="1:7">
      <c r="A503" s="14" t="s">
        <v>1139</v>
      </c>
      <c r="B503" s="15" t="str">
        <f>IFERROR(VLOOKUP(A503,#REF!,2,0)," ")</f>
        <v xml:space="preserve"> </v>
      </c>
      <c r="C503" s="20">
        <f>IFERROR(VLOOKUP(A503,#REF!,3,0),0)</f>
        <v>0</v>
      </c>
      <c r="D503" s="20">
        <f>IFERROR(VLOOKUP(A503,#REF!,4,0),0)</f>
        <v>0</v>
      </c>
      <c r="E503" s="5"/>
      <c r="G503" s="6"/>
    </row>
    <row r="504" spans="1:7">
      <c r="A504" s="14" t="s">
        <v>610</v>
      </c>
      <c r="B504" s="15" t="str">
        <f>IFERROR(VLOOKUP(A504,#REF!,2,0)," ")</f>
        <v xml:space="preserve"> </v>
      </c>
      <c r="C504" s="20">
        <f>IFERROR(VLOOKUP(A504,#REF!,3,0),0)</f>
        <v>0</v>
      </c>
      <c r="D504" s="20">
        <f>IFERROR(VLOOKUP(A504,#REF!,4,0),0)</f>
        <v>0</v>
      </c>
      <c r="E504" s="5"/>
      <c r="G504" s="6"/>
    </row>
    <row r="505" spans="1:7">
      <c r="A505" s="14" t="s">
        <v>302</v>
      </c>
      <c r="B505" s="15" t="str">
        <f>IFERROR(VLOOKUP(A505,#REF!,2,0)," ")</f>
        <v xml:space="preserve"> </v>
      </c>
      <c r="C505" s="20">
        <f>IFERROR(VLOOKUP(A505,#REF!,3,0),0)</f>
        <v>0</v>
      </c>
      <c r="D505" s="20">
        <f>IFERROR(VLOOKUP(A505,#REF!,4,0),0)</f>
        <v>0</v>
      </c>
      <c r="E505" s="5"/>
      <c r="G505" s="6"/>
    </row>
    <row r="506" spans="1:7">
      <c r="A506" s="14" t="s">
        <v>990</v>
      </c>
      <c r="B506" s="15" t="str">
        <f>IFERROR(VLOOKUP(A506,#REF!,2,0)," ")</f>
        <v xml:space="preserve"> </v>
      </c>
      <c r="C506" s="20">
        <f>IFERROR(VLOOKUP(A506,#REF!,3,0),0)</f>
        <v>0</v>
      </c>
      <c r="D506" s="20">
        <f>IFERROR(VLOOKUP(A506,#REF!,4,0),0)</f>
        <v>0</v>
      </c>
      <c r="E506" s="5"/>
      <c r="G506" s="6"/>
    </row>
    <row r="507" spans="1:7">
      <c r="A507" s="14" t="s">
        <v>1327</v>
      </c>
      <c r="B507" s="15" t="str">
        <f>IFERROR(VLOOKUP(A507,#REF!,2,0)," ")</f>
        <v xml:space="preserve"> </v>
      </c>
      <c r="C507" s="20">
        <f>IFERROR(VLOOKUP(A507,#REF!,3,0),0)</f>
        <v>0</v>
      </c>
      <c r="D507" s="20">
        <f>IFERROR(VLOOKUP(A507,#REF!,4,0),0)</f>
        <v>0</v>
      </c>
      <c r="E507" s="5"/>
      <c r="G507" s="6"/>
    </row>
    <row r="508" spans="1:7">
      <c r="A508" s="14" t="s">
        <v>1326</v>
      </c>
      <c r="B508" s="15" t="str">
        <f>IFERROR(VLOOKUP(A508,#REF!,2,0)," ")</f>
        <v xml:space="preserve"> </v>
      </c>
      <c r="C508" s="20">
        <f>IFERROR(VLOOKUP(A508,#REF!,3,0),0)</f>
        <v>0</v>
      </c>
      <c r="D508" s="20">
        <f>IFERROR(VLOOKUP(A508,#REF!,4,0),0)</f>
        <v>0</v>
      </c>
      <c r="E508" s="5"/>
      <c r="G508" s="6"/>
    </row>
    <row r="509" spans="1:7">
      <c r="A509" s="14" t="s">
        <v>1329</v>
      </c>
      <c r="B509" s="15" t="str">
        <f>IFERROR(VLOOKUP(A509,#REF!,2,0)," ")</f>
        <v xml:space="preserve"> </v>
      </c>
      <c r="C509" s="20">
        <f>IFERROR(VLOOKUP(A509,#REF!,3,0),0)</f>
        <v>0</v>
      </c>
      <c r="D509" s="20">
        <f>IFERROR(VLOOKUP(A509,#REF!,4,0),0)</f>
        <v>0</v>
      </c>
      <c r="E509" s="5"/>
      <c r="G509" s="6"/>
    </row>
    <row r="510" spans="1:7">
      <c r="A510" s="14" t="s">
        <v>1328</v>
      </c>
      <c r="B510" s="15" t="str">
        <f>IFERROR(VLOOKUP(A510,#REF!,2,0)," ")</f>
        <v xml:space="preserve"> </v>
      </c>
      <c r="C510" s="20">
        <f>IFERROR(VLOOKUP(A510,#REF!,3,0),0)</f>
        <v>0</v>
      </c>
      <c r="D510" s="20">
        <f>IFERROR(VLOOKUP(A510,#REF!,4,0),0)</f>
        <v>0</v>
      </c>
      <c r="E510" s="5"/>
      <c r="G510" s="6"/>
    </row>
    <row r="511" spans="1:7">
      <c r="A511" s="14" t="s">
        <v>1239</v>
      </c>
      <c r="B511" s="15" t="str">
        <f>IFERROR(VLOOKUP(A511,#REF!,2,0)," ")</f>
        <v xml:space="preserve"> </v>
      </c>
      <c r="C511" s="20">
        <f>IFERROR(VLOOKUP(A511,#REF!,3,0),0)</f>
        <v>0</v>
      </c>
      <c r="D511" s="20">
        <f>IFERROR(VLOOKUP(A511,#REF!,4,0),0)</f>
        <v>0</v>
      </c>
      <c r="E511" s="5"/>
      <c r="G511" s="6"/>
    </row>
    <row r="512" spans="1:7">
      <c r="A512" s="14" t="s">
        <v>1237</v>
      </c>
      <c r="B512" s="15" t="str">
        <f>IFERROR(VLOOKUP(A512,#REF!,2,0)," ")</f>
        <v xml:space="preserve"> </v>
      </c>
      <c r="C512" s="20">
        <f>IFERROR(VLOOKUP(A512,#REF!,3,0),0)</f>
        <v>0</v>
      </c>
      <c r="D512" s="20">
        <f>IFERROR(VLOOKUP(A512,#REF!,4,0),0)</f>
        <v>0</v>
      </c>
      <c r="E512" s="5"/>
      <c r="G512" s="6"/>
    </row>
    <row r="513" spans="1:7">
      <c r="A513" s="14" t="s">
        <v>581</v>
      </c>
      <c r="B513" s="15" t="str">
        <f>IFERROR(VLOOKUP(A513,#REF!,2,0)," ")</f>
        <v xml:space="preserve"> </v>
      </c>
      <c r="C513" s="20">
        <f>IFERROR(VLOOKUP(A513,#REF!,3,0),0)</f>
        <v>0</v>
      </c>
      <c r="D513" s="20">
        <f>IFERROR(VLOOKUP(A513,#REF!,4,0),0)</f>
        <v>0</v>
      </c>
      <c r="E513" s="5"/>
      <c r="G513" s="6"/>
    </row>
    <row r="514" spans="1:7">
      <c r="A514" s="14" t="s">
        <v>1120</v>
      </c>
      <c r="B514" s="15" t="str">
        <f>IFERROR(VLOOKUP(A514,#REF!,2,0)," ")</f>
        <v xml:space="preserve"> </v>
      </c>
      <c r="C514" s="20">
        <f>IFERROR(VLOOKUP(A514,#REF!,3,0),0)</f>
        <v>0</v>
      </c>
      <c r="D514" s="20">
        <f>IFERROR(VLOOKUP(A514,#REF!,4,0),0)</f>
        <v>0</v>
      </c>
      <c r="E514" s="5"/>
      <c r="G514" s="6"/>
    </row>
    <row r="515" spans="1:7">
      <c r="A515" s="14" t="s">
        <v>1319</v>
      </c>
      <c r="B515" s="15" t="str">
        <f>IFERROR(VLOOKUP(A515,#REF!,2,0)," ")</f>
        <v xml:space="preserve"> </v>
      </c>
      <c r="C515" s="20">
        <f>IFERROR(VLOOKUP(A515,#REF!,3,0),0)</f>
        <v>0</v>
      </c>
      <c r="D515" s="20">
        <f>IFERROR(VLOOKUP(A515,#REF!,4,0),0)</f>
        <v>0</v>
      </c>
      <c r="E515" s="5"/>
      <c r="G515" s="6"/>
    </row>
    <row r="516" spans="1:7">
      <c r="A516" s="14" t="s">
        <v>425</v>
      </c>
      <c r="B516" s="15" t="str">
        <f>IFERROR(VLOOKUP(A516,#REF!,2,0)," ")</f>
        <v xml:space="preserve"> </v>
      </c>
      <c r="C516" s="20">
        <f>IFERROR(VLOOKUP(A516,#REF!,3,0),0)</f>
        <v>0</v>
      </c>
      <c r="D516" s="20">
        <f>IFERROR(VLOOKUP(A516,#REF!,4,0),0)</f>
        <v>0</v>
      </c>
      <c r="E516" s="5"/>
      <c r="G516" s="6"/>
    </row>
    <row r="517" spans="1:7">
      <c r="A517" s="14" t="s">
        <v>197</v>
      </c>
      <c r="B517" s="15" t="str">
        <f>IFERROR(VLOOKUP(A517,#REF!,2,0)," ")</f>
        <v xml:space="preserve"> </v>
      </c>
      <c r="C517" s="20">
        <f>IFERROR(VLOOKUP(A517,#REF!,3,0),0)</f>
        <v>0</v>
      </c>
      <c r="D517" s="20">
        <f>IFERROR(VLOOKUP(A517,#REF!,4,0),0)</f>
        <v>0</v>
      </c>
      <c r="E517" s="5"/>
      <c r="G517" s="6"/>
    </row>
    <row r="518" spans="1:7">
      <c r="A518" s="14" t="s">
        <v>296</v>
      </c>
      <c r="B518" s="15" t="str">
        <f>IFERROR(VLOOKUP(A518,#REF!,2,0)," ")</f>
        <v xml:space="preserve"> </v>
      </c>
      <c r="C518" s="20">
        <f>IFERROR(VLOOKUP(A518,#REF!,3,0),0)</f>
        <v>0</v>
      </c>
      <c r="D518" s="20">
        <f>IFERROR(VLOOKUP(A518,#REF!,4,0),0)</f>
        <v>0</v>
      </c>
      <c r="E518" s="5"/>
      <c r="G518" s="6"/>
    </row>
    <row r="519" spans="1:7">
      <c r="A519" s="14" t="s">
        <v>426</v>
      </c>
      <c r="B519" s="15" t="str">
        <f>IFERROR(VLOOKUP(A519,#REF!,2,0)," ")</f>
        <v xml:space="preserve"> </v>
      </c>
      <c r="C519" s="20">
        <f>IFERROR(VLOOKUP(A519,#REF!,3,0),0)</f>
        <v>0</v>
      </c>
      <c r="D519" s="20">
        <f>IFERROR(VLOOKUP(A519,#REF!,4,0),0)</f>
        <v>0</v>
      </c>
      <c r="E519" s="5"/>
      <c r="G519" s="6"/>
    </row>
    <row r="520" spans="1:7">
      <c r="A520" s="14" t="s">
        <v>599</v>
      </c>
      <c r="B520" s="15" t="str">
        <f>IFERROR(VLOOKUP(A520,#REF!,2,0)," ")</f>
        <v xml:space="preserve"> </v>
      </c>
      <c r="C520" s="20">
        <f>IFERROR(VLOOKUP(A520,#REF!,3,0),0)</f>
        <v>0</v>
      </c>
      <c r="D520" s="20">
        <f>IFERROR(VLOOKUP(A520,#REF!,4,0),0)</f>
        <v>0</v>
      </c>
      <c r="E520" s="5"/>
      <c r="G520" s="6"/>
    </row>
    <row r="521" spans="1:7">
      <c r="A521" s="14" t="s">
        <v>598</v>
      </c>
      <c r="B521" s="15" t="str">
        <f>IFERROR(VLOOKUP(A521,#REF!,2,0)," ")</f>
        <v xml:space="preserve"> </v>
      </c>
      <c r="C521" s="20">
        <f>IFERROR(VLOOKUP(A521,#REF!,3,0),0)</f>
        <v>0</v>
      </c>
      <c r="D521" s="20">
        <f>IFERROR(VLOOKUP(A521,#REF!,4,0),0)</f>
        <v>0</v>
      </c>
      <c r="E521" s="5"/>
      <c r="G521" s="6"/>
    </row>
    <row r="522" spans="1:7">
      <c r="A522" s="14" t="s">
        <v>601</v>
      </c>
      <c r="B522" s="15" t="str">
        <f>IFERROR(VLOOKUP(A522,#REF!,2,0)," ")</f>
        <v xml:space="preserve"> </v>
      </c>
      <c r="C522" s="20">
        <f>IFERROR(VLOOKUP(A522,#REF!,3,0),0)</f>
        <v>0</v>
      </c>
      <c r="D522" s="20">
        <f>IFERROR(VLOOKUP(A522,#REF!,4,0),0)</f>
        <v>0</v>
      </c>
      <c r="E522" s="5"/>
      <c r="G522" s="6"/>
    </row>
    <row r="523" spans="1:7">
      <c r="A523" s="14" t="s">
        <v>600</v>
      </c>
      <c r="B523" s="15" t="str">
        <f>IFERROR(VLOOKUP(A523,#REF!,2,0)," ")</f>
        <v xml:space="preserve"> </v>
      </c>
      <c r="C523" s="20">
        <f>IFERROR(VLOOKUP(A523,#REF!,3,0),0)</f>
        <v>0</v>
      </c>
      <c r="D523" s="20">
        <f>IFERROR(VLOOKUP(A523,#REF!,4,0),0)</f>
        <v>0</v>
      </c>
      <c r="E523" s="5"/>
      <c r="G523" s="6"/>
    </row>
    <row r="524" spans="1:7">
      <c r="A524" s="14" t="s">
        <v>1122</v>
      </c>
      <c r="B524" s="15" t="str">
        <f>IFERROR(VLOOKUP(A524,#REF!,2,0)," ")</f>
        <v xml:space="preserve"> </v>
      </c>
      <c r="C524" s="20">
        <f>IFERROR(VLOOKUP(A524,#REF!,3,0),0)</f>
        <v>0</v>
      </c>
      <c r="D524" s="20">
        <f>IFERROR(VLOOKUP(A524,#REF!,4,0),0)</f>
        <v>0</v>
      </c>
      <c r="E524" s="5"/>
      <c r="G524" s="6"/>
    </row>
    <row r="525" spans="1:7">
      <c r="A525" s="14" t="s">
        <v>886</v>
      </c>
      <c r="B525" s="15" t="str">
        <f>IFERROR(VLOOKUP(A525,#REF!,2,0)," ")</f>
        <v xml:space="preserve"> </v>
      </c>
      <c r="C525" s="20">
        <f>IFERROR(VLOOKUP(A525,#REF!,3,0),0)</f>
        <v>0</v>
      </c>
      <c r="D525" s="20">
        <f>IFERROR(VLOOKUP(A525,#REF!,4,0),0)</f>
        <v>0</v>
      </c>
      <c r="E525" s="5"/>
      <c r="G525" s="6"/>
    </row>
    <row r="526" spans="1:7">
      <c r="A526" s="14" t="s">
        <v>885</v>
      </c>
      <c r="B526" s="15" t="str">
        <f>IFERROR(VLOOKUP(A526,#REF!,2,0)," ")</f>
        <v xml:space="preserve"> </v>
      </c>
      <c r="C526" s="20">
        <f>IFERROR(VLOOKUP(A526,#REF!,3,0),0)</f>
        <v>0</v>
      </c>
      <c r="D526" s="20">
        <f>IFERROR(VLOOKUP(A526,#REF!,4,0),0)</f>
        <v>0</v>
      </c>
      <c r="E526" s="5"/>
      <c r="G526" s="6"/>
    </row>
    <row r="527" spans="1:7">
      <c r="A527" s="14" t="s">
        <v>888</v>
      </c>
      <c r="B527" s="15" t="str">
        <f>IFERROR(VLOOKUP(A527,#REF!,2,0)," ")</f>
        <v xml:space="preserve"> </v>
      </c>
      <c r="C527" s="20">
        <f>IFERROR(VLOOKUP(A527,#REF!,3,0),0)</f>
        <v>0</v>
      </c>
      <c r="D527" s="20">
        <f>IFERROR(VLOOKUP(A527,#REF!,4,0),0)</f>
        <v>0</v>
      </c>
      <c r="E527" s="5"/>
      <c r="G527" s="6"/>
    </row>
    <row r="528" spans="1:7">
      <c r="A528" s="14" t="s">
        <v>887</v>
      </c>
      <c r="B528" s="15" t="str">
        <f>IFERROR(VLOOKUP(A528,#REF!,2,0)," ")</f>
        <v xml:space="preserve"> </v>
      </c>
      <c r="C528" s="20">
        <f>IFERROR(VLOOKUP(A528,#REF!,3,0),0)</f>
        <v>0</v>
      </c>
      <c r="D528" s="20">
        <f>IFERROR(VLOOKUP(A528,#REF!,4,0),0)</f>
        <v>0</v>
      </c>
      <c r="E528" s="5"/>
      <c r="G528" s="6"/>
    </row>
    <row r="529" spans="1:7">
      <c r="A529" s="14" t="s">
        <v>1331</v>
      </c>
      <c r="B529" s="15" t="str">
        <f>IFERROR(VLOOKUP(A529,#REF!,2,0)," ")</f>
        <v xml:space="preserve"> </v>
      </c>
      <c r="C529" s="20">
        <f>IFERROR(VLOOKUP(A529,#REF!,3,0),0)</f>
        <v>0</v>
      </c>
      <c r="D529" s="20">
        <f>IFERROR(VLOOKUP(A529,#REF!,4,0),0)</f>
        <v>0</v>
      </c>
      <c r="E529" s="5"/>
      <c r="G529" s="6"/>
    </row>
    <row r="530" spans="1:7">
      <c r="A530" s="14" t="s">
        <v>1330</v>
      </c>
      <c r="B530" s="15" t="str">
        <f>IFERROR(VLOOKUP(A530,#REF!,2,0)," ")</f>
        <v xml:space="preserve"> </v>
      </c>
      <c r="C530" s="20">
        <f>IFERROR(VLOOKUP(A530,#REF!,3,0),0)</f>
        <v>0</v>
      </c>
      <c r="D530" s="20">
        <f>IFERROR(VLOOKUP(A530,#REF!,4,0),0)</f>
        <v>0</v>
      </c>
      <c r="E530" s="5"/>
      <c r="G530" s="6"/>
    </row>
    <row r="531" spans="1:7">
      <c r="A531" s="14" t="s">
        <v>1333</v>
      </c>
      <c r="B531" s="15" t="str">
        <f>IFERROR(VLOOKUP(A531,#REF!,2,0)," ")</f>
        <v xml:space="preserve"> </v>
      </c>
      <c r="C531" s="20">
        <f>IFERROR(VLOOKUP(A531,#REF!,3,0),0)</f>
        <v>0</v>
      </c>
      <c r="D531" s="20">
        <f>IFERROR(VLOOKUP(A531,#REF!,4,0),0)</f>
        <v>0</v>
      </c>
      <c r="E531" s="5"/>
      <c r="G531" s="6"/>
    </row>
    <row r="532" spans="1:7">
      <c r="A532" s="14" t="s">
        <v>1332</v>
      </c>
      <c r="B532" s="15" t="str">
        <f>IFERROR(VLOOKUP(A532,#REF!,2,0)," ")</f>
        <v xml:space="preserve"> </v>
      </c>
      <c r="C532" s="20">
        <f>IFERROR(VLOOKUP(A532,#REF!,3,0),0)</f>
        <v>0</v>
      </c>
      <c r="D532" s="20">
        <f>IFERROR(VLOOKUP(A532,#REF!,4,0),0)</f>
        <v>0</v>
      </c>
      <c r="E532" s="5"/>
      <c r="G532" s="6"/>
    </row>
    <row r="533" spans="1:7">
      <c r="A533" s="14" t="s">
        <v>587</v>
      </c>
      <c r="B533" s="15" t="str">
        <f>IFERROR(VLOOKUP(A533,#REF!,2,0)," ")</f>
        <v xml:space="preserve"> </v>
      </c>
      <c r="C533" s="20">
        <f>IFERROR(VLOOKUP(A533,#REF!,3,0),0)</f>
        <v>0</v>
      </c>
      <c r="D533" s="20">
        <f>IFERROR(VLOOKUP(A533,#REF!,4,0),0)</f>
        <v>0</v>
      </c>
      <c r="E533" s="5"/>
      <c r="G533" s="6"/>
    </row>
    <row r="534" spans="1:7">
      <c r="A534" s="14" t="s">
        <v>725</v>
      </c>
      <c r="B534" s="15" t="str">
        <f>IFERROR(VLOOKUP(A534,#REF!,2,0)," ")</f>
        <v xml:space="preserve"> </v>
      </c>
      <c r="C534" s="20">
        <f>IFERROR(VLOOKUP(A534,#REF!,3,0),0)</f>
        <v>0</v>
      </c>
      <c r="D534" s="20">
        <f>IFERROR(VLOOKUP(A534,#REF!,4,0),0)</f>
        <v>0</v>
      </c>
      <c r="E534" s="5"/>
      <c r="G534" s="6"/>
    </row>
    <row r="535" spans="1:7">
      <c r="A535" s="14" t="s">
        <v>976</v>
      </c>
      <c r="B535" s="15" t="str">
        <f>IFERROR(VLOOKUP(A535,#REF!,2,0)," ")</f>
        <v xml:space="preserve"> </v>
      </c>
      <c r="C535" s="20">
        <f>IFERROR(VLOOKUP(A535,#REF!,3,0),0)</f>
        <v>0</v>
      </c>
      <c r="D535" s="20">
        <f>IFERROR(VLOOKUP(A535,#REF!,4,0),0)</f>
        <v>0</v>
      </c>
      <c r="E535" s="5"/>
      <c r="G535" s="6"/>
    </row>
    <row r="536" spans="1:7">
      <c r="A536" s="14" t="s">
        <v>1115</v>
      </c>
      <c r="B536" s="15" t="str">
        <f>IFERROR(VLOOKUP(A536,#REF!,2,0)," ")</f>
        <v xml:space="preserve"> </v>
      </c>
      <c r="C536" s="20">
        <f>IFERROR(VLOOKUP(A536,#REF!,3,0),0)</f>
        <v>0</v>
      </c>
      <c r="D536" s="20">
        <f>IFERROR(VLOOKUP(A536,#REF!,4,0),0)</f>
        <v>0</v>
      </c>
      <c r="E536" s="5"/>
      <c r="G536" s="6"/>
    </row>
    <row r="537" spans="1:7">
      <c r="A537" s="14" t="s">
        <v>1127</v>
      </c>
      <c r="B537" s="15" t="str">
        <f>IFERROR(VLOOKUP(A537,#REF!,2,0)," ")</f>
        <v xml:space="preserve"> </v>
      </c>
      <c r="C537" s="20">
        <f>IFERROR(VLOOKUP(A537,#REF!,3,0),0)</f>
        <v>0</v>
      </c>
      <c r="D537" s="20">
        <f>IFERROR(VLOOKUP(A537,#REF!,4,0),0)</f>
        <v>0</v>
      </c>
      <c r="E537" s="5"/>
      <c r="G537" s="6"/>
    </row>
    <row r="538" spans="1:7">
      <c r="A538" s="14" t="s">
        <v>301</v>
      </c>
      <c r="B538" s="15" t="str">
        <f>IFERROR(VLOOKUP(A538,#REF!,2,0)," ")</f>
        <v xml:space="preserve"> </v>
      </c>
      <c r="C538" s="20">
        <f>IFERROR(VLOOKUP(A538,#REF!,3,0),0)</f>
        <v>0</v>
      </c>
      <c r="D538" s="20">
        <f>IFERROR(VLOOKUP(A538,#REF!,4,0),0)</f>
        <v>0</v>
      </c>
      <c r="E538" s="5"/>
      <c r="G538" s="6"/>
    </row>
    <row r="539" spans="1:7">
      <c r="A539" s="14" t="s">
        <v>1136</v>
      </c>
      <c r="B539" s="15" t="str">
        <f>IFERROR(VLOOKUP(A539,#REF!,2,0)," ")</f>
        <v xml:space="preserve"> </v>
      </c>
      <c r="C539" s="20">
        <f>IFERROR(VLOOKUP(A539,#REF!,3,0),0)</f>
        <v>0</v>
      </c>
      <c r="D539" s="20">
        <f>IFERROR(VLOOKUP(A539,#REF!,4,0),0)</f>
        <v>0</v>
      </c>
      <c r="E539" s="5"/>
      <c r="G539" s="6"/>
    </row>
    <row r="540" spans="1:7">
      <c r="A540" s="14" t="s">
        <v>122</v>
      </c>
      <c r="B540" s="15" t="str">
        <f>IFERROR(VLOOKUP(A540,#REF!,2,0)," ")</f>
        <v xml:space="preserve"> </v>
      </c>
      <c r="C540" s="20">
        <f>IFERROR(VLOOKUP(A540,#REF!,3,0),0)</f>
        <v>0</v>
      </c>
      <c r="D540" s="20">
        <f>IFERROR(VLOOKUP(A540,#REF!,4,0),0)</f>
        <v>0</v>
      </c>
      <c r="E540" s="5"/>
      <c r="G540" s="6"/>
    </row>
    <row r="541" spans="1:7">
      <c r="A541" s="14" t="s">
        <v>987</v>
      </c>
      <c r="B541" s="15" t="str">
        <f>IFERROR(VLOOKUP(A541,#REF!,2,0)," ")</f>
        <v xml:space="preserve"> </v>
      </c>
      <c r="C541" s="20">
        <f>IFERROR(VLOOKUP(A541,#REF!,3,0),0)</f>
        <v>0</v>
      </c>
      <c r="D541" s="20">
        <f>IFERROR(VLOOKUP(A541,#REF!,4,0),0)</f>
        <v>0</v>
      </c>
      <c r="E541" s="5"/>
      <c r="G541" s="6"/>
    </row>
    <row r="542" spans="1:7">
      <c r="A542" s="14" t="s">
        <v>986</v>
      </c>
      <c r="B542" s="15" t="str">
        <f>IFERROR(VLOOKUP(A542,#REF!,2,0)," ")</f>
        <v xml:space="preserve"> </v>
      </c>
      <c r="C542" s="20">
        <f>IFERROR(VLOOKUP(A542,#REF!,3,0),0)</f>
        <v>0</v>
      </c>
      <c r="D542" s="20">
        <f>IFERROR(VLOOKUP(A542,#REF!,4,0),0)</f>
        <v>0</v>
      </c>
      <c r="E542" s="5"/>
      <c r="G542" s="6"/>
    </row>
    <row r="543" spans="1:7">
      <c r="A543" s="14" t="s">
        <v>115</v>
      </c>
      <c r="B543" s="15" t="str">
        <f>IFERROR(VLOOKUP(A543,#REF!,2,0)," ")</f>
        <v xml:space="preserve"> </v>
      </c>
      <c r="C543" s="20">
        <f>IFERROR(VLOOKUP(A543,#REF!,3,0),0)</f>
        <v>0</v>
      </c>
      <c r="D543" s="20">
        <f>IFERROR(VLOOKUP(A543,#REF!,4,0),0)</f>
        <v>0</v>
      </c>
      <c r="E543" s="5"/>
      <c r="G543" s="6"/>
    </row>
    <row r="544" spans="1:7">
      <c r="A544" s="14" t="s">
        <v>989</v>
      </c>
      <c r="B544" s="15" t="str">
        <f>IFERROR(VLOOKUP(A544,#REF!,2,0)," ")</f>
        <v xml:space="preserve"> </v>
      </c>
      <c r="C544" s="20">
        <f>IFERROR(VLOOKUP(A544,#REF!,3,0),0)</f>
        <v>0</v>
      </c>
      <c r="D544" s="20">
        <f>IFERROR(VLOOKUP(A544,#REF!,4,0),0)</f>
        <v>0</v>
      </c>
      <c r="E544" s="5"/>
      <c r="G544" s="6"/>
    </row>
    <row r="545" spans="1:7">
      <c r="A545" s="14" t="s">
        <v>1006</v>
      </c>
      <c r="B545" s="15" t="str">
        <f>IFERROR(VLOOKUP(A545,#REF!,2,0)," ")</f>
        <v xml:space="preserve"> </v>
      </c>
      <c r="C545" s="20">
        <f>IFERROR(VLOOKUP(A545,#REF!,3,0),0)</f>
        <v>0</v>
      </c>
      <c r="D545" s="20">
        <f>IFERROR(VLOOKUP(A545,#REF!,4,0),0)</f>
        <v>0</v>
      </c>
      <c r="E545" s="5"/>
      <c r="G545" s="6"/>
    </row>
    <row r="546" spans="1:7">
      <c r="A546" s="14" t="s">
        <v>603</v>
      </c>
      <c r="B546" s="15" t="str">
        <f>IFERROR(VLOOKUP(A546,#REF!,2,0)," ")</f>
        <v xml:space="preserve"> </v>
      </c>
      <c r="C546" s="20">
        <f>IFERROR(VLOOKUP(A546,#REF!,3,0),0)</f>
        <v>0</v>
      </c>
      <c r="D546" s="20">
        <f>IFERROR(VLOOKUP(A546,#REF!,4,0),0)</f>
        <v>0</v>
      </c>
      <c r="E546" s="5"/>
      <c r="G546" s="6"/>
    </row>
    <row r="547" spans="1:7">
      <c r="A547" s="14" t="s">
        <v>826</v>
      </c>
      <c r="B547" s="15" t="str">
        <f>IFERROR(VLOOKUP(A547,#REF!,2,0)," ")</f>
        <v xml:space="preserve"> </v>
      </c>
      <c r="C547" s="20">
        <f>IFERROR(VLOOKUP(A547,#REF!,3,0),0)</f>
        <v>0</v>
      </c>
      <c r="D547" s="20">
        <f>IFERROR(VLOOKUP(A547,#REF!,4,0),0)</f>
        <v>0</v>
      </c>
      <c r="E547" s="5"/>
      <c r="G547" s="6"/>
    </row>
    <row r="548" spans="1:7">
      <c r="A548" s="14" t="s">
        <v>1123</v>
      </c>
      <c r="B548" s="15" t="str">
        <f>IFERROR(VLOOKUP(A548,#REF!,2,0)," ")</f>
        <v xml:space="preserve"> </v>
      </c>
      <c r="C548" s="20">
        <f>IFERROR(VLOOKUP(A548,#REF!,3,0),0)</f>
        <v>0</v>
      </c>
      <c r="D548" s="20">
        <f>IFERROR(VLOOKUP(A548,#REF!,4,0),0)</f>
        <v>0</v>
      </c>
      <c r="E548" s="5"/>
      <c r="G548" s="6"/>
    </row>
    <row r="549" spans="1:7">
      <c r="A549" s="14" t="s">
        <v>1323</v>
      </c>
      <c r="B549" s="15" t="str">
        <f>IFERROR(VLOOKUP(A549,#REF!,2,0)," ")</f>
        <v xml:space="preserve"> </v>
      </c>
      <c r="C549" s="20">
        <f>IFERROR(VLOOKUP(A549,#REF!,3,0),0)</f>
        <v>0</v>
      </c>
      <c r="D549" s="20">
        <f>IFERROR(VLOOKUP(A549,#REF!,4,0),0)</f>
        <v>0</v>
      </c>
      <c r="E549" s="5"/>
      <c r="G549" s="6"/>
    </row>
    <row r="550" spans="1:7">
      <c r="A550" s="14" t="s">
        <v>1322</v>
      </c>
      <c r="B550" s="15" t="str">
        <f>IFERROR(VLOOKUP(A550,#REF!,2,0)," ")</f>
        <v xml:space="preserve"> </v>
      </c>
      <c r="C550" s="20">
        <f>IFERROR(VLOOKUP(A550,#REF!,3,0),0)</f>
        <v>0</v>
      </c>
      <c r="D550" s="20">
        <f>IFERROR(VLOOKUP(A550,#REF!,4,0),0)</f>
        <v>0</v>
      </c>
      <c r="E550" s="5"/>
      <c r="G550" s="6"/>
    </row>
    <row r="551" spans="1:7">
      <c r="A551" s="14" t="s">
        <v>1325</v>
      </c>
      <c r="B551" s="15" t="str">
        <f>IFERROR(VLOOKUP(A551,#REF!,2,0)," ")</f>
        <v xml:space="preserve"> </v>
      </c>
      <c r="C551" s="20">
        <f>IFERROR(VLOOKUP(A551,#REF!,3,0),0)</f>
        <v>0</v>
      </c>
      <c r="D551" s="20">
        <f>IFERROR(VLOOKUP(A551,#REF!,4,0),0)</f>
        <v>0</v>
      </c>
      <c r="E551" s="5"/>
      <c r="G551" s="6"/>
    </row>
    <row r="552" spans="1:7">
      <c r="A552" s="14" t="s">
        <v>1324</v>
      </c>
      <c r="B552" s="15" t="str">
        <f>IFERROR(VLOOKUP(A552,#REF!,2,0)," ")</f>
        <v xml:space="preserve"> </v>
      </c>
      <c r="C552" s="20">
        <f>IFERROR(VLOOKUP(A552,#REF!,3,0),0)</f>
        <v>0</v>
      </c>
      <c r="D552" s="20">
        <f>IFERROR(VLOOKUP(A552,#REF!,4,0),0)</f>
        <v>0</v>
      </c>
      <c r="E552" s="5"/>
      <c r="G552" s="6"/>
    </row>
    <row r="553" spans="1:7">
      <c r="A553" s="14" t="s">
        <v>1126</v>
      </c>
      <c r="B553" s="15" t="str">
        <f>IFERROR(VLOOKUP(A553,#REF!,2,0)," ")</f>
        <v xml:space="preserve"> </v>
      </c>
      <c r="C553" s="20">
        <f>IFERROR(VLOOKUP(A553,#REF!,3,0),0)</f>
        <v>0</v>
      </c>
      <c r="D553" s="20">
        <f>IFERROR(VLOOKUP(A553,#REF!,4,0),0)</f>
        <v>0</v>
      </c>
      <c r="E553" s="5"/>
      <c r="G553" s="6"/>
    </row>
    <row r="554" spans="1:7">
      <c r="A554" s="14" t="s">
        <v>622</v>
      </c>
      <c r="B554" s="15" t="str">
        <f>IFERROR(VLOOKUP(A554,#REF!,2,0)," ")</f>
        <v xml:space="preserve"> </v>
      </c>
      <c r="C554" s="20">
        <f>IFERROR(VLOOKUP(A554,#REF!,3,0),0)</f>
        <v>0</v>
      </c>
      <c r="D554" s="20">
        <f>IFERROR(VLOOKUP(A554,#REF!,4,0),0)</f>
        <v>0</v>
      </c>
      <c r="E554" s="5"/>
      <c r="G554" s="6"/>
    </row>
    <row r="555" spans="1:7">
      <c r="A555" s="14" t="s">
        <v>1321</v>
      </c>
      <c r="B555" s="15" t="str">
        <f>IFERROR(VLOOKUP(A555,#REF!,2,0)," ")</f>
        <v xml:space="preserve"> </v>
      </c>
      <c r="C555" s="20">
        <f>IFERROR(VLOOKUP(A555,#REF!,3,0),0)</f>
        <v>0</v>
      </c>
      <c r="D555" s="20">
        <f>IFERROR(VLOOKUP(A555,#REF!,4,0),0)</f>
        <v>0</v>
      </c>
      <c r="E555" s="5"/>
      <c r="G555" s="6"/>
    </row>
    <row r="556" spans="1:7">
      <c r="A556" s="14" t="s">
        <v>1138</v>
      </c>
      <c r="B556" s="15" t="str">
        <f>IFERROR(VLOOKUP(A556,#REF!,2,0)," ")</f>
        <v xml:space="preserve"> </v>
      </c>
      <c r="C556" s="20">
        <f>IFERROR(VLOOKUP(A556,#REF!,3,0),0)</f>
        <v>0</v>
      </c>
      <c r="D556" s="20">
        <f>IFERROR(VLOOKUP(A556,#REF!,4,0),0)</f>
        <v>0</v>
      </c>
      <c r="E556" s="5"/>
      <c r="G556" s="6"/>
    </row>
    <row r="557" spans="1:7">
      <c r="A557" s="14" t="s">
        <v>851</v>
      </c>
      <c r="B557" s="15" t="str">
        <f>IFERROR(VLOOKUP(A557,#REF!,2,0)," ")</f>
        <v xml:space="preserve"> </v>
      </c>
      <c r="C557" s="20">
        <f>IFERROR(VLOOKUP(A557,#REF!,3,0),0)</f>
        <v>0</v>
      </c>
      <c r="D557" s="20">
        <f>IFERROR(VLOOKUP(A557,#REF!,4,0),0)</f>
        <v>0</v>
      </c>
      <c r="E557" s="5"/>
      <c r="G557" s="6"/>
    </row>
    <row r="558" spans="1:7">
      <c r="A558" s="14" t="s">
        <v>605</v>
      </c>
      <c r="B558" s="15" t="str">
        <f>IFERROR(VLOOKUP(A558,#REF!,2,0)," ")</f>
        <v xml:space="preserve"> </v>
      </c>
      <c r="C558" s="20">
        <f>IFERROR(VLOOKUP(A558,#REF!,3,0),0)</f>
        <v>0</v>
      </c>
      <c r="D558" s="20">
        <f>IFERROR(VLOOKUP(A558,#REF!,4,0),0)</f>
        <v>0</v>
      </c>
      <c r="E558" s="5"/>
      <c r="G558" s="6"/>
    </row>
    <row r="559" spans="1:7">
      <c r="A559" s="14" t="s">
        <v>127</v>
      </c>
      <c r="B559" s="15" t="str">
        <f>IFERROR(VLOOKUP(A559,#REF!,2,0)," ")</f>
        <v xml:space="preserve"> </v>
      </c>
      <c r="C559" s="20">
        <f>IFERROR(VLOOKUP(A559,#REF!,3,0),0)</f>
        <v>0</v>
      </c>
      <c r="D559" s="20">
        <f>IFERROR(VLOOKUP(A559,#REF!,4,0),0)</f>
        <v>0</v>
      </c>
      <c r="E559" s="5"/>
      <c r="G559" s="6"/>
    </row>
    <row r="560" spans="1:7">
      <c r="A560" s="14" t="s">
        <v>613</v>
      </c>
      <c r="B560" s="15" t="str">
        <f>IFERROR(VLOOKUP(A560,#REF!,2,0)," ")</f>
        <v xml:space="preserve"> </v>
      </c>
      <c r="C560" s="20">
        <f>IFERROR(VLOOKUP(A560,#REF!,3,0),0)</f>
        <v>0</v>
      </c>
      <c r="D560" s="20">
        <f>IFERROR(VLOOKUP(A560,#REF!,4,0),0)</f>
        <v>0</v>
      </c>
      <c r="E560" s="5"/>
      <c r="G560" s="6"/>
    </row>
    <row r="561" spans="1:7">
      <c r="A561" s="14" t="s">
        <v>1284</v>
      </c>
      <c r="B561" s="15" t="str">
        <f>IFERROR(VLOOKUP(A561,#REF!,2,0)," ")</f>
        <v xml:space="preserve"> </v>
      </c>
      <c r="C561" s="20">
        <f>IFERROR(VLOOKUP(A561,#REF!,3,0),0)</f>
        <v>0</v>
      </c>
      <c r="D561" s="20">
        <f>IFERROR(VLOOKUP(A561,#REF!,4,0),0)</f>
        <v>0</v>
      </c>
      <c r="E561" s="5"/>
      <c r="G561" s="6"/>
    </row>
    <row r="562" spans="1:7">
      <c r="A562" s="14" t="s">
        <v>545</v>
      </c>
      <c r="B562" s="15" t="str">
        <f>IFERROR(VLOOKUP(A562,#REF!,2,0)," ")</f>
        <v xml:space="preserve"> </v>
      </c>
      <c r="C562" s="20">
        <f>IFERROR(VLOOKUP(A562,#REF!,3,0),0)</f>
        <v>0</v>
      </c>
      <c r="D562" s="20">
        <f>IFERROR(VLOOKUP(A562,#REF!,4,0),0)</f>
        <v>0</v>
      </c>
      <c r="E562" s="5"/>
      <c r="G562" s="6"/>
    </row>
    <row r="563" spans="1:7">
      <c r="A563" s="14" t="s">
        <v>162</v>
      </c>
      <c r="B563" s="15" t="str">
        <f>IFERROR(VLOOKUP(A563,#REF!,2,0)," ")</f>
        <v xml:space="preserve"> </v>
      </c>
      <c r="C563" s="20">
        <f>IFERROR(VLOOKUP(A563,#REF!,3,0),0)</f>
        <v>0</v>
      </c>
      <c r="D563" s="20">
        <f>IFERROR(VLOOKUP(A563,#REF!,4,0),0)</f>
        <v>0</v>
      </c>
      <c r="E563" s="5"/>
      <c r="G563" s="6"/>
    </row>
    <row r="564" spans="1:7">
      <c r="A564" s="14" t="s">
        <v>129</v>
      </c>
      <c r="B564" s="15" t="str">
        <f>IFERROR(VLOOKUP(A564,#REF!,2,0)," ")</f>
        <v xml:space="preserve"> </v>
      </c>
      <c r="C564" s="20">
        <f>IFERROR(VLOOKUP(A564,#REF!,3,0),0)</f>
        <v>0</v>
      </c>
      <c r="D564" s="20">
        <f>IFERROR(VLOOKUP(A564,#REF!,4,0),0)</f>
        <v>0</v>
      </c>
      <c r="E564" s="5"/>
      <c r="G564" s="6"/>
    </row>
    <row r="565" spans="1:7">
      <c r="A565" s="14" t="s">
        <v>128</v>
      </c>
      <c r="B565" s="15" t="str">
        <f>IFERROR(VLOOKUP(A565,#REF!,2,0)," ")</f>
        <v xml:space="preserve"> </v>
      </c>
      <c r="C565" s="20">
        <f>IFERROR(VLOOKUP(A565,#REF!,3,0),0)</f>
        <v>0</v>
      </c>
      <c r="D565" s="20">
        <f>IFERROR(VLOOKUP(A565,#REF!,4,0),0)</f>
        <v>0</v>
      </c>
      <c r="E565" s="5"/>
      <c r="G565" s="6"/>
    </row>
    <row r="566" spans="1:7">
      <c r="A566" s="14" t="s">
        <v>131</v>
      </c>
      <c r="B566" s="15" t="str">
        <f>IFERROR(VLOOKUP(A566,#REF!,2,0)," ")</f>
        <v xml:space="preserve"> </v>
      </c>
      <c r="C566" s="20">
        <f>IFERROR(VLOOKUP(A566,#REF!,3,0),0)</f>
        <v>0</v>
      </c>
      <c r="D566" s="20">
        <f>IFERROR(VLOOKUP(A566,#REF!,4,0),0)</f>
        <v>0</v>
      </c>
      <c r="E566" s="5"/>
      <c r="G566" s="6"/>
    </row>
    <row r="567" spans="1:7">
      <c r="A567" s="14" t="s">
        <v>130</v>
      </c>
      <c r="B567" s="15" t="str">
        <f>IFERROR(VLOOKUP(A567,#REF!,2,0)," ")</f>
        <v xml:space="preserve"> </v>
      </c>
      <c r="C567" s="20">
        <f>IFERROR(VLOOKUP(A567,#REF!,3,0),0)</f>
        <v>0</v>
      </c>
      <c r="D567" s="20">
        <f>IFERROR(VLOOKUP(A567,#REF!,4,0),0)</f>
        <v>0</v>
      </c>
      <c r="E567" s="5"/>
      <c r="G567" s="6"/>
    </row>
    <row r="568" spans="1:7">
      <c r="A568" s="14" t="s">
        <v>124</v>
      </c>
      <c r="B568" s="15" t="str">
        <f>IFERROR(VLOOKUP(A568,#REF!,2,0)," ")</f>
        <v xml:space="preserve"> </v>
      </c>
      <c r="C568" s="20">
        <f>IFERROR(VLOOKUP(A568,#REF!,3,0),0)</f>
        <v>0</v>
      </c>
      <c r="D568" s="20">
        <f>IFERROR(VLOOKUP(A568,#REF!,4,0),0)</f>
        <v>0</v>
      </c>
      <c r="E568" s="5"/>
      <c r="G568" s="6"/>
    </row>
    <row r="569" spans="1:7">
      <c r="A569" s="14" t="s">
        <v>123</v>
      </c>
      <c r="B569" s="15" t="str">
        <f>IFERROR(VLOOKUP(A569,#REF!,2,0)," ")</f>
        <v xml:space="preserve"> </v>
      </c>
      <c r="C569" s="20">
        <f>IFERROR(VLOOKUP(A569,#REF!,3,0),0)</f>
        <v>0</v>
      </c>
      <c r="D569" s="20">
        <f>IFERROR(VLOOKUP(A569,#REF!,4,0),0)</f>
        <v>0</v>
      </c>
      <c r="E569" s="5"/>
      <c r="G569" s="6"/>
    </row>
    <row r="570" spans="1:7">
      <c r="A570" s="14" t="s">
        <v>126</v>
      </c>
      <c r="B570" s="15" t="str">
        <f>IFERROR(VLOOKUP(A570,#REF!,2,0)," ")</f>
        <v xml:space="preserve"> </v>
      </c>
      <c r="C570" s="20">
        <f>IFERROR(VLOOKUP(A570,#REF!,3,0),0)</f>
        <v>0</v>
      </c>
      <c r="D570" s="20">
        <f>IFERROR(VLOOKUP(A570,#REF!,4,0),0)</f>
        <v>0</v>
      </c>
      <c r="E570" s="5"/>
      <c r="G570" s="6"/>
    </row>
    <row r="571" spans="1:7">
      <c r="A571" s="14" t="s">
        <v>125</v>
      </c>
      <c r="B571" s="15" t="str">
        <f>IFERROR(VLOOKUP(A571,#REF!,2,0)," ")</f>
        <v xml:space="preserve"> </v>
      </c>
      <c r="C571" s="20">
        <f>IFERROR(VLOOKUP(A571,#REF!,3,0),0)</f>
        <v>0</v>
      </c>
      <c r="D571" s="20">
        <f>IFERROR(VLOOKUP(A571,#REF!,4,0),0)</f>
        <v>0</v>
      </c>
      <c r="E571" s="5"/>
      <c r="G571" s="6"/>
    </row>
    <row r="572" spans="1:7">
      <c r="A572" s="14" t="s">
        <v>1128</v>
      </c>
      <c r="B572" s="15" t="str">
        <f>IFERROR(VLOOKUP(A572,#REF!,2,0)," ")</f>
        <v xml:space="preserve"> </v>
      </c>
      <c r="C572" s="20">
        <f>IFERROR(VLOOKUP(A572,#REF!,3,0),0)</f>
        <v>0</v>
      </c>
      <c r="D572" s="20">
        <f>IFERROR(VLOOKUP(A572,#REF!,4,0),0)</f>
        <v>0</v>
      </c>
      <c r="E572" s="5"/>
      <c r="G572" s="6"/>
    </row>
    <row r="573" spans="1:7">
      <c r="A573" s="14" t="s">
        <v>985</v>
      </c>
      <c r="B573" s="15" t="str">
        <f>IFERROR(VLOOKUP(A573,#REF!,2,0)," ")</f>
        <v xml:space="preserve"> </v>
      </c>
      <c r="C573" s="20">
        <f>IFERROR(VLOOKUP(A573,#REF!,3,0),0)</f>
        <v>0</v>
      </c>
      <c r="D573" s="20">
        <f>IFERROR(VLOOKUP(A573,#REF!,4,0),0)</f>
        <v>0</v>
      </c>
      <c r="E573" s="5"/>
      <c r="G573" s="6"/>
    </row>
    <row r="574" spans="1:7">
      <c r="A574" s="14" t="s">
        <v>266</v>
      </c>
      <c r="B574" s="15" t="str">
        <f>IFERROR(VLOOKUP(A574,#REF!,2,0)," ")</f>
        <v xml:space="preserve"> </v>
      </c>
      <c r="C574" s="20">
        <f>IFERROR(VLOOKUP(A574,#REF!,3,0),0)</f>
        <v>0</v>
      </c>
      <c r="D574" s="20">
        <f>IFERROR(VLOOKUP(A574,#REF!,4,0),0)</f>
        <v>0</v>
      </c>
      <c r="E574" s="5"/>
      <c r="G574" s="6"/>
    </row>
    <row r="575" spans="1:7">
      <c r="A575" s="14" t="s">
        <v>617</v>
      </c>
      <c r="B575" s="15" t="str">
        <f>IFERROR(VLOOKUP(A575,#REF!,2,0)," ")</f>
        <v xml:space="preserve"> </v>
      </c>
      <c r="C575" s="20">
        <f>IFERROR(VLOOKUP(A575,#REF!,3,0),0)</f>
        <v>0</v>
      </c>
      <c r="D575" s="20">
        <f>IFERROR(VLOOKUP(A575,#REF!,4,0),0)</f>
        <v>0</v>
      </c>
      <c r="E575" s="5"/>
      <c r="G575" s="6"/>
    </row>
    <row r="576" spans="1:7">
      <c r="A576" s="14" t="s">
        <v>977</v>
      </c>
      <c r="B576" s="15" t="str">
        <f>IFERROR(VLOOKUP(A576,#REF!,2,0)," ")</f>
        <v xml:space="preserve"> </v>
      </c>
      <c r="C576" s="20">
        <f>IFERROR(VLOOKUP(A576,#REF!,3,0),0)</f>
        <v>0</v>
      </c>
      <c r="D576" s="20">
        <f>IFERROR(VLOOKUP(A576,#REF!,4,0),0)</f>
        <v>0</v>
      </c>
      <c r="E576" s="5"/>
      <c r="G576" s="6"/>
    </row>
    <row r="577" spans="1:7">
      <c r="A577" s="14" t="s">
        <v>983</v>
      </c>
      <c r="B577" s="15" t="str">
        <f>IFERROR(VLOOKUP(A577,#REF!,2,0)," ")</f>
        <v xml:space="preserve"> </v>
      </c>
      <c r="C577" s="20">
        <f>IFERROR(VLOOKUP(A577,#REF!,3,0),0)</f>
        <v>0</v>
      </c>
      <c r="D577" s="20">
        <f>IFERROR(VLOOKUP(A577,#REF!,4,0),0)</f>
        <v>0</v>
      </c>
      <c r="E577" s="5"/>
      <c r="G577" s="6"/>
    </row>
    <row r="578" spans="1:7">
      <c r="A578" s="14" t="s">
        <v>621</v>
      </c>
      <c r="B578" s="15" t="str">
        <f>IFERROR(VLOOKUP(A578,#REF!,2,0)," ")</f>
        <v xml:space="preserve"> </v>
      </c>
      <c r="C578" s="20">
        <f>IFERROR(VLOOKUP(A578,#REF!,3,0),0)</f>
        <v>0</v>
      </c>
      <c r="D578" s="20">
        <f>IFERROR(VLOOKUP(A578,#REF!,4,0),0)</f>
        <v>0</v>
      </c>
      <c r="E578" s="5"/>
      <c r="G578" s="6"/>
    </row>
    <row r="579" spans="1:7">
      <c r="A579" s="14" t="s">
        <v>982</v>
      </c>
      <c r="B579" s="15" t="str">
        <f>IFERROR(VLOOKUP(A579,#REF!,2,0)," ")</f>
        <v xml:space="preserve"> </v>
      </c>
      <c r="C579" s="20">
        <f>IFERROR(VLOOKUP(A579,#REF!,3,0),0)</f>
        <v>0</v>
      </c>
      <c r="D579" s="20">
        <f>IFERROR(VLOOKUP(A579,#REF!,4,0),0)</f>
        <v>0</v>
      </c>
      <c r="E579" s="5"/>
      <c r="G579" s="6"/>
    </row>
    <row r="580" spans="1:7">
      <c r="A580" s="14" t="s">
        <v>618</v>
      </c>
      <c r="B580" s="15" t="str">
        <f>IFERROR(VLOOKUP(A580,#REF!,2,0)," ")</f>
        <v xml:space="preserve"> </v>
      </c>
      <c r="C580" s="20">
        <f>IFERROR(VLOOKUP(A580,#REF!,3,0),0)</f>
        <v>0</v>
      </c>
      <c r="D580" s="20">
        <f>IFERROR(VLOOKUP(A580,#REF!,4,0),0)</f>
        <v>0</v>
      </c>
      <c r="E580" s="5"/>
      <c r="G580" s="6"/>
    </row>
    <row r="581" spans="1:7">
      <c r="A581" s="14" t="s">
        <v>607</v>
      </c>
      <c r="B581" s="15" t="str">
        <f>IFERROR(VLOOKUP(A581,#REF!,2,0)," ")</f>
        <v xml:space="preserve"> </v>
      </c>
      <c r="C581" s="20">
        <f>IFERROR(VLOOKUP(A581,#REF!,3,0),0)</f>
        <v>0</v>
      </c>
      <c r="D581" s="20">
        <f>IFERROR(VLOOKUP(A581,#REF!,4,0),0)</f>
        <v>0</v>
      </c>
      <c r="E581" s="5"/>
      <c r="G581" s="6"/>
    </row>
    <row r="582" spans="1:7">
      <c r="A582" s="14" t="s">
        <v>677</v>
      </c>
      <c r="B582" s="15" t="str">
        <f>IFERROR(VLOOKUP(A582,#REF!,2,0)," ")</f>
        <v xml:space="preserve"> </v>
      </c>
      <c r="C582" s="20">
        <f>IFERROR(VLOOKUP(A582,#REF!,3,0),0)</f>
        <v>0</v>
      </c>
      <c r="D582" s="20">
        <f>IFERROR(VLOOKUP(A582,#REF!,4,0),0)</f>
        <v>0</v>
      </c>
      <c r="E582" s="5"/>
      <c r="G582" s="6"/>
    </row>
    <row r="583" spans="1:7">
      <c r="A583" s="14" t="s">
        <v>620</v>
      </c>
      <c r="B583" s="15" t="str">
        <f>IFERROR(VLOOKUP(A583,#REF!,2,0)," ")</f>
        <v xml:space="preserve"> </v>
      </c>
      <c r="C583" s="20">
        <f>IFERROR(VLOOKUP(A583,#REF!,3,0),0)</f>
        <v>0</v>
      </c>
      <c r="D583" s="20">
        <f>IFERROR(VLOOKUP(A583,#REF!,4,0),0)</f>
        <v>0</v>
      </c>
      <c r="E583" s="5"/>
      <c r="G583" s="6"/>
    </row>
    <row r="584" spans="1:7">
      <c r="A584" s="14" t="s">
        <v>1320</v>
      </c>
      <c r="B584" s="15" t="str">
        <f>IFERROR(VLOOKUP(A584,#REF!,2,0)," ")</f>
        <v xml:space="preserve"> </v>
      </c>
      <c r="C584" s="20">
        <f>IFERROR(VLOOKUP(A584,#REF!,3,0),0)</f>
        <v>0</v>
      </c>
      <c r="D584" s="20">
        <f>IFERROR(VLOOKUP(A584,#REF!,4,0),0)</f>
        <v>0</v>
      </c>
      <c r="E584" s="5"/>
      <c r="G584" s="6"/>
    </row>
    <row r="585" spans="1:7">
      <c r="A585" s="14" t="s">
        <v>1125</v>
      </c>
      <c r="B585" s="15" t="str">
        <f>IFERROR(VLOOKUP(A585,#REF!,2,0)," ")</f>
        <v xml:space="preserve"> </v>
      </c>
      <c r="C585" s="20">
        <f>IFERROR(VLOOKUP(A585,#REF!,3,0),0)</f>
        <v>0</v>
      </c>
      <c r="D585" s="20">
        <f>IFERROR(VLOOKUP(A585,#REF!,4,0),0)</f>
        <v>0</v>
      </c>
      <c r="E585" s="5"/>
      <c r="G585" s="6"/>
    </row>
    <row r="586" spans="1:7">
      <c r="A586" s="14" t="s">
        <v>1110</v>
      </c>
      <c r="B586" s="15" t="str">
        <f>IFERROR(VLOOKUP(A586,#REF!,2,0)," ")</f>
        <v xml:space="preserve"> </v>
      </c>
      <c r="C586" s="20">
        <f>IFERROR(VLOOKUP(A586,#REF!,3,0),0)</f>
        <v>0</v>
      </c>
      <c r="D586" s="20">
        <f>IFERROR(VLOOKUP(A586,#REF!,4,0),0)</f>
        <v>0</v>
      </c>
      <c r="E586" s="5"/>
      <c r="G586" s="6"/>
    </row>
    <row r="587" spans="1:7">
      <c r="A587" s="14" t="s">
        <v>1124</v>
      </c>
      <c r="B587" s="15" t="str">
        <f>IFERROR(VLOOKUP(A587,#REF!,2,0)," ")</f>
        <v xml:space="preserve"> </v>
      </c>
      <c r="C587" s="20">
        <f>IFERROR(VLOOKUP(A587,#REF!,3,0),0)</f>
        <v>0</v>
      </c>
      <c r="D587" s="20">
        <f>IFERROR(VLOOKUP(A587,#REF!,4,0),0)</f>
        <v>0</v>
      </c>
      <c r="E587" s="5"/>
      <c r="G587" s="6"/>
    </row>
    <row r="588" spans="1:7">
      <c r="A588" s="14" t="s">
        <v>531</v>
      </c>
      <c r="B588" s="15" t="str">
        <f>IFERROR(VLOOKUP(A588,#REF!,2,0)," ")</f>
        <v xml:space="preserve"> </v>
      </c>
      <c r="C588" s="20">
        <f>IFERROR(VLOOKUP(A588,#REF!,3,0),0)</f>
        <v>0</v>
      </c>
      <c r="D588" s="20">
        <f>IFERROR(VLOOKUP(A588,#REF!,4,0),0)</f>
        <v>0</v>
      </c>
      <c r="E588" s="5"/>
      <c r="G588" s="6"/>
    </row>
    <row r="589" spans="1:7">
      <c r="A589" s="14" t="s">
        <v>1137</v>
      </c>
      <c r="B589" s="15" t="str">
        <f>IFERROR(VLOOKUP(A589,#REF!,2,0)," ")</f>
        <v xml:space="preserve"> </v>
      </c>
      <c r="C589" s="20">
        <f>IFERROR(VLOOKUP(A589,#REF!,3,0),0)</f>
        <v>0</v>
      </c>
      <c r="D589" s="20">
        <f>IFERROR(VLOOKUP(A589,#REF!,4,0),0)</f>
        <v>0</v>
      </c>
      <c r="E589" s="5"/>
      <c r="G589" s="6"/>
    </row>
    <row r="590" spans="1:7">
      <c r="A590" s="14" t="s">
        <v>609</v>
      </c>
      <c r="B590" s="15" t="str">
        <f>IFERROR(VLOOKUP(A590,#REF!,2,0)," ")</f>
        <v xml:space="preserve"> </v>
      </c>
      <c r="C590" s="20">
        <f>IFERROR(VLOOKUP(A590,#REF!,3,0),0)</f>
        <v>0</v>
      </c>
      <c r="D590" s="20">
        <f>IFERROR(VLOOKUP(A590,#REF!,4,0),0)</f>
        <v>0</v>
      </c>
      <c r="E590" s="5"/>
      <c r="G590" s="6"/>
    </row>
    <row r="591" spans="1:7">
      <c r="A591" s="14" t="s">
        <v>611</v>
      </c>
      <c r="B591" s="15" t="str">
        <f>IFERROR(VLOOKUP(A591,#REF!,2,0)," ")</f>
        <v xml:space="preserve"> </v>
      </c>
      <c r="C591" s="20">
        <f>IFERROR(VLOOKUP(A591,#REF!,3,0),0)</f>
        <v>0</v>
      </c>
      <c r="D591" s="20">
        <f>IFERROR(VLOOKUP(A591,#REF!,4,0),0)</f>
        <v>0</v>
      </c>
      <c r="E591" s="5"/>
      <c r="G591" s="6"/>
    </row>
    <row r="592" spans="1:7">
      <c r="A592" s="14" t="s">
        <v>612</v>
      </c>
      <c r="B592" s="15" t="str">
        <f>IFERROR(VLOOKUP(A592,#REF!,2,0)," ")</f>
        <v xml:space="preserve"> </v>
      </c>
      <c r="C592" s="20">
        <f>IFERROR(VLOOKUP(A592,#REF!,3,0),0)</f>
        <v>0</v>
      </c>
      <c r="D592" s="20">
        <f>IFERROR(VLOOKUP(A592,#REF!,4,0),0)</f>
        <v>0</v>
      </c>
      <c r="E592" s="5"/>
      <c r="G592" s="6"/>
    </row>
    <row r="593" spans="1:7">
      <c r="A593" s="14" t="s">
        <v>980</v>
      </c>
      <c r="B593" s="15" t="str">
        <f>IFERROR(VLOOKUP(A593,#REF!,2,0)," ")</f>
        <v xml:space="preserve"> </v>
      </c>
      <c r="C593" s="20">
        <f>IFERROR(VLOOKUP(A593,#REF!,3,0),0)</f>
        <v>0</v>
      </c>
      <c r="D593" s="20">
        <f>IFERROR(VLOOKUP(A593,#REF!,4,0),0)</f>
        <v>0</v>
      </c>
      <c r="E593" s="5"/>
      <c r="G593" s="6"/>
    </row>
    <row r="594" spans="1:7">
      <c r="A594" s="14" t="s">
        <v>1113</v>
      </c>
      <c r="B594" s="15" t="str">
        <f>IFERROR(VLOOKUP(A594,#REF!,2,0)," ")</f>
        <v xml:space="preserve"> </v>
      </c>
      <c r="C594" s="20">
        <f>IFERROR(VLOOKUP(A594,#REF!,3,0),0)</f>
        <v>0</v>
      </c>
      <c r="D594" s="20">
        <f>IFERROR(VLOOKUP(A594,#REF!,4,0),0)</f>
        <v>0</v>
      </c>
      <c r="E594" s="5"/>
      <c r="G594" s="6"/>
    </row>
    <row r="595" spans="1:7">
      <c r="A595" s="14" t="s">
        <v>1109</v>
      </c>
      <c r="B595" s="15" t="str">
        <f>IFERROR(VLOOKUP(A595,#REF!,2,0)," ")</f>
        <v xml:space="preserve"> </v>
      </c>
      <c r="C595" s="20">
        <f>IFERROR(VLOOKUP(A595,#REF!,3,0),0)</f>
        <v>0</v>
      </c>
      <c r="D595" s="20">
        <f>IFERROR(VLOOKUP(A595,#REF!,4,0),0)</f>
        <v>0</v>
      </c>
      <c r="E595" s="5"/>
      <c r="G595" s="6"/>
    </row>
    <row r="596" spans="1:7">
      <c r="A596" s="14" t="s">
        <v>1116</v>
      </c>
      <c r="B596" s="15" t="str">
        <f>IFERROR(VLOOKUP(A596,#REF!,2,0)," ")</f>
        <v xml:space="preserve"> </v>
      </c>
      <c r="C596" s="20">
        <f>IFERROR(VLOOKUP(A596,#REF!,3,0),0)</f>
        <v>0</v>
      </c>
      <c r="D596" s="20">
        <f>IFERROR(VLOOKUP(A596,#REF!,4,0),0)</f>
        <v>0</v>
      </c>
      <c r="E596" s="5"/>
      <c r="G596" s="6"/>
    </row>
    <row r="597" spans="1:7">
      <c r="A597" s="14" t="s">
        <v>616</v>
      </c>
      <c r="B597" s="15" t="str">
        <f>IFERROR(VLOOKUP(A597,#REF!,2,0)," ")</f>
        <v xml:space="preserve"> </v>
      </c>
      <c r="C597" s="20">
        <f>IFERROR(VLOOKUP(A597,#REF!,3,0),0)</f>
        <v>0</v>
      </c>
      <c r="D597" s="20">
        <f>IFERROR(VLOOKUP(A597,#REF!,4,0),0)</f>
        <v>0</v>
      </c>
      <c r="E597" s="5"/>
      <c r="G597" s="6"/>
    </row>
    <row r="598" spans="1:7">
      <c r="A598" s="14" t="s">
        <v>1112</v>
      </c>
      <c r="B598" s="15" t="str">
        <f>IFERROR(VLOOKUP(A598,#REF!,2,0)," ")</f>
        <v xml:space="preserve"> </v>
      </c>
      <c r="C598" s="20">
        <f>IFERROR(VLOOKUP(A598,#REF!,3,0),0)</f>
        <v>0</v>
      </c>
      <c r="D598" s="20">
        <f>IFERROR(VLOOKUP(A598,#REF!,4,0),0)</f>
        <v>0</v>
      </c>
      <c r="E598" s="5"/>
      <c r="G598" s="6"/>
    </row>
    <row r="599" spans="1:7">
      <c r="A599" s="14" t="s">
        <v>984</v>
      </c>
      <c r="B599" s="15" t="str">
        <f>IFERROR(VLOOKUP(A599,#REF!,2,0)," ")</f>
        <v xml:space="preserve"> </v>
      </c>
      <c r="C599" s="20">
        <f>IFERROR(VLOOKUP(A599,#REF!,3,0),0)</f>
        <v>0</v>
      </c>
      <c r="D599" s="20">
        <f>IFERROR(VLOOKUP(A599,#REF!,4,0),0)</f>
        <v>0</v>
      </c>
      <c r="E599" s="5"/>
      <c r="G599" s="6"/>
    </row>
    <row r="600" spans="1:7">
      <c r="A600" s="14" t="s">
        <v>978</v>
      </c>
      <c r="B600" s="15" t="str">
        <f>IFERROR(VLOOKUP(A600,#REF!,2,0)," ")</f>
        <v xml:space="preserve"> </v>
      </c>
      <c r="C600" s="20">
        <f>IFERROR(VLOOKUP(A600,#REF!,3,0),0)</f>
        <v>0</v>
      </c>
      <c r="D600" s="20">
        <f>IFERROR(VLOOKUP(A600,#REF!,4,0),0)</f>
        <v>0</v>
      </c>
      <c r="E600" s="5"/>
      <c r="G600" s="6"/>
    </row>
    <row r="601" spans="1:7">
      <c r="A601" s="14" t="s">
        <v>1111</v>
      </c>
      <c r="B601" s="15" t="str">
        <f>IFERROR(VLOOKUP(A601,#REF!,2,0)," ")</f>
        <v xml:space="preserve"> </v>
      </c>
      <c r="C601" s="20">
        <f>IFERROR(VLOOKUP(A601,#REF!,3,0),0)</f>
        <v>0</v>
      </c>
      <c r="D601" s="20">
        <f>IFERROR(VLOOKUP(A601,#REF!,4,0),0)</f>
        <v>0</v>
      </c>
      <c r="E601" s="5"/>
      <c r="G601" s="6"/>
    </row>
    <row r="602" spans="1:7">
      <c r="A602" s="14" t="s">
        <v>615</v>
      </c>
      <c r="B602" s="15" t="str">
        <f>IFERROR(VLOOKUP(A602,#REF!,2,0)," ")</f>
        <v xml:space="preserve"> </v>
      </c>
      <c r="C602" s="20">
        <f>IFERROR(VLOOKUP(A602,#REF!,3,0),0)</f>
        <v>0</v>
      </c>
      <c r="D602" s="20">
        <f>IFERROR(VLOOKUP(A602,#REF!,4,0),0)</f>
        <v>0</v>
      </c>
      <c r="E602" s="5"/>
      <c r="G602" s="6"/>
    </row>
    <row r="603" spans="1:7">
      <c r="A603" s="14" t="s">
        <v>608</v>
      </c>
      <c r="B603" s="15" t="str">
        <f>IFERROR(VLOOKUP(A603,#REF!,2,0)," ")</f>
        <v xml:space="preserve"> </v>
      </c>
      <c r="C603" s="20">
        <f>IFERROR(VLOOKUP(A603,#REF!,3,0),0)</f>
        <v>0</v>
      </c>
      <c r="D603" s="20">
        <f>IFERROR(VLOOKUP(A603,#REF!,4,0),0)</f>
        <v>0</v>
      </c>
      <c r="E603" s="5"/>
      <c r="G603" s="6"/>
    </row>
    <row r="604" spans="1:7">
      <c r="A604" s="14" t="s">
        <v>619</v>
      </c>
      <c r="B604" s="15" t="str">
        <f>IFERROR(VLOOKUP(A604,#REF!,2,0)," ")</f>
        <v xml:space="preserve"> </v>
      </c>
      <c r="C604" s="20">
        <f>IFERROR(VLOOKUP(A604,#REF!,3,0),0)</f>
        <v>0</v>
      </c>
      <c r="D604" s="20">
        <f>IFERROR(VLOOKUP(A604,#REF!,4,0),0)</f>
        <v>0</v>
      </c>
      <c r="E604" s="5"/>
      <c r="G604" s="6"/>
    </row>
    <row r="605" spans="1:7">
      <c r="A605" s="14" t="s">
        <v>1117</v>
      </c>
      <c r="B605" s="15" t="str">
        <f>IFERROR(VLOOKUP(A605,#REF!,2,0)," ")</f>
        <v xml:space="preserve"> </v>
      </c>
      <c r="C605" s="20">
        <f>IFERROR(VLOOKUP(A605,#REF!,3,0),0)</f>
        <v>0</v>
      </c>
      <c r="D605" s="20">
        <f>IFERROR(VLOOKUP(A605,#REF!,4,0),0)</f>
        <v>0</v>
      </c>
      <c r="E605" s="5"/>
      <c r="G605" s="6"/>
    </row>
    <row r="606" spans="1:7">
      <c r="A606" s="14" t="s">
        <v>1118</v>
      </c>
      <c r="B606" s="15" t="str">
        <f>IFERROR(VLOOKUP(A606,#REF!,2,0)," ")</f>
        <v xml:space="preserve"> </v>
      </c>
      <c r="C606" s="20">
        <f>IFERROR(VLOOKUP(A606,#REF!,3,0),0)</f>
        <v>0</v>
      </c>
      <c r="D606" s="20">
        <f>IFERROR(VLOOKUP(A606,#REF!,4,0),0)</f>
        <v>0</v>
      </c>
      <c r="E606" s="5"/>
      <c r="G606" s="6"/>
    </row>
    <row r="607" spans="1:7">
      <c r="A607" s="14" t="s">
        <v>981</v>
      </c>
      <c r="B607" s="15" t="str">
        <f>IFERROR(VLOOKUP(A607,#REF!,2,0)," ")</f>
        <v xml:space="preserve"> </v>
      </c>
      <c r="C607" s="20">
        <f>IFERROR(VLOOKUP(A607,#REF!,3,0),0)</f>
        <v>0</v>
      </c>
      <c r="D607" s="20">
        <f>IFERROR(VLOOKUP(A607,#REF!,4,0),0)</f>
        <v>0</v>
      </c>
      <c r="E607" s="5"/>
      <c r="G607" s="6"/>
    </row>
    <row r="608" spans="1:7">
      <c r="A608" s="14" t="s">
        <v>681</v>
      </c>
      <c r="B608" s="15" t="str">
        <f>IFERROR(VLOOKUP(A608,#REF!,2,0)," ")</f>
        <v xml:space="preserve"> </v>
      </c>
      <c r="C608" s="20">
        <f>IFERROR(VLOOKUP(A608,#REF!,3,0),0)</f>
        <v>0</v>
      </c>
      <c r="D608" s="20">
        <f>IFERROR(VLOOKUP(A608,#REF!,4,0),0)</f>
        <v>0</v>
      </c>
      <c r="E608" s="5"/>
      <c r="G608" s="6"/>
    </row>
    <row r="609" spans="1:7">
      <c r="A609" s="14" t="s">
        <v>991</v>
      </c>
      <c r="B609" s="15" t="str">
        <f>IFERROR(VLOOKUP(A609,#REF!,2,0)," ")</f>
        <v xml:space="preserve"> </v>
      </c>
      <c r="C609" s="20">
        <f>IFERROR(VLOOKUP(A609,#REF!,3,0),0)</f>
        <v>0</v>
      </c>
      <c r="D609" s="20">
        <f>IFERROR(VLOOKUP(A609,#REF!,4,0),0)</f>
        <v>0</v>
      </c>
      <c r="E609" s="5"/>
      <c r="G609" s="6"/>
    </row>
    <row r="610" spans="1:7">
      <c r="A610" s="14" t="s">
        <v>298</v>
      </c>
      <c r="B610" s="15" t="str">
        <f>IFERROR(VLOOKUP(A610,#REF!,2,0)," ")</f>
        <v xml:space="preserve"> </v>
      </c>
      <c r="C610" s="20">
        <f>IFERROR(VLOOKUP(A610,#REF!,3,0),0)</f>
        <v>0</v>
      </c>
      <c r="D610" s="20">
        <f>IFERROR(VLOOKUP(A610,#REF!,4,0),0)</f>
        <v>0</v>
      </c>
      <c r="E610" s="5"/>
      <c r="G610" s="6"/>
    </row>
    <row r="611" spans="1:7">
      <c r="A611" s="14" t="s">
        <v>297</v>
      </c>
      <c r="B611" s="15" t="str">
        <f>IFERROR(VLOOKUP(A611,#REF!,2,0)," ")</f>
        <v xml:space="preserve"> </v>
      </c>
      <c r="C611" s="20">
        <f>IFERROR(VLOOKUP(A611,#REF!,3,0),0)</f>
        <v>0</v>
      </c>
      <c r="D611" s="20">
        <f>IFERROR(VLOOKUP(A611,#REF!,4,0),0)</f>
        <v>0</v>
      </c>
      <c r="E611" s="5"/>
      <c r="G611" s="6"/>
    </row>
    <row r="612" spans="1:7">
      <c r="A612" s="14" t="s">
        <v>300</v>
      </c>
      <c r="B612" s="15" t="str">
        <f>IFERROR(VLOOKUP(A612,#REF!,2,0)," ")</f>
        <v xml:space="preserve"> </v>
      </c>
      <c r="C612" s="20">
        <f>IFERROR(VLOOKUP(A612,#REF!,3,0),0)</f>
        <v>0</v>
      </c>
      <c r="D612" s="20">
        <f>IFERROR(VLOOKUP(A612,#REF!,4,0),0)</f>
        <v>0</v>
      </c>
      <c r="E612" s="5"/>
      <c r="G612" s="6"/>
    </row>
    <row r="613" spans="1:7">
      <c r="A613" s="14" t="s">
        <v>299</v>
      </c>
      <c r="B613" s="15" t="str">
        <f>IFERROR(VLOOKUP(A613,#REF!,2,0)," ")</f>
        <v xml:space="preserve"> </v>
      </c>
      <c r="C613" s="20">
        <f>IFERROR(VLOOKUP(A613,#REF!,3,0),0)</f>
        <v>0</v>
      </c>
      <c r="D613" s="20">
        <f>IFERROR(VLOOKUP(A613,#REF!,4,0),0)</f>
        <v>0</v>
      </c>
      <c r="E613" s="5"/>
      <c r="G613" s="6"/>
    </row>
    <row r="614" spans="1:7">
      <c r="A614" s="14" t="s">
        <v>890</v>
      </c>
      <c r="B614" s="15" t="str">
        <f>IFERROR(VLOOKUP(A614,#REF!,2,0)," ")</f>
        <v xml:space="preserve"> </v>
      </c>
      <c r="C614" s="20">
        <f>IFERROR(VLOOKUP(A614,#REF!,3,0),0)</f>
        <v>0</v>
      </c>
      <c r="D614" s="20">
        <f>IFERROR(VLOOKUP(A614,#REF!,4,0),0)</f>
        <v>0</v>
      </c>
      <c r="E614" s="5"/>
      <c r="G614" s="6"/>
    </row>
    <row r="615" spans="1:7">
      <c r="A615" s="14" t="s">
        <v>889</v>
      </c>
      <c r="B615" s="15" t="str">
        <f>IFERROR(VLOOKUP(A615,#REF!,2,0)," ")</f>
        <v xml:space="preserve"> </v>
      </c>
      <c r="C615" s="20">
        <f>IFERROR(VLOOKUP(A615,#REF!,3,0),0)</f>
        <v>0</v>
      </c>
      <c r="D615" s="20">
        <f>IFERROR(VLOOKUP(A615,#REF!,4,0),0)</f>
        <v>0</v>
      </c>
      <c r="E615" s="5"/>
      <c r="G615" s="6"/>
    </row>
    <row r="616" spans="1:7">
      <c r="A616" s="14" t="s">
        <v>892</v>
      </c>
      <c r="B616" s="15" t="str">
        <f>IFERROR(VLOOKUP(A616,#REF!,2,0)," ")</f>
        <v xml:space="preserve"> </v>
      </c>
      <c r="C616" s="20">
        <f>IFERROR(VLOOKUP(A616,#REF!,3,0),0)</f>
        <v>0</v>
      </c>
      <c r="D616" s="20">
        <f>IFERROR(VLOOKUP(A616,#REF!,4,0),0)</f>
        <v>0</v>
      </c>
      <c r="E616" s="5"/>
    </row>
    <row r="617" spans="1:7">
      <c r="A617" s="14" t="s">
        <v>891</v>
      </c>
      <c r="B617" s="15" t="str">
        <f>IFERROR(VLOOKUP(A617,#REF!,2,0)," ")</f>
        <v xml:space="preserve"> </v>
      </c>
      <c r="C617" s="20">
        <f>IFERROR(VLOOKUP(A617,#REF!,3,0),0)</f>
        <v>0</v>
      </c>
      <c r="D617" s="20">
        <f>IFERROR(VLOOKUP(A617,#REF!,4,0),0)</f>
        <v>0</v>
      </c>
      <c r="E617" s="5"/>
    </row>
    <row r="618" spans="1:7">
      <c r="A618" s="14" t="s">
        <v>1108</v>
      </c>
      <c r="B618" s="15" t="str">
        <f>IFERROR(VLOOKUP(A618,#REF!,2,0)," ")</f>
        <v xml:space="preserve"> </v>
      </c>
      <c r="C618" s="20">
        <f>IFERROR(VLOOKUP(A618,#REF!,3,0),0)</f>
        <v>0</v>
      </c>
      <c r="D618" s="20">
        <f>IFERROR(VLOOKUP(A618,#REF!,4,0),0)</f>
        <v>0</v>
      </c>
      <c r="E618" s="5"/>
      <c r="G618" s="6"/>
    </row>
    <row r="619" spans="1:7">
      <c r="A619" s="14" t="s">
        <v>988</v>
      </c>
      <c r="B619" s="15" t="str">
        <f>IFERROR(VLOOKUP(A619,#REF!,2,0)," ")</f>
        <v xml:space="preserve"> </v>
      </c>
      <c r="C619" s="20">
        <f>IFERROR(VLOOKUP(A619,#REF!,3,0),0)</f>
        <v>0</v>
      </c>
      <c r="D619" s="20">
        <f>IFERROR(VLOOKUP(A619,#REF!,4,0),0)</f>
        <v>0</v>
      </c>
      <c r="E619" s="5"/>
      <c r="G619" s="6"/>
    </row>
    <row r="620" spans="1:7" ht="15">
      <c r="A620" s="69" t="s">
        <v>1398</v>
      </c>
      <c r="B620" s="69"/>
      <c r="C620" s="69"/>
      <c r="D620" s="70" t="s">
        <v>2150</v>
      </c>
      <c r="E620" s="5"/>
      <c r="G620" s="6"/>
    </row>
    <row r="621" spans="1:7" ht="12">
      <c r="A621" s="18" t="s">
        <v>370</v>
      </c>
      <c r="B621" s="18" t="s">
        <v>565</v>
      </c>
      <c r="C621" s="16" t="s">
        <v>371</v>
      </c>
      <c r="D621" s="70"/>
      <c r="E621" s="5"/>
      <c r="G621" s="6"/>
    </row>
    <row r="622" spans="1:7">
      <c r="A622" s="14" t="s">
        <v>1399</v>
      </c>
      <c r="B622" s="15" t="str">
        <f>IFERROR(VLOOKUP(A622,#REF!,2,0)," ")</f>
        <v xml:space="preserve"> </v>
      </c>
      <c r="C622" s="20">
        <f>IFERROR(VLOOKUP(A622,#REF!,3,0),0)</f>
        <v>0</v>
      </c>
      <c r="D622" s="20">
        <f>IFERROR(VLOOKUP(A622,#REF!,4,0),0)</f>
        <v>0</v>
      </c>
      <c r="E622" s="5"/>
      <c r="G622" s="6"/>
    </row>
    <row r="623" spans="1:7">
      <c r="A623" s="14" t="s">
        <v>1440</v>
      </c>
      <c r="B623" s="15" t="str">
        <f>IFERROR(VLOOKUP(A623,#REF!,2,0)," ")</f>
        <v xml:space="preserve"> </v>
      </c>
      <c r="C623" s="20">
        <f>IFERROR(VLOOKUP(A623,#REF!,3,0),0)</f>
        <v>0</v>
      </c>
      <c r="D623" s="20">
        <f>IFERROR(VLOOKUP(A623,#REF!,4,0),0)</f>
        <v>0</v>
      </c>
      <c r="E623" s="5"/>
      <c r="G623" s="6"/>
    </row>
    <row r="624" spans="1:7">
      <c r="A624" s="14" t="s">
        <v>1403</v>
      </c>
      <c r="B624" s="15" t="str">
        <f>IFERROR(VLOOKUP(A624,#REF!,2,0)," ")</f>
        <v xml:space="preserve"> </v>
      </c>
      <c r="C624" s="20">
        <f>IFERROR(VLOOKUP(A624,#REF!,3,0),0)</f>
        <v>0</v>
      </c>
      <c r="D624" s="20">
        <f>IFERROR(VLOOKUP(A624,#REF!,4,0),0)</f>
        <v>0</v>
      </c>
      <c r="E624" s="5"/>
      <c r="G624" s="6"/>
    </row>
    <row r="625" spans="1:7">
      <c r="A625" s="14" t="s">
        <v>1404</v>
      </c>
      <c r="B625" s="15" t="str">
        <f>IFERROR(VLOOKUP(A625,#REF!,2,0)," ")</f>
        <v xml:space="preserve"> </v>
      </c>
      <c r="C625" s="20">
        <f>IFERROR(VLOOKUP(A625,#REF!,3,0),0)</f>
        <v>0</v>
      </c>
      <c r="D625" s="20">
        <f>IFERROR(VLOOKUP(A625,#REF!,4,0),0)</f>
        <v>0</v>
      </c>
      <c r="E625" s="5"/>
      <c r="G625" s="6"/>
    </row>
    <row r="626" spans="1:7">
      <c r="A626" s="14" t="s">
        <v>1471</v>
      </c>
      <c r="B626" s="15" t="str">
        <f>IFERROR(VLOOKUP(A626,#REF!,2,0)," ")</f>
        <v xml:space="preserve"> </v>
      </c>
      <c r="C626" s="20">
        <f>IFERROR(VLOOKUP(A626,#REF!,3,0),0)</f>
        <v>0</v>
      </c>
      <c r="D626" s="20">
        <f>IFERROR(VLOOKUP(A626,#REF!,4,0),0)</f>
        <v>0</v>
      </c>
      <c r="E626" s="5"/>
      <c r="G626" s="6"/>
    </row>
    <row r="627" spans="1:7">
      <c r="A627" s="14" t="s">
        <v>3</v>
      </c>
      <c r="B627" s="15" t="str">
        <f>IFERROR(VLOOKUP(A627,#REF!,2,0)," ")</f>
        <v xml:space="preserve"> </v>
      </c>
      <c r="C627" s="20">
        <f>IFERROR(VLOOKUP(A627,#REF!,3,0),0)</f>
        <v>0</v>
      </c>
      <c r="D627" s="20">
        <f>IFERROR(VLOOKUP(A627,#REF!,4,0),0)</f>
        <v>0</v>
      </c>
      <c r="E627" s="5"/>
      <c r="G627" s="6"/>
    </row>
    <row r="628" spans="1:7">
      <c r="A628" s="14" t="s">
        <v>1435</v>
      </c>
      <c r="B628" s="15" t="str">
        <f>IFERROR(VLOOKUP(A628,#REF!,2,0)," ")</f>
        <v xml:space="preserve"> </v>
      </c>
      <c r="C628" s="20">
        <f>IFERROR(VLOOKUP(A628,#REF!,3,0),0)</f>
        <v>0</v>
      </c>
      <c r="D628" s="20">
        <f>IFERROR(VLOOKUP(A628,#REF!,4,0),0)</f>
        <v>0</v>
      </c>
      <c r="E628" s="5"/>
      <c r="G628" s="6"/>
    </row>
    <row r="629" spans="1:7">
      <c r="A629" s="14" t="s">
        <v>1476</v>
      </c>
      <c r="B629" s="15" t="str">
        <f>IFERROR(VLOOKUP(A629,#REF!,2,0)," ")</f>
        <v xml:space="preserve"> </v>
      </c>
      <c r="C629" s="20">
        <f>IFERROR(VLOOKUP(A629,#REF!,3,0),0)</f>
        <v>0</v>
      </c>
      <c r="D629" s="20">
        <f>IFERROR(VLOOKUP(A629,#REF!,4,0),0)</f>
        <v>0</v>
      </c>
      <c r="E629" s="5"/>
      <c r="G629" s="6"/>
    </row>
    <row r="630" spans="1:7">
      <c r="A630" s="14" t="s">
        <v>1424</v>
      </c>
      <c r="B630" s="15" t="str">
        <f>IFERROR(VLOOKUP(A630,#REF!,2,0)," ")</f>
        <v xml:space="preserve"> </v>
      </c>
      <c r="C630" s="20">
        <f>IFERROR(VLOOKUP(A630,#REF!,3,0),0)</f>
        <v>0</v>
      </c>
      <c r="D630" s="20">
        <f>IFERROR(VLOOKUP(A630,#REF!,4,0),0)</f>
        <v>0</v>
      </c>
      <c r="E630" s="5"/>
      <c r="G630" s="6"/>
    </row>
    <row r="631" spans="1:7">
      <c r="A631" s="14" t="s">
        <v>1459</v>
      </c>
      <c r="B631" s="15" t="str">
        <f>IFERROR(VLOOKUP(A631,#REF!,2,0)," ")</f>
        <v xml:space="preserve"> </v>
      </c>
      <c r="C631" s="20">
        <f>IFERROR(VLOOKUP(A631,#REF!,3,0),0)</f>
        <v>0</v>
      </c>
      <c r="D631" s="20">
        <f>IFERROR(VLOOKUP(A631,#REF!,4,0),0)</f>
        <v>0</v>
      </c>
      <c r="E631" s="12"/>
      <c r="F631" s="10"/>
      <c r="G631" s="6"/>
    </row>
    <row r="632" spans="1:7">
      <c r="A632" s="14" t="s">
        <v>1423</v>
      </c>
      <c r="B632" s="15" t="str">
        <f>IFERROR(VLOOKUP(A632,#REF!,2,0)," ")</f>
        <v xml:space="preserve"> </v>
      </c>
      <c r="C632" s="20">
        <f>IFERROR(VLOOKUP(A632,#REF!,3,0),0)</f>
        <v>0</v>
      </c>
      <c r="D632" s="20">
        <f>IFERROR(VLOOKUP(A632,#REF!,4,0),0)</f>
        <v>0</v>
      </c>
      <c r="E632" s="5"/>
      <c r="G632" s="6"/>
    </row>
    <row r="633" spans="1:7">
      <c r="A633" s="14" t="s">
        <v>1418</v>
      </c>
      <c r="B633" s="15" t="str">
        <f>IFERROR(VLOOKUP(A633,#REF!,2,0)," ")</f>
        <v xml:space="preserve"> </v>
      </c>
      <c r="C633" s="20">
        <f>IFERROR(VLOOKUP(A633,#REF!,3,0),0)</f>
        <v>0</v>
      </c>
      <c r="D633" s="20">
        <f>IFERROR(VLOOKUP(A633,#REF!,4,0),0)</f>
        <v>0</v>
      </c>
      <c r="E633" s="5"/>
      <c r="G633" s="6"/>
    </row>
    <row r="634" spans="1:7">
      <c r="A634" s="14" t="s">
        <v>1432</v>
      </c>
      <c r="B634" s="15" t="str">
        <f>IFERROR(VLOOKUP(A634,#REF!,2,0)," ")</f>
        <v xml:space="preserve"> </v>
      </c>
      <c r="C634" s="20">
        <f>IFERROR(VLOOKUP(A634,#REF!,3,0),0)</f>
        <v>0</v>
      </c>
      <c r="D634" s="20">
        <f>IFERROR(VLOOKUP(A634,#REF!,4,0),0)</f>
        <v>0</v>
      </c>
      <c r="E634" s="5"/>
      <c r="G634" s="6"/>
    </row>
    <row r="635" spans="1:7">
      <c r="A635" s="14" t="s">
        <v>352</v>
      </c>
      <c r="B635" s="15" t="str">
        <f>IFERROR(VLOOKUP(A635,#REF!,2,0)," ")</f>
        <v xml:space="preserve"> </v>
      </c>
      <c r="C635" s="20">
        <f>IFERROR(VLOOKUP(A635,#REF!,3,0),0)</f>
        <v>0</v>
      </c>
      <c r="D635" s="20">
        <f>IFERROR(VLOOKUP(A635,#REF!,4,0),0)</f>
        <v>0</v>
      </c>
      <c r="E635" s="5"/>
      <c r="G635" s="6"/>
    </row>
    <row r="636" spans="1:7">
      <c r="A636" s="14" t="s">
        <v>353</v>
      </c>
      <c r="B636" s="15" t="str">
        <f>IFERROR(VLOOKUP(A636,#REF!,2,0)," ")</f>
        <v xml:space="preserve"> </v>
      </c>
      <c r="C636" s="20">
        <f>IFERROR(VLOOKUP(A636,#REF!,3,0),0)</f>
        <v>0</v>
      </c>
      <c r="D636" s="20">
        <f>IFERROR(VLOOKUP(A636,#REF!,4,0),0)</f>
        <v>0</v>
      </c>
      <c r="E636" s="5"/>
      <c r="G636" s="6"/>
    </row>
    <row r="637" spans="1:7">
      <c r="A637" s="14" t="s">
        <v>354</v>
      </c>
      <c r="B637" s="15" t="str">
        <f>IFERROR(VLOOKUP(A637,#REF!,2,0)," ")</f>
        <v xml:space="preserve"> </v>
      </c>
      <c r="C637" s="20">
        <f>IFERROR(VLOOKUP(A637,#REF!,3,0),0)</f>
        <v>0</v>
      </c>
      <c r="D637" s="20">
        <f>IFERROR(VLOOKUP(A637,#REF!,4,0),0)</f>
        <v>0</v>
      </c>
      <c r="E637" s="5"/>
      <c r="G637" s="6"/>
    </row>
    <row r="638" spans="1:7">
      <c r="A638" s="14" t="s">
        <v>355</v>
      </c>
      <c r="B638" s="15" t="str">
        <f>IFERROR(VLOOKUP(A638,#REF!,2,0)," ")</f>
        <v xml:space="preserve"> </v>
      </c>
      <c r="C638" s="20">
        <f>IFERROR(VLOOKUP(A638,#REF!,3,0),0)</f>
        <v>0</v>
      </c>
      <c r="D638" s="20">
        <f>IFERROR(VLOOKUP(A638,#REF!,4,0),0)</f>
        <v>0</v>
      </c>
      <c r="E638" s="5"/>
      <c r="G638" s="6"/>
    </row>
    <row r="639" spans="1:7">
      <c r="A639" s="14" t="s">
        <v>360</v>
      </c>
      <c r="B639" s="15" t="str">
        <f>IFERROR(VLOOKUP(A639,#REF!,2,0)," ")</f>
        <v xml:space="preserve"> </v>
      </c>
      <c r="C639" s="20">
        <f>IFERROR(VLOOKUP(A639,#REF!,3,0),0)</f>
        <v>0</v>
      </c>
      <c r="D639" s="20">
        <f>IFERROR(VLOOKUP(A639,#REF!,4,0),0)</f>
        <v>0</v>
      </c>
      <c r="E639" s="5"/>
      <c r="G639" s="6"/>
    </row>
    <row r="640" spans="1:7">
      <c r="A640" s="14" t="s">
        <v>361</v>
      </c>
      <c r="B640" s="15" t="str">
        <f>IFERROR(VLOOKUP(A640,#REF!,2,0)," ")</f>
        <v xml:space="preserve"> </v>
      </c>
      <c r="C640" s="20">
        <f>IFERROR(VLOOKUP(A640,#REF!,3,0),0)</f>
        <v>0</v>
      </c>
      <c r="D640" s="20">
        <f>IFERROR(VLOOKUP(A640,#REF!,4,0),0)</f>
        <v>0</v>
      </c>
      <c r="E640" s="5"/>
      <c r="G640" s="6"/>
    </row>
    <row r="641" spans="1:7">
      <c r="A641" s="14" t="s">
        <v>362</v>
      </c>
      <c r="B641" s="15" t="str">
        <f>IFERROR(VLOOKUP(A641,#REF!,2,0)," ")</f>
        <v xml:space="preserve"> </v>
      </c>
      <c r="C641" s="20">
        <f>IFERROR(VLOOKUP(A641,#REF!,3,0),0)</f>
        <v>0</v>
      </c>
      <c r="D641" s="20">
        <f>IFERROR(VLOOKUP(A641,#REF!,4,0),0)</f>
        <v>0</v>
      </c>
      <c r="E641" s="5"/>
      <c r="G641" s="6"/>
    </row>
    <row r="642" spans="1:7">
      <c r="A642" s="14" t="s">
        <v>363</v>
      </c>
      <c r="B642" s="15" t="str">
        <f>IFERROR(VLOOKUP(A642,#REF!,2,0)," ")</f>
        <v xml:space="preserve"> </v>
      </c>
      <c r="C642" s="20">
        <f>IFERROR(VLOOKUP(A642,#REF!,3,0),0)</f>
        <v>0</v>
      </c>
      <c r="D642" s="20">
        <f>IFERROR(VLOOKUP(A642,#REF!,4,0),0)</f>
        <v>0</v>
      </c>
      <c r="E642" s="5"/>
      <c r="G642" s="6"/>
    </row>
    <row r="643" spans="1:7">
      <c r="A643" s="14" t="s">
        <v>356</v>
      </c>
      <c r="B643" s="15" t="str">
        <f>IFERROR(VLOOKUP(A643,#REF!,2,0)," ")</f>
        <v xml:space="preserve"> </v>
      </c>
      <c r="C643" s="20">
        <f>IFERROR(VLOOKUP(A643,#REF!,3,0),0)</f>
        <v>0</v>
      </c>
      <c r="D643" s="20">
        <f>IFERROR(VLOOKUP(A643,#REF!,4,0),0)</f>
        <v>0</v>
      </c>
      <c r="E643" s="5"/>
      <c r="G643" s="6"/>
    </row>
    <row r="644" spans="1:7">
      <c r="A644" s="14" t="s">
        <v>357</v>
      </c>
      <c r="B644" s="15" t="str">
        <f>IFERROR(VLOOKUP(A644,#REF!,2,0)," ")</f>
        <v xml:space="preserve"> </v>
      </c>
      <c r="C644" s="20">
        <f>IFERROR(VLOOKUP(A644,#REF!,3,0),0)</f>
        <v>0</v>
      </c>
      <c r="D644" s="20">
        <f>IFERROR(VLOOKUP(A644,#REF!,4,0),0)</f>
        <v>0</v>
      </c>
      <c r="E644" s="5"/>
      <c r="G644" s="6"/>
    </row>
    <row r="645" spans="1:7">
      <c r="A645" s="14" t="s">
        <v>358</v>
      </c>
      <c r="B645" s="15" t="str">
        <f>IFERROR(VLOOKUP(A645,#REF!,2,0)," ")</f>
        <v xml:space="preserve"> </v>
      </c>
      <c r="C645" s="20">
        <f>IFERROR(VLOOKUP(A645,#REF!,3,0),0)</f>
        <v>0</v>
      </c>
      <c r="D645" s="20">
        <f>IFERROR(VLOOKUP(A645,#REF!,4,0),0)</f>
        <v>0</v>
      </c>
      <c r="E645" s="5"/>
      <c r="G645" s="6"/>
    </row>
    <row r="646" spans="1:7">
      <c r="A646" s="14" t="s">
        <v>359</v>
      </c>
      <c r="B646" s="15" t="str">
        <f>IFERROR(VLOOKUP(A646,#REF!,2,0)," ")</f>
        <v xml:space="preserve"> </v>
      </c>
      <c r="C646" s="20">
        <f>IFERROR(VLOOKUP(A646,#REF!,3,0),0)</f>
        <v>0</v>
      </c>
      <c r="D646" s="20">
        <f>IFERROR(VLOOKUP(A646,#REF!,4,0),0)</f>
        <v>0</v>
      </c>
      <c r="E646" s="5"/>
      <c r="G646" s="6"/>
    </row>
    <row r="647" spans="1:7">
      <c r="A647" s="14" t="s">
        <v>1198</v>
      </c>
      <c r="B647" s="15" t="str">
        <f>IFERROR(VLOOKUP(A647,#REF!,2,0)," ")</f>
        <v xml:space="preserve"> </v>
      </c>
      <c r="C647" s="20">
        <f>IFERROR(VLOOKUP(A647,#REF!,3,0),0)</f>
        <v>0</v>
      </c>
      <c r="D647" s="20">
        <f>IFERROR(VLOOKUP(A647,#REF!,4,0),0)</f>
        <v>0</v>
      </c>
      <c r="E647" s="5"/>
      <c r="G647" s="6"/>
    </row>
    <row r="648" spans="1:7">
      <c r="A648" s="14" t="s">
        <v>1205</v>
      </c>
      <c r="B648" s="15" t="str">
        <f>IFERROR(VLOOKUP(A648,#REF!,2,0)," ")</f>
        <v xml:space="preserve"> </v>
      </c>
      <c r="C648" s="20">
        <f>IFERROR(VLOOKUP(A648,#REF!,3,0),0)</f>
        <v>0</v>
      </c>
      <c r="D648" s="20">
        <f>IFERROR(VLOOKUP(A648,#REF!,4,0),0)</f>
        <v>0</v>
      </c>
      <c r="E648" s="5"/>
      <c r="G648" s="6"/>
    </row>
    <row r="649" spans="1:7">
      <c r="A649" s="14" t="s">
        <v>1473</v>
      </c>
      <c r="B649" s="15" t="str">
        <f>IFERROR(VLOOKUP(A649,#REF!,2,0)," ")</f>
        <v xml:space="preserve"> </v>
      </c>
      <c r="C649" s="20">
        <f>IFERROR(VLOOKUP(A649,#REF!,3,0),0)</f>
        <v>0</v>
      </c>
      <c r="D649" s="20">
        <f>IFERROR(VLOOKUP(A649,#REF!,4,0),0)</f>
        <v>0</v>
      </c>
      <c r="E649" s="5"/>
      <c r="G649" s="6"/>
    </row>
    <row r="650" spans="1:7">
      <c r="A650" s="14" t="s">
        <v>1445</v>
      </c>
      <c r="B650" s="15" t="str">
        <f>IFERROR(VLOOKUP(A650,#REF!,2,0)," ")</f>
        <v xml:space="preserve"> </v>
      </c>
      <c r="C650" s="20">
        <f>IFERROR(VLOOKUP(A650,#REF!,3,0),0)</f>
        <v>0</v>
      </c>
      <c r="D650" s="20">
        <f>IFERROR(VLOOKUP(A650,#REF!,4,0),0)</f>
        <v>0</v>
      </c>
      <c r="E650" s="5"/>
      <c r="G650" s="6"/>
    </row>
    <row r="651" spans="1:7">
      <c r="A651" s="14" t="s">
        <v>1487</v>
      </c>
      <c r="B651" s="15" t="str">
        <f>IFERROR(VLOOKUP(A651,#REF!,2,0)," ")</f>
        <v xml:space="preserve"> </v>
      </c>
      <c r="C651" s="20">
        <f>IFERROR(VLOOKUP(A651,#REF!,3,0),0)</f>
        <v>0</v>
      </c>
      <c r="D651" s="20">
        <f>IFERROR(VLOOKUP(A651,#REF!,4,0),0)</f>
        <v>0</v>
      </c>
      <c r="E651" s="5"/>
      <c r="G651" s="6"/>
    </row>
    <row r="652" spans="1:7">
      <c r="A652" s="14" t="s">
        <v>1419</v>
      </c>
      <c r="B652" s="15" t="str">
        <f>IFERROR(VLOOKUP(A652,#REF!,2,0)," ")</f>
        <v xml:space="preserve"> </v>
      </c>
      <c r="C652" s="20">
        <f>IFERROR(VLOOKUP(A652,#REF!,3,0),0)</f>
        <v>0</v>
      </c>
      <c r="D652" s="20">
        <f>IFERROR(VLOOKUP(A652,#REF!,4,0),0)</f>
        <v>0</v>
      </c>
      <c r="E652" s="5"/>
      <c r="G652" s="6"/>
    </row>
    <row r="653" spans="1:7">
      <c r="A653" s="14" t="s">
        <v>1437</v>
      </c>
      <c r="B653" s="15" t="str">
        <f>IFERROR(VLOOKUP(A653,#REF!,2,0)," ")</f>
        <v xml:space="preserve"> </v>
      </c>
      <c r="C653" s="20">
        <f>IFERROR(VLOOKUP(A653,#REF!,3,0),0)</f>
        <v>0</v>
      </c>
      <c r="D653" s="20">
        <f>IFERROR(VLOOKUP(A653,#REF!,4,0),0)</f>
        <v>0</v>
      </c>
      <c r="E653" s="5"/>
      <c r="G653" s="6"/>
    </row>
    <row r="654" spans="1:7">
      <c r="A654" s="14" t="s">
        <v>1472</v>
      </c>
      <c r="B654" s="15" t="str">
        <f>IFERROR(VLOOKUP(A654,#REF!,2,0)," ")</f>
        <v xml:space="preserve"> </v>
      </c>
      <c r="C654" s="20">
        <f>IFERROR(VLOOKUP(A654,#REF!,3,0),0)</f>
        <v>0</v>
      </c>
      <c r="D654" s="20">
        <f>IFERROR(VLOOKUP(A654,#REF!,4,0),0)</f>
        <v>0</v>
      </c>
      <c r="E654" s="5"/>
      <c r="G654" s="6"/>
    </row>
    <row r="655" spans="1:7">
      <c r="A655" s="14" t="s">
        <v>1470</v>
      </c>
      <c r="B655" s="15" t="str">
        <f>IFERROR(VLOOKUP(A655,#REF!,2,0)," ")</f>
        <v xml:space="preserve"> </v>
      </c>
      <c r="C655" s="20">
        <f>IFERROR(VLOOKUP(A655,#REF!,3,0),0)</f>
        <v>0</v>
      </c>
      <c r="D655" s="20">
        <f>IFERROR(VLOOKUP(A655,#REF!,4,0),0)</f>
        <v>0</v>
      </c>
      <c r="E655" s="5"/>
      <c r="G655" s="6"/>
    </row>
    <row r="656" spans="1:7">
      <c r="A656" s="14" t="s">
        <v>1444</v>
      </c>
      <c r="B656" s="15" t="str">
        <f>IFERROR(VLOOKUP(A656,#REF!,2,0)," ")</f>
        <v xml:space="preserve"> </v>
      </c>
      <c r="C656" s="20">
        <f>IFERROR(VLOOKUP(A656,#REF!,3,0),0)</f>
        <v>0</v>
      </c>
      <c r="D656" s="20">
        <f>IFERROR(VLOOKUP(A656,#REF!,4,0),0)</f>
        <v>0</v>
      </c>
      <c r="E656" s="5"/>
      <c r="G656" s="6"/>
    </row>
    <row r="657" spans="1:7">
      <c r="A657" s="14" t="s">
        <v>1414</v>
      </c>
      <c r="B657" s="15" t="str">
        <f>IFERROR(VLOOKUP(A657,#REF!,2,0)," ")</f>
        <v xml:space="preserve"> </v>
      </c>
      <c r="C657" s="20">
        <f>IFERROR(VLOOKUP(A657,#REF!,3,0),0)</f>
        <v>0</v>
      </c>
      <c r="D657" s="20">
        <f>IFERROR(VLOOKUP(A657,#REF!,4,0),0)</f>
        <v>0</v>
      </c>
      <c r="E657" s="5"/>
      <c r="G657" s="6"/>
    </row>
    <row r="658" spans="1:7">
      <c r="A658" s="14" t="s">
        <v>1415</v>
      </c>
      <c r="B658" s="15" t="str">
        <f>IFERROR(VLOOKUP(A658,#REF!,2,0)," ")</f>
        <v xml:space="preserve"> </v>
      </c>
      <c r="C658" s="20">
        <f>IFERROR(VLOOKUP(A658,#REF!,3,0),0)</f>
        <v>0</v>
      </c>
      <c r="D658" s="20">
        <f>IFERROR(VLOOKUP(A658,#REF!,4,0),0)</f>
        <v>0</v>
      </c>
      <c r="E658" s="5"/>
      <c r="G658" s="6"/>
    </row>
    <row r="659" spans="1:7">
      <c r="A659" s="14" t="s">
        <v>1400</v>
      </c>
      <c r="B659" s="15" t="str">
        <f>IFERROR(VLOOKUP(A659,#REF!,2,0)," ")</f>
        <v xml:space="preserve"> </v>
      </c>
      <c r="C659" s="20">
        <f>IFERROR(VLOOKUP(A659,#REF!,3,0),0)</f>
        <v>0</v>
      </c>
      <c r="D659" s="20">
        <f>IFERROR(VLOOKUP(A659,#REF!,4,0),0)</f>
        <v>0</v>
      </c>
      <c r="E659" s="5"/>
      <c r="G659" s="6"/>
    </row>
    <row r="660" spans="1:7">
      <c r="A660" s="14" t="s">
        <v>1434</v>
      </c>
      <c r="B660" s="15" t="str">
        <f>IFERROR(VLOOKUP(A660,#REF!,2,0)," ")</f>
        <v xml:space="preserve"> </v>
      </c>
      <c r="C660" s="20">
        <f>IFERROR(VLOOKUP(A660,#REF!,3,0),0)</f>
        <v>0</v>
      </c>
      <c r="D660" s="20">
        <f>IFERROR(VLOOKUP(A660,#REF!,4,0),0)</f>
        <v>0</v>
      </c>
      <c r="E660" s="5"/>
      <c r="G660" s="10"/>
    </row>
    <row r="661" spans="1:7">
      <c r="A661" s="14" t="s">
        <v>1478</v>
      </c>
      <c r="B661" s="15" t="str">
        <f>IFERROR(VLOOKUP(A661,#REF!,2,0)," ")</f>
        <v xml:space="preserve"> </v>
      </c>
      <c r="C661" s="20">
        <f>IFERROR(VLOOKUP(A661,#REF!,3,0),0)</f>
        <v>0</v>
      </c>
      <c r="D661" s="20">
        <f>IFERROR(VLOOKUP(A661,#REF!,4,0),0)</f>
        <v>0</v>
      </c>
      <c r="E661" s="5"/>
      <c r="G661" s="6"/>
    </row>
    <row r="662" spans="1:7">
      <c r="A662" s="14" t="s">
        <v>1447</v>
      </c>
      <c r="B662" s="15" t="str">
        <f>IFERROR(VLOOKUP(A662,#REF!,2,0)," ")</f>
        <v xml:space="preserve"> </v>
      </c>
      <c r="C662" s="20">
        <f>IFERROR(VLOOKUP(A662,#REF!,3,0),0)</f>
        <v>0</v>
      </c>
      <c r="D662" s="20">
        <f>IFERROR(VLOOKUP(A662,#REF!,4,0),0)</f>
        <v>0</v>
      </c>
      <c r="E662" s="5"/>
      <c r="G662" s="6"/>
    </row>
    <row r="663" spans="1:7">
      <c r="A663" s="14" t="s">
        <v>1441</v>
      </c>
      <c r="B663" s="15" t="str">
        <f>IFERROR(VLOOKUP(A663,#REF!,2,0)," ")</f>
        <v xml:space="preserve"> </v>
      </c>
      <c r="C663" s="20">
        <f>IFERROR(VLOOKUP(A663,#REF!,3,0),0)</f>
        <v>0</v>
      </c>
      <c r="D663" s="20">
        <f>IFERROR(VLOOKUP(A663,#REF!,4,0),0)</f>
        <v>0</v>
      </c>
      <c r="E663" s="5"/>
      <c r="G663" s="6"/>
    </row>
    <row r="664" spans="1:7">
      <c r="A664" s="14" t="s">
        <v>1449</v>
      </c>
      <c r="B664" s="15" t="str">
        <f>IFERROR(VLOOKUP(A664,#REF!,2,0)," ")</f>
        <v xml:space="preserve"> </v>
      </c>
      <c r="C664" s="20">
        <f>IFERROR(VLOOKUP(A664,#REF!,3,0),0)</f>
        <v>0</v>
      </c>
      <c r="D664" s="20">
        <f>IFERROR(VLOOKUP(A664,#REF!,4,0),0)</f>
        <v>0</v>
      </c>
      <c r="E664" s="5"/>
      <c r="G664" s="6"/>
    </row>
    <row r="665" spans="1:7">
      <c r="A665" s="14" t="s">
        <v>1433</v>
      </c>
      <c r="B665" s="15" t="str">
        <f>IFERROR(VLOOKUP(A665,#REF!,2,0)," ")</f>
        <v xml:space="preserve"> </v>
      </c>
      <c r="C665" s="20">
        <f>IFERROR(VLOOKUP(A665,#REF!,3,0),0)</f>
        <v>0</v>
      </c>
      <c r="D665" s="20">
        <f>IFERROR(VLOOKUP(A665,#REF!,4,0),0)</f>
        <v>0</v>
      </c>
      <c r="E665" s="5"/>
      <c r="G665" s="6"/>
    </row>
    <row r="666" spans="1:7">
      <c r="A666" s="14" t="s">
        <v>1429</v>
      </c>
      <c r="B666" s="15" t="str">
        <f>IFERROR(VLOOKUP(A666,#REF!,2,0)," ")</f>
        <v xml:space="preserve"> </v>
      </c>
      <c r="C666" s="20">
        <f>IFERROR(VLOOKUP(A666,#REF!,3,0),0)</f>
        <v>0</v>
      </c>
      <c r="D666" s="20">
        <f>IFERROR(VLOOKUP(A666,#REF!,4,0),0)</f>
        <v>0</v>
      </c>
      <c r="E666" s="5"/>
      <c r="G666" s="6"/>
    </row>
    <row r="667" spans="1:7">
      <c r="A667" s="14" t="s">
        <v>1462</v>
      </c>
      <c r="B667" s="15" t="str">
        <f>IFERROR(VLOOKUP(A667,#REF!,2,0)," ")</f>
        <v xml:space="preserve"> </v>
      </c>
      <c r="C667" s="20">
        <f>IFERROR(VLOOKUP(A667,#REF!,3,0),0)</f>
        <v>0</v>
      </c>
      <c r="D667" s="20">
        <f>IFERROR(VLOOKUP(A667,#REF!,4,0),0)</f>
        <v>0</v>
      </c>
      <c r="E667" s="5"/>
      <c r="G667" s="6"/>
    </row>
    <row r="668" spans="1:7">
      <c r="A668" s="14" t="s">
        <v>1461</v>
      </c>
      <c r="B668" s="15" t="str">
        <f>IFERROR(VLOOKUP(A668,#REF!,2,0)," ")</f>
        <v xml:space="preserve"> </v>
      </c>
      <c r="C668" s="20">
        <f>IFERROR(VLOOKUP(A668,#REF!,3,0),0)</f>
        <v>0</v>
      </c>
      <c r="D668" s="20">
        <f>IFERROR(VLOOKUP(A668,#REF!,4,0),0)</f>
        <v>0</v>
      </c>
      <c r="E668" s="5"/>
      <c r="G668" s="6"/>
    </row>
    <row r="669" spans="1:7">
      <c r="A669" s="14" t="s">
        <v>1460</v>
      </c>
      <c r="B669" s="15" t="str">
        <f>IFERROR(VLOOKUP(A669,#REF!,2,0)," ")</f>
        <v xml:space="preserve"> </v>
      </c>
      <c r="C669" s="20">
        <f>IFERROR(VLOOKUP(A669,#REF!,3,0),0)</f>
        <v>0</v>
      </c>
      <c r="D669" s="20">
        <f>IFERROR(VLOOKUP(A669,#REF!,4,0),0)</f>
        <v>0</v>
      </c>
      <c r="E669" s="5"/>
      <c r="G669" s="6"/>
    </row>
    <row r="670" spans="1:7">
      <c r="A670" s="14" t="s">
        <v>1463</v>
      </c>
      <c r="B670" s="15" t="str">
        <f>IFERROR(VLOOKUP(A670,#REF!,2,0)," ")</f>
        <v xml:space="preserve"> </v>
      </c>
      <c r="C670" s="20">
        <f>IFERROR(VLOOKUP(A670,#REF!,3,0),0)</f>
        <v>0</v>
      </c>
      <c r="D670" s="20">
        <f>IFERROR(VLOOKUP(A670,#REF!,4,0),0)</f>
        <v>0</v>
      </c>
      <c r="E670" s="8"/>
      <c r="F670" s="9"/>
      <c r="G670" s="6"/>
    </row>
    <row r="671" spans="1:7">
      <c r="A671" s="14" t="s">
        <v>1448</v>
      </c>
      <c r="B671" s="15" t="str">
        <f>IFERROR(VLOOKUP(A671,#REF!,2,0)," ")</f>
        <v xml:space="preserve"> </v>
      </c>
      <c r="C671" s="20">
        <f>IFERROR(VLOOKUP(A671,#REF!,3,0),0)</f>
        <v>0</v>
      </c>
      <c r="D671" s="20">
        <f>IFERROR(VLOOKUP(A671,#REF!,4,0),0)</f>
        <v>0</v>
      </c>
      <c r="E671" s="5"/>
      <c r="G671" s="6"/>
    </row>
    <row r="672" spans="1:7">
      <c r="A672" s="14" t="s">
        <v>1455</v>
      </c>
      <c r="B672" s="15" t="str">
        <f>IFERROR(VLOOKUP(A672,#REF!,2,0)," ")</f>
        <v xml:space="preserve"> </v>
      </c>
      <c r="C672" s="20">
        <f>IFERROR(VLOOKUP(A672,#REF!,3,0),0)</f>
        <v>0</v>
      </c>
      <c r="D672" s="20">
        <f>IFERROR(VLOOKUP(A672,#REF!,4,0),0)</f>
        <v>0</v>
      </c>
      <c r="E672" s="5"/>
      <c r="G672" s="6"/>
    </row>
    <row r="673" spans="1:7">
      <c r="A673" s="14" t="s">
        <v>1204</v>
      </c>
      <c r="B673" s="15" t="str">
        <f>IFERROR(VLOOKUP(A673,#REF!,2,0)," ")</f>
        <v xml:space="preserve"> </v>
      </c>
      <c r="C673" s="20">
        <f>IFERROR(VLOOKUP(A673,#REF!,3,0),0)</f>
        <v>0</v>
      </c>
      <c r="D673" s="20">
        <f>IFERROR(VLOOKUP(A673,#REF!,4,0),0)</f>
        <v>0</v>
      </c>
      <c r="E673" s="5"/>
      <c r="G673" s="6"/>
    </row>
    <row r="674" spans="1:7">
      <c r="A674" s="14" t="s">
        <v>1431</v>
      </c>
      <c r="B674" s="15" t="str">
        <f>IFERROR(VLOOKUP(A674,#REF!,2,0)," ")</f>
        <v xml:space="preserve"> </v>
      </c>
      <c r="C674" s="20">
        <f>IFERROR(VLOOKUP(A674,#REF!,3,0),0)</f>
        <v>0</v>
      </c>
      <c r="D674" s="20">
        <f>IFERROR(VLOOKUP(A674,#REF!,4,0),0)</f>
        <v>0</v>
      </c>
      <c r="E674" s="5"/>
      <c r="G674" s="6"/>
    </row>
    <row r="675" spans="1:7">
      <c r="A675" s="14" t="s">
        <v>1454</v>
      </c>
      <c r="B675" s="15" t="str">
        <f>IFERROR(VLOOKUP(A675,#REF!,2,0)," ")</f>
        <v xml:space="preserve"> </v>
      </c>
      <c r="C675" s="20">
        <f>IFERROR(VLOOKUP(A675,#REF!,3,0),0)</f>
        <v>0</v>
      </c>
      <c r="D675" s="20">
        <f>IFERROR(VLOOKUP(A675,#REF!,4,0),0)</f>
        <v>0</v>
      </c>
      <c r="E675" s="5"/>
      <c r="G675" s="6"/>
    </row>
    <row r="676" spans="1:7">
      <c r="A676" s="14" t="s">
        <v>1201</v>
      </c>
      <c r="B676" s="15" t="str">
        <f>IFERROR(VLOOKUP(A676,#REF!,2,0)," ")</f>
        <v xml:space="preserve"> </v>
      </c>
      <c r="C676" s="20">
        <f>IFERROR(VLOOKUP(A676,#REF!,3,0),0)</f>
        <v>0</v>
      </c>
      <c r="D676" s="20">
        <f>IFERROR(VLOOKUP(A676,#REF!,4,0),0)</f>
        <v>0</v>
      </c>
      <c r="E676" s="5"/>
      <c r="G676" s="6"/>
    </row>
    <row r="677" spans="1:7">
      <c r="A677" s="14" t="s">
        <v>1422</v>
      </c>
      <c r="B677" s="15" t="str">
        <f>IFERROR(VLOOKUP(A677,#REF!,2,0)," ")</f>
        <v xml:space="preserve"> </v>
      </c>
      <c r="C677" s="20">
        <f>IFERROR(VLOOKUP(A677,#REF!,3,0),0)</f>
        <v>0</v>
      </c>
      <c r="D677" s="20">
        <f>IFERROR(VLOOKUP(A677,#REF!,4,0),0)</f>
        <v>0</v>
      </c>
      <c r="E677" s="5"/>
      <c r="G677" s="6"/>
    </row>
    <row r="678" spans="1:7">
      <c r="A678" s="14" t="s">
        <v>1427</v>
      </c>
      <c r="B678" s="15" t="str">
        <f>IFERROR(VLOOKUP(A678,#REF!,2,0)," ")</f>
        <v xml:space="preserve"> </v>
      </c>
      <c r="C678" s="20">
        <f>IFERROR(VLOOKUP(A678,#REF!,3,0),0)</f>
        <v>0</v>
      </c>
      <c r="D678" s="20">
        <f>IFERROR(VLOOKUP(A678,#REF!,4,0),0)</f>
        <v>0</v>
      </c>
      <c r="E678" s="5"/>
      <c r="G678" s="6"/>
    </row>
    <row r="679" spans="1:7">
      <c r="A679" s="14" t="s">
        <v>1413</v>
      </c>
      <c r="B679" s="15" t="str">
        <f>IFERROR(VLOOKUP(A679,#REF!,2,0)," ")</f>
        <v xml:space="preserve"> </v>
      </c>
      <c r="C679" s="20">
        <f>IFERROR(VLOOKUP(A679,#REF!,3,0),0)</f>
        <v>0</v>
      </c>
      <c r="D679" s="20">
        <f>IFERROR(VLOOKUP(A679,#REF!,4,0),0)</f>
        <v>0</v>
      </c>
      <c r="E679" s="5"/>
      <c r="G679" s="6"/>
    </row>
    <row r="680" spans="1:7">
      <c r="A680" s="14" t="s">
        <v>348</v>
      </c>
      <c r="B680" s="15" t="str">
        <f>IFERROR(VLOOKUP(A680,#REF!,2,0)," ")</f>
        <v xml:space="preserve"> </v>
      </c>
      <c r="C680" s="20">
        <f>IFERROR(VLOOKUP(A680,#REF!,3,0),0)</f>
        <v>0</v>
      </c>
      <c r="D680" s="20">
        <f>IFERROR(VLOOKUP(A680,#REF!,4,0),0)</f>
        <v>0</v>
      </c>
      <c r="E680" s="5"/>
      <c r="G680" s="6"/>
    </row>
    <row r="681" spans="1:7">
      <c r="A681" s="14" t="s">
        <v>349</v>
      </c>
      <c r="B681" s="15" t="str">
        <f>IFERROR(VLOOKUP(A681,#REF!,2,0)," ")</f>
        <v xml:space="preserve"> </v>
      </c>
      <c r="C681" s="20">
        <f>IFERROR(VLOOKUP(A681,#REF!,3,0),0)</f>
        <v>0</v>
      </c>
      <c r="D681" s="20">
        <f>IFERROR(VLOOKUP(A681,#REF!,4,0),0)</f>
        <v>0</v>
      </c>
      <c r="E681" s="5"/>
      <c r="G681" s="6"/>
    </row>
    <row r="682" spans="1:7">
      <c r="A682" s="14" t="s">
        <v>350</v>
      </c>
      <c r="B682" s="15" t="str">
        <f>IFERROR(VLOOKUP(A682,#REF!,2,0)," ")</f>
        <v xml:space="preserve"> </v>
      </c>
      <c r="C682" s="20">
        <f>IFERROR(VLOOKUP(A682,#REF!,3,0),0)</f>
        <v>0</v>
      </c>
      <c r="D682" s="20">
        <f>IFERROR(VLOOKUP(A682,#REF!,4,0),0)</f>
        <v>0</v>
      </c>
      <c r="E682" s="5"/>
      <c r="G682" s="6"/>
    </row>
    <row r="683" spans="1:7">
      <c r="A683" s="14" t="s">
        <v>351</v>
      </c>
      <c r="B683" s="15" t="str">
        <f>IFERROR(VLOOKUP(A683,#REF!,2,0)," ")</f>
        <v xml:space="preserve"> </v>
      </c>
      <c r="C683" s="20">
        <f>IFERROR(VLOOKUP(A683,#REF!,3,0),0)</f>
        <v>0</v>
      </c>
      <c r="D683" s="20">
        <f>IFERROR(VLOOKUP(A683,#REF!,4,0),0)</f>
        <v>0</v>
      </c>
      <c r="E683" s="5"/>
      <c r="G683" s="6"/>
    </row>
    <row r="684" spans="1:7">
      <c r="A684" s="14" t="s">
        <v>1401</v>
      </c>
      <c r="B684" s="15" t="str">
        <f>IFERROR(VLOOKUP(A684,#REF!,2,0)," ")</f>
        <v xml:space="preserve"> </v>
      </c>
      <c r="C684" s="20">
        <f>IFERROR(VLOOKUP(A684,#REF!,3,0),0)</f>
        <v>0</v>
      </c>
      <c r="D684" s="20">
        <f>IFERROR(VLOOKUP(A684,#REF!,4,0),0)</f>
        <v>0</v>
      </c>
      <c r="E684" s="5"/>
      <c r="G684" s="6"/>
    </row>
    <row r="685" spans="1:7">
      <c r="A685" s="14" t="s">
        <v>961</v>
      </c>
      <c r="B685" s="15" t="str">
        <f>IFERROR(VLOOKUP(A685,#REF!,2,0)," ")</f>
        <v xml:space="preserve"> </v>
      </c>
      <c r="C685" s="20">
        <f>IFERROR(VLOOKUP(A685,#REF!,3,0),0)</f>
        <v>0</v>
      </c>
      <c r="D685" s="20">
        <f>IFERROR(VLOOKUP(A685,#REF!,4,0),0)</f>
        <v>0</v>
      </c>
      <c r="E685" s="5"/>
      <c r="G685" s="6"/>
    </row>
    <row r="686" spans="1:7">
      <c r="A686" s="14" t="s">
        <v>1446</v>
      </c>
      <c r="B686" s="15" t="str">
        <f>IFERROR(VLOOKUP(A686,#REF!,2,0)," ")</f>
        <v xml:space="preserve"> </v>
      </c>
      <c r="C686" s="20">
        <f>IFERROR(VLOOKUP(A686,#REF!,3,0),0)</f>
        <v>0</v>
      </c>
      <c r="D686" s="20">
        <f>IFERROR(VLOOKUP(A686,#REF!,4,0),0)</f>
        <v>0</v>
      </c>
      <c r="E686" s="5"/>
      <c r="G686" s="6"/>
    </row>
    <row r="687" spans="1:7">
      <c r="A687" s="14" t="s">
        <v>1402</v>
      </c>
      <c r="B687" s="15" t="str">
        <f>IFERROR(VLOOKUP(A687,#REF!,2,0)," ")</f>
        <v xml:space="preserve"> </v>
      </c>
      <c r="C687" s="20">
        <f>IFERROR(VLOOKUP(A687,#REF!,3,0),0)</f>
        <v>0</v>
      </c>
      <c r="D687" s="20">
        <f>IFERROR(VLOOKUP(A687,#REF!,4,0),0)</f>
        <v>0</v>
      </c>
      <c r="E687" s="5"/>
      <c r="G687" s="6"/>
    </row>
    <row r="688" spans="1:7">
      <c r="A688" s="14" t="s">
        <v>1416</v>
      </c>
      <c r="B688" s="15" t="str">
        <f>IFERROR(VLOOKUP(A688,#REF!,2,0)," ")</f>
        <v xml:space="preserve"> </v>
      </c>
      <c r="C688" s="20">
        <f>IFERROR(VLOOKUP(A688,#REF!,3,0),0)</f>
        <v>0</v>
      </c>
      <c r="D688" s="20">
        <f>IFERROR(VLOOKUP(A688,#REF!,4,0),0)</f>
        <v>0</v>
      </c>
      <c r="E688" s="5"/>
      <c r="G688" s="6"/>
    </row>
    <row r="689" spans="1:7">
      <c r="A689" s="14" t="s">
        <v>1475</v>
      </c>
      <c r="B689" s="15" t="str">
        <f>IFERROR(VLOOKUP(A689,#REF!,2,0)," ")</f>
        <v xml:space="preserve"> </v>
      </c>
      <c r="C689" s="20">
        <f>IFERROR(VLOOKUP(A689,#REF!,3,0),0)</f>
        <v>0</v>
      </c>
      <c r="D689" s="20">
        <f>IFERROR(VLOOKUP(A689,#REF!,4,0),0)</f>
        <v>0</v>
      </c>
      <c r="E689" s="5"/>
      <c r="G689" s="6"/>
    </row>
    <row r="690" spans="1:7">
      <c r="A690" s="14" t="s">
        <v>1456</v>
      </c>
      <c r="B690" s="15" t="str">
        <f>IFERROR(VLOOKUP(A690,#REF!,2,0)," ")</f>
        <v xml:space="preserve"> </v>
      </c>
      <c r="C690" s="20">
        <f>IFERROR(VLOOKUP(A690,#REF!,3,0),0)</f>
        <v>0</v>
      </c>
      <c r="D690" s="20">
        <f>IFERROR(VLOOKUP(A690,#REF!,4,0),0)</f>
        <v>0</v>
      </c>
      <c r="E690" s="5"/>
      <c r="G690" s="6"/>
    </row>
    <row r="691" spans="1:7">
      <c r="A691" s="14" t="s">
        <v>1479</v>
      </c>
      <c r="B691" s="15" t="str">
        <f>IFERROR(VLOOKUP(A691,#REF!,2,0)," ")</f>
        <v xml:space="preserve"> </v>
      </c>
      <c r="C691" s="20">
        <f>IFERROR(VLOOKUP(A691,#REF!,3,0),0)</f>
        <v>0</v>
      </c>
      <c r="D691" s="20">
        <f>IFERROR(VLOOKUP(A691,#REF!,4,0),0)</f>
        <v>0</v>
      </c>
      <c r="E691" s="5"/>
      <c r="G691" s="6"/>
    </row>
    <row r="692" spans="1:7">
      <c r="A692" s="14" t="s">
        <v>1226</v>
      </c>
      <c r="B692" s="15" t="str">
        <f>IFERROR(VLOOKUP(A692,#REF!,2,0)," ")</f>
        <v xml:space="preserve"> </v>
      </c>
      <c r="C692" s="20">
        <f>IFERROR(VLOOKUP(A692,#REF!,3,0),0)</f>
        <v>0</v>
      </c>
      <c r="D692" s="20">
        <f>IFERROR(VLOOKUP(A692,#REF!,4,0),0)</f>
        <v>0</v>
      </c>
      <c r="E692" s="5"/>
      <c r="G692" s="6"/>
    </row>
    <row r="693" spans="1:7">
      <c r="A693" s="14" t="s">
        <v>1227</v>
      </c>
      <c r="B693" s="15" t="str">
        <f>IFERROR(VLOOKUP(A693,#REF!,2,0)," ")</f>
        <v xml:space="preserve"> </v>
      </c>
      <c r="C693" s="20">
        <f>IFERROR(VLOOKUP(A693,#REF!,3,0),0)</f>
        <v>0</v>
      </c>
      <c r="D693" s="20">
        <f>IFERROR(VLOOKUP(A693,#REF!,4,0),0)</f>
        <v>0</v>
      </c>
      <c r="E693" s="5"/>
      <c r="G693" s="6"/>
    </row>
    <row r="694" spans="1:7">
      <c r="A694" s="14" t="s">
        <v>1412</v>
      </c>
      <c r="B694" s="15" t="str">
        <f>IFERROR(VLOOKUP(A694,#REF!,2,0)," ")</f>
        <v xml:space="preserve"> </v>
      </c>
      <c r="C694" s="20">
        <f>IFERROR(VLOOKUP(A694,#REF!,3,0),0)</f>
        <v>0</v>
      </c>
      <c r="D694" s="20">
        <f>IFERROR(VLOOKUP(A694,#REF!,4,0),0)</f>
        <v>0</v>
      </c>
      <c r="E694" s="5"/>
      <c r="G694" s="6"/>
    </row>
    <row r="695" spans="1:7">
      <c r="A695" s="14" t="s">
        <v>364</v>
      </c>
      <c r="B695" s="15" t="str">
        <f>IFERROR(VLOOKUP(A695,#REF!,2,0)," ")</f>
        <v xml:space="preserve"> </v>
      </c>
      <c r="C695" s="20">
        <f>IFERROR(VLOOKUP(A695,#REF!,3,0),0)</f>
        <v>0</v>
      </c>
      <c r="D695" s="20">
        <f>IFERROR(VLOOKUP(A695,#REF!,4,0),0)</f>
        <v>0</v>
      </c>
      <c r="E695" s="5"/>
      <c r="G695" s="6"/>
    </row>
    <row r="696" spans="1:7">
      <c r="A696" s="14" t="s">
        <v>1228</v>
      </c>
      <c r="B696" s="15" t="str">
        <f>IFERROR(VLOOKUP(A696,#REF!,2,0)," ")</f>
        <v xml:space="preserve"> </v>
      </c>
      <c r="C696" s="20">
        <f>IFERROR(VLOOKUP(A696,#REF!,3,0),0)</f>
        <v>0</v>
      </c>
      <c r="D696" s="20">
        <f>IFERROR(VLOOKUP(A696,#REF!,4,0),0)</f>
        <v>0</v>
      </c>
      <c r="E696" s="5"/>
      <c r="G696" s="6"/>
    </row>
    <row r="697" spans="1:7">
      <c r="A697" s="14" t="s">
        <v>1407</v>
      </c>
      <c r="B697" s="15" t="str">
        <f>IFERROR(VLOOKUP(A697,#REF!,2,0)," ")</f>
        <v xml:space="preserve"> </v>
      </c>
      <c r="C697" s="20">
        <f>IFERROR(VLOOKUP(A697,#REF!,3,0),0)</f>
        <v>0</v>
      </c>
      <c r="D697" s="20">
        <f>IFERROR(VLOOKUP(A697,#REF!,4,0),0)</f>
        <v>0</v>
      </c>
      <c r="E697" s="5"/>
      <c r="G697" s="6"/>
    </row>
    <row r="698" spans="1:7">
      <c r="A698" s="14" t="s">
        <v>1421</v>
      </c>
      <c r="B698" s="15" t="str">
        <f>IFERROR(VLOOKUP(A698,#REF!,2,0)," ")</f>
        <v xml:space="preserve"> </v>
      </c>
      <c r="C698" s="20">
        <f>IFERROR(VLOOKUP(A698,#REF!,3,0),0)</f>
        <v>0</v>
      </c>
      <c r="D698" s="20">
        <f>IFERROR(VLOOKUP(A698,#REF!,4,0),0)</f>
        <v>0</v>
      </c>
      <c r="E698" s="5"/>
      <c r="G698" s="6"/>
    </row>
    <row r="699" spans="1:7">
      <c r="A699" s="14" t="s">
        <v>345</v>
      </c>
      <c r="B699" s="15" t="str">
        <f>IFERROR(VLOOKUP(A699,#REF!,2,0)," ")</f>
        <v xml:space="preserve"> </v>
      </c>
      <c r="C699" s="20">
        <f>IFERROR(VLOOKUP(A699,#REF!,3,0),0)</f>
        <v>0</v>
      </c>
      <c r="D699" s="20">
        <f>IFERROR(VLOOKUP(A699,#REF!,4,0),0)</f>
        <v>0</v>
      </c>
      <c r="E699" s="5"/>
      <c r="G699" s="6"/>
    </row>
    <row r="700" spans="1:7">
      <c r="A700" s="14" t="s">
        <v>346</v>
      </c>
      <c r="B700" s="15" t="str">
        <f>IFERROR(VLOOKUP(A700,#REF!,2,0)," ")</f>
        <v xml:space="preserve"> </v>
      </c>
      <c r="C700" s="20">
        <f>IFERROR(VLOOKUP(A700,#REF!,3,0),0)</f>
        <v>0</v>
      </c>
      <c r="D700" s="20">
        <f>IFERROR(VLOOKUP(A700,#REF!,4,0),0)</f>
        <v>0</v>
      </c>
      <c r="E700" s="5"/>
      <c r="G700" s="6"/>
    </row>
    <row r="701" spans="1:7">
      <c r="A701" s="14" t="s">
        <v>1508</v>
      </c>
      <c r="B701" s="15" t="str">
        <f>IFERROR(VLOOKUP(A701,#REF!,2,0)," ")</f>
        <v xml:space="preserve"> </v>
      </c>
      <c r="C701" s="20">
        <f>IFERROR(VLOOKUP(A701,#REF!,3,0),0)</f>
        <v>0</v>
      </c>
      <c r="D701" s="20">
        <f>IFERROR(VLOOKUP(A701,#REF!,4,0),0)</f>
        <v>0</v>
      </c>
      <c r="E701" s="5"/>
      <c r="G701" s="6"/>
    </row>
    <row r="702" spans="1:7">
      <c r="A702" s="14" t="s">
        <v>1515</v>
      </c>
      <c r="B702" s="15" t="str">
        <f>IFERROR(VLOOKUP(A702,#REF!,2,0)," ")</f>
        <v xml:space="preserve"> </v>
      </c>
      <c r="C702" s="20">
        <f>IFERROR(VLOOKUP(A702,#REF!,3,0),0)</f>
        <v>0</v>
      </c>
      <c r="D702" s="20">
        <f>IFERROR(VLOOKUP(A702,#REF!,4,0),0)</f>
        <v>0</v>
      </c>
    </row>
    <row r="703" spans="1:7">
      <c r="A703" s="14" t="s">
        <v>1410</v>
      </c>
      <c r="B703" s="15" t="str">
        <f>IFERROR(VLOOKUP(A703,#REF!,2,0)," ")</f>
        <v xml:space="preserve"> </v>
      </c>
      <c r="C703" s="20">
        <f>IFERROR(VLOOKUP(A703,#REF!,3,0),0)</f>
        <v>0</v>
      </c>
      <c r="D703" s="20">
        <f>IFERROR(VLOOKUP(A703,#REF!,4,0),0)</f>
        <v>0</v>
      </c>
      <c r="E703" s="5"/>
      <c r="G703" s="6"/>
    </row>
    <row r="704" spans="1:7">
      <c r="A704" s="14" t="s">
        <v>1411</v>
      </c>
      <c r="B704" s="15" t="str">
        <f>IFERROR(VLOOKUP(A704,#REF!,2,0)," ")</f>
        <v xml:space="preserve"> </v>
      </c>
      <c r="C704" s="20">
        <f>IFERROR(VLOOKUP(A704,#REF!,3,0),0)</f>
        <v>0</v>
      </c>
      <c r="D704" s="20">
        <f>IFERROR(VLOOKUP(A704,#REF!,4,0),0)</f>
        <v>0</v>
      </c>
      <c r="E704" s="5"/>
      <c r="G704" s="6"/>
    </row>
    <row r="705" spans="1:7">
      <c r="A705" s="14" t="s">
        <v>1260</v>
      </c>
      <c r="B705" s="15" t="str">
        <f>IFERROR(VLOOKUP(A705,#REF!,2,0)," ")</f>
        <v xml:space="preserve"> </v>
      </c>
      <c r="C705" s="20">
        <f>IFERROR(VLOOKUP(A705,#REF!,3,0),0)</f>
        <v>0</v>
      </c>
      <c r="D705" s="20">
        <f>IFERROR(VLOOKUP(A705,#REF!,4,0),0)</f>
        <v>0</v>
      </c>
      <c r="E705" s="5"/>
      <c r="G705" s="6"/>
    </row>
    <row r="706" spans="1:7">
      <c r="A706" s="14" t="s">
        <v>71</v>
      </c>
      <c r="B706" s="15" t="str">
        <f>IFERROR(VLOOKUP(A706,#REF!,2,0)," ")</f>
        <v xml:space="preserve"> </v>
      </c>
      <c r="C706" s="20">
        <f>IFERROR(VLOOKUP(A706,#REF!,3,0),0)</f>
        <v>0</v>
      </c>
      <c r="D706" s="20">
        <f>IFERROR(VLOOKUP(A706,#REF!,4,0),0)</f>
        <v>0</v>
      </c>
      <c r="E706" s="5"/>
      <c r="G706" s="6"/>
    </row>
    <row r="707" spans="1:7">
      <c r="A707" s="14" t="s">
        <v>1488</v>
      </c>
      <c r="B707" s="15" t="str">
        <f>IFERROR(VLOOKUP(A707,#REF!,2,0)," ")</f>
        <v xml:space="preserve"> </v>
      </c>
      <c r="C707" s="20">
        <f>IFERROR(VLOOKUP(A707,#REF!,3,0),0)</f>
        <v>0</v>
      </c>
      <c r="D707" s="20">
        <f>IFERROR(VLOOKUP(A707,#REF!,4,0),0)</f>
        <v>0</v>
      </c>
      <c r="E707" s="5"/>
      <c r="G707" s="6"/>
    </row>
    <row r="708" spans="1:7">
      <c r="A708" s="14" t="s">
        <v>1425</v>
      </c>
      <c r="B708" s="15" t="str">
        <f>IFERROR(VLOOKUP(A708,#REF!,2,0)," ")</f>
        <v xml:space="preserve"> </v>
      </c>
      <c r="C708" s="20">
        <f>IFERROR(VLOOKUP(A708,#REF!,3,0),0)</f>
        <v>0</v>
      </c>
      <c r="D708" s="20">
        <f>IFERROR(VLOOKUP(A708,#REF!,4,0),0)</f>
        <v>0</v>
      </c>
      <c r="E708" s="5"/>
      <c r="G708" s="6"/>
    </row>
    <row r="709" spans="1:7">
      <c r="A709" s="14" t="s">
        <v>1468</v>
      </c>
      <c r="B709" s="15" t="str">
        <f>IFERROR(VLOOKUP(A709,#REF!,2,0)," ")</f>
        <v xml:space="preserve"> </v>
      </c>
      <c r="C709" s="20">
        <f>IFERROR(VLOOKUP(A709,#REF!,3,0),0)</f>
        <v>0</v>
      </c>
      <c r="D709" s="20">
        <f>IFERROR(VLOOKUP(A709,#REF!,4,0),0)</f>
        <v>0</v>
      </c>
      <c r="E709" s="5"/>
      <c r="G709" s="6"/>
    </row>
    <row r="710" spans="1:7">
      <c r="A710" s="14" t="s">
        <v>1420</v>
      </c>
      <c r="B710" s="15" t="str">
        <f>IFERROR(VLOOKUP(A710,#REF!,2,0)," ")</f>
        <v xml:space="preserve"> </v>
      </c>
      <c r="C710" s="20">
        <f>IFERROR(VLOOKUP(A710,#REF!,3,0),0)</f>
        <v>0</v>
      </c>
      <c r="D710" s="20">
        <f>IFERROR(VLOOKUP(A710,#REF!,4,0),0)</f>
        <v>0</v>
      </c>
      <c r="E710" s="5"/>
      <c r="G710" s="6"/>
    </row>
    <row r="711" spans="1:7">
      <c r="A711" s="14" t="s">
        <v>1428</v>
      </c>
      <c r="B711" s="15" t="str">
        <f>IFERROR(VLOOKUP(A711,#REF!,2,0)," ")</f>
        <v xml:space="preserve"> </v>
      </c>
      <c r="C711" s="20">
        <f>IFERROR(VLOOKUP(A711,#REF!,3,0),0)</f>
        <v>0</v>
      </c>
      <c r="D711" s="20">
        <f>IFERROR(VLOOKUP(A711,#REF!,4,0),0)</f>
        <v>0</v>
      </c>
      <c r="E711" s="5"/>
      <c r="G711" s="6"/>
    </row>
    <row r="712" spans="1:7">
      <c r="A712" s="14" t="s">
        <v>1464</v>
      </c>
      <c r="B712" s="15" t="str">
        <f>IFERROR(VLOOKUP(A712,#REF!,2,0)," ")</f>
        <v xml:space="preserve"> </v>
      </c>
      <c r="C712" s="20">
        <f>IFERROR(VLOOKUP(A712,#REF!,3,0),0)</f>
        <v>0</v>
      </c>
      <c r="D712" s="20">
        <f>IFERROR(VLOOKUP(A712,#REF!,4,0),0)</f>
        <v>0</v>
      </c>
      <c r="E712" s="5"/>
      <c r="G712" s="6"/>
    </row>
    <row r="713" spans="1:7">
      <c r="A713" s="14" t="s">
        <v>1458</v>
      </c>
      <c r="B713" s="15" t="str">
        <f>IFERROR(VLOOKUP(A713,#REF!,2,0)," ")</f>
        <v xml:space="preserve"> </v>
      </c>
      <c r="C713" s="20">
        <f>IFERROR(VLOOKUP(A713,#REF!,3,0),0)</f>
        <v>0</v>
      </c>
      <c r="D713" s="20">
        <f>IFERROR(VLOOKUP(A713,#REF!,4,0),0)</f>
        <v>0</v>
      </c>
      <c r="E713" s="5"/>
      <c r="G713" s="6"/>
    </row>
    <row r="714" spans="1:7">
      <c r="A714" s="14" t="s">
        <v>1457</v>
      </c>
      <c r="B714" s="15" t="str">
        <f>IFERROR(VLOOKUP(A714,#REF!,2,0)," ")</f>
        <v xml:space="preserve"> </v>
      </c>
      <c r="C714" s="20">
        <f>IFERROR(VLOOKUP(A714,#REF!,3,0),0)</f>
        <v>0</v>
      </c>
      <c r="D714" s="20">
        <f>IFERROR(VLOOKUP(A714,#REF!,4,0),0)</f>
        <v>0</v>
      </c>
      <c r="E714" s="5"/>
      <c r="G714" s="6"/>
    </row>
    <row r="715" spans="1:7">
      <c r="A715" s="14" t="s">
        <v>1450</v>
      </c>
      <c r="B715" s="15" t="str">
        <f>IFERROR(VLOOKUP(A715,#REF!,2,0)," ")</f>
        <v xml:space="preserve"> </v>
      </c>
      <c r="C715" s="20">
        <f>IFERROR(VLOOKUP(A715,#REF!,3,0),0)</f>
        <v>0</v>
      </c>
      <c r="D715" s="20">
        <f>IFERROR(VLOOKUP(A715,#REF!,4,0),0)</f>
        <v>0</v>
      </c>
      <c r="E715" s="5"/>
      <c r="G715" s="6"/>
    </row>
    <row r="716" spans="1:7">
      <c r="A716" s="14" t="s">
        <v>1465</v>
      </c>
      <c r="B716" s="15" t="str">
        <f>IFERROR(VLOOKUP(A716,#REF!,2,0)," ")</f>
        <v xml:space="preserve"> </v>
      </c>
      <c r="C716" s="20">
        <f>IFERROR(VLOOKUP(A716,#REF!,3,0),0)</f>
        <v>0</v>
      </c>
      <c r="D716" s="20">
        <f>IFERROR(VLOOKUP(A716,#REF!,4,0),0)</f>
        <v>0</v>
      </c>
      <c r="E716" s="5"/>
      <c r="G716" s="6"/>
    </row>
    <row r="717" spans="1:7">
      <c r="A717" s="14" t="s">
        <v>1442</v>
      </c>
      <c r="B717" s="15" t="str">
        <f>IFERROR(VLOOKUP(A717,#REF!,2,0)," ")</f>
        <v xml:space="preserve"> </v>
      </c>
      <c r="C717" s="20">
        <f>IFERROR(VLOOKUP(A717,#REF!,3,0),0)</f>
        <v>0</v>
      </c>
      <c r="D717" s="20">
        <f>IFERROR(VLOOKUP(A717,#REF!,4,0),0)</f>
        <v>0</v>
      </c>
      <c r="E717" s="5"/>
      <c r="G717" s="6"/>
    </row>
    <row r="718" spans="1:7">
      <c r="A718" s="14" t="s">
        <v>1453</v>
      </c>
      <c r="B718" s="15" t="str">
        <f>IFERROR(VLOOKUP(A718,#REF!,2,0)," ")</f>
        <v xml:space="preserve"> </v>
      </c>
      <c r="C718" s="20">
        <f>IFERROR(VLOOKUP(A718,#REF!,3,0),0)</f>
        <v>0</v>
      </c>
      <c r="D718" s="20">
        <f>IFERROR(VLOOKUP(A718,#REF!,4,0),0)</f>
        <v>0</v>
      </c>
      <c r="E718" s="5"/>
      <c r="G718" s="6"/>
    </row>
    <row r="719" spans="1:7" customFormat="1">
      <c r="A719" s="14" t="s">
        <v>1474</v>
      </c>
      <c r="B719" s="15" t="str">
        <f>IFERROR(VLOOKUP(A719,#REF!,2,0)," ")</f>
        <v xml:space="preserve"> </v>
      </c>
      <c r="C719" s="20">
        <f>IFERROR(VLOOKUP(A719,#REF!,3,0),0)</f>
        <v>0</v>
      </c>
      <c r="D719" s="20">
        <f>IFERROR(VLOOKUP(A719,#REF!,4,0),0)</f>
        <v>0</v>
      </c>
      <c r="F719" s="7"/>
    </row>
    <row r="720" spans="1:7">
      <c r="A720" s="14" t="s">
        <v>1466</v>
      </c>
      <c r="B720" s="15" t="str">
        <f>IFERROR(VLOOKUP(A720,#REF!,2,0)," ")</f>
        <v xml:space="preserve"> </v>
      </c>
      <c r="C720" s="20">
        <f>IFERROR(VLOOKUP(A720,#REF!,3,0),0)</f>
        <v>0</v>
      </c>
      <c r="D720" s="20">
        <f>IFERROR(VLOOKUP(A720,#REF!,4,0),0)</f>
        <v>0</v>
      </c>
      <c r="E720" s="5"/>
      <c r="G720" s="6"/>
    </row>
    <row r="721" spans="1:7">
      <c r="A721" s="14" t="s">
        <v>1430</v>
      </c>
      <c r="B721" s="15" t="str">
        <f>IFERROR(VLOOKUP(A721,#REF!,2,0)," ")</f>
        <v xml:space="preserve"> </v>
      </c>
      <c r="C721" s="20">
        <f>IFERROR(VLOOKUP(A721,#REF!,3,0),0)</f>
        <v>0</v>
      </c>
      <c r="D721" s="20">
        <f>IFERROR(VLOOKUP(A721,#REF!,4,0),0)</f>
        <v>0</v>
      </c>
      <c r="E721" s="5"/>
      <c r="G721" s="6"/>
    </row>
    <row r="722" spans="1:7" customFormat="1">
      <c r="A722" s="14" t="s">
        <v>1426</v>
      </c>
      <c r="B722" s="15" t="str">
        <f>IFERROR(VLOOKUP(A722,#REF!,2,0)," ")</f>
        <v xml:space="preserve"> </v>
      </c>
      <c r="C722" s="20">
        <f>IFERROR(VLOOKUP(A722,#REF!,3,0),0)</f>
        <v>0</v>
      </c>
      <c r="D722" s="20">
        <f>IFERROR(VLOOKUP(A722,#REF!,4,0),0)</f>
        <v>0</v>
      </c>
      <c r="F722" s="7"/>
    </row>
    <row r="723" spans="1:7">
      <c r="A723" s="14" t="s">
        <v>1443</v>
      </c>
      <c r="B723" s="15" t="str">
        <f>IFERROR(VLOOKUP(A723,#REF!,2,0)," ")</f>
        <v xml:space="preserve"> </v>
      </c>
      <c r="C723" s="20">
        <f>IFERROR(VLOOKUP(A723,#REF!,3,0),0)</f>
        <v>0</v>
      </c>
      <c r="D723" s="20">
        <f>IFERROR(VLOOKUP(A723,#REF!,4,0),0)</f>
        <v>0</v>
      </c>
      <c r="E723" s="5"/>
      <c r="G723" s="6"/>
    </row>
    <row r="724" spans="1:7" ht="14.25" customHeight="1">
      <c r="A724" s="14" t="s">
        <v>1202</v>
      </c>
      <c r="B724" s="15" t="str">
        <f>IFERROR(VLOOKUP(A724,#REF!,2,0)," ")</f>
        <v xml:space="preserve"> </v>
      </c>
      <c r="C724" s="20">
        <f>IFERROR(VLOOKUP(A724,#REF!,3,0),0)</f>
        <v>0</v>
      </c>
      <c r="D724" s="20">
        <f>IFERROR(VLOOKUP(A724,#REF!,4,0),0)</f>
        <v>0</v>
      </c>
      <c r="E724" s="5"/>
      <c r="G724" s="6"/>
    </row>
    <row r="725" spans="1:7">
      <c r="A725" s="14" t="s">
        <v>1199</v>
      </c>
      <c r="B725" s="15" t="str">
        <f>IFERROR(VLOOKUP(A725,#REF!,2,0)," ")</f>
        <v xml:space="preserve"> </v>
      </c>
      <c r="C725" s="20">
        <f>IFERROR(VLOOKUP(A725,#REF!,3,0),0)</f>
        <v>0</v>
      </c>
      <c r="D725" s="20">
        <f>IFERROR(VLOOKUP(A725,#REF!,4,0),0)</f>
        <v>0</v>
      </c>
      <c r="E725" s="5"/>
      <c r="G725" s="6"/>
    </row>
    <row r="726" spans="1:7">
      <c r="A726" s="14" t="s">
        <v>1203</v>
      </c>
      <c r="B726" s="15" t="str">
        <f>IFERROR(VLOOKUP(A726,#REF!,2,0)," ")</f>
        <v xml:space="preserve"> </v>
      </c>
      <c r="C726" s="20">
        <f>IFERROR(VLOOKUP(A726,#REF!,3,0),0)</f>
        <v>0</v>
      </c>
      <c r="D726" s="20">
        <f>IFERROR(VLOOKUP(A726,#REF!,4,0),0)</f>
        <v>0</v>
      </c>
      <c r="E726" s="5"/>
      <c r="G726" s="6"/>
    </row>
    <row r="727" spans="1:7">
      <c r="A727" s="14" t="s">
        <v>1197</v>
      </c>
      <c r="B727" s="15" t="str">
        <f>IFERROR(VLOOKUP(A727,#REF!,2,0)," ")</f>
        <v xml:space="preserve"> </v>
      </c>
      <c r="C727" s="20">
        <f>IFERROR(VLOOKUP(A727,#REF!,3,0),0)</f>
        <v>0</v>
      </c>
      <c r="D727" s="20">
        <f>IFERROR(VLOOKUP(A727,#REF!,4,0),0)</f>
        <v>0</v>
      </c>
      <c r="E727" s="5"/>
      <c r="G727" s="6"/>
    </row>
    <row r="728" spans="1:7">
      <c r="A728" s="14" t="s">
        <v>1417</v>
      </c>
      <c r="B728" s="15" t="str">
        <f>IFERROR(VLOOKUP(A728,#REF!,2,0)," ")</f>
        <v xml:space="preserve"> </v>
      </c>
      <c r="C728" s="20">
        <f>IFERROR(VLOOKUP(A728,#REF!,3,0),0)</f>
        <v>0</v>
      </c>
      <c r="D728" s="20">
        <f>IFERROR(VLOOKUP(A728,#REF!,4,0),0)</f>
        <v>0</v>
      </c>
      <c r="E728" s="5"/>
      <c r="G728" s="6"/>
    </row>
    <row r="729" spans="1:7" customFormat="1">
      <c r="A729" s="14" t="s">
        <v>1408</v>
      </c>
      <c r="B729" s="15" t="str">
        <f>IFERROR(VLOOKUP(A729,#REF!,2,0)," ")</f>
        <v xml:space="preserve"> </v>
      </c>
      <c r="C729" s="20">
        <f>IFERROR(VLOOKUP(A729,#REF!,3,0),0)</f>
        <v>0</v>
      </c>
      <c r="D729" s="20">
        <f>IFERROR(VLOOKUP(A729,#REF!,4,0),0)</f>
        <v>0</v>
      </c>
      <c r="F729" s="7"/>
    </row>
    <row r="730" spans="1:7">
      <c r="A730" s="14" t="s">
        <v>1405</v>
      </c>
      <c r="B730" s="15" t="str">
        <f>IFERROR(VLOOKUP(A730,#REF!,2,0)," ")</f>
        <v xml:space="preserve"> </v>
      </c>
      <c r="C730" s="20">
        <f>IFERROR(VLOOKUP(A730,#REF!,3,0),0)</f>
        <v>0</v>
      </c>
      <c r="D730" s="20">
        <f>IFERROR(VLOOKUP(A730,#REF!,4,0),0)</f>
        <v>0</v>
      </c>
      <c r="E730" s="5"/>
      <c r="G730" s="6"/>
    </row>
    <row r="731" spans="1:7">
      <c r="A731" s="14" t="s">
        <v>1406</v>
      </c>
      <c r="B731" s="15" t="str">
        <f>IFERROR(VLOOKUP(A731,#REF!,2,0)," ")</f>
        <v xml:space="preserve"> </v>
      </c>
      <c r="C731" s="20">
        <f>IFERROR(VLOOKUP(A731,#REF!,3,0),0)</f>
        <v>0</v>
      </c>
      <c r="D731" s="20">
        <f>IFERROR(VLOOKUP(A731,#REF!,4,0),0)</f>
        <v>0</v>
      </c>
      <c r="E731" s="5"/>
      <c r="G731" s="6"/>
    </row>
    <row r="732" spans="1:7">
      <c r="A732" s="14" t="s">
        <v>1451</v>
      </c>
      <c r="B732" s="15" t="str">
        <f>IFERROR(VLOOKUP(A732,#REF!,2,0)," ")</f>
        <v xml:space="preserve"> </v>
      </c>
      <c r="C732" s="20">
        <f>IFERROR(VLOOKUP(A732,#REF!,3,0),0)</f>
        <v>0</v>
      </c>
      <c r="D732" s="20">
        <f>IFERROR(VLOOKUP(A732,#REF!,4,0),0)</f>
        <v>0</v>
      </c>
    </row>
    <row r="733" spans="1:7">
      <c r="A733" s="14" t="s">
        <v>1481</v>
      </c>
      <c r="B733" s="15" t="str">
        <f>IFERROR(VLOOKUP(A733,#REF!,2,0)," ")</f>
        <v xml:space="preserve"> </v>
      </c>
      <c r="C733" s="20">
        <f>IFERROR(VLOOKUP(A733,#REF!,3,0),0)</f>
        <v>0</v>
      </c>
      <c r="D733" s="20">
        <f>IFERROR(VLOOKUP(A733,#REF!,4,0),0)</f>
        <v>0</v>
      </c>
    </row>
    <row r="734" spans="1:7">
      <c r="A734" s="14" t="s">
        <v>1220</v>
      </c>
      <c r="B734" s="15" t="str">
        <f>IFERROR(VLOOKUP(A734,#REF!,2,0)," ")</f>
        <v xml:space="preserve"> </v>
      </c>
      <c r="C734" s="20">
        <f>IFERROR(VLOOKUP(A734,#REF!,3,0),0)</f>
        <v>0</v>
      </c>
      <c r="D734" s="20">
        <f>IFERROR(VLOOKUP(A734,#REF!,4,0),0)</f>
        <v>0</v>
      </c>
    </row>
    <row r="735" spans="1:7">
      <c r="A735" s="14" t="s">
        <v>1221</v>
      </c>
      <c r="B735" s="15" t="str">
        <f>IFERROR(VLOOKUP(A735,#REF!,2,0)," ")</f>
        <v xml:space="preserve"> </v>
      </c>
      <c r="C735" s="20">
        <f>IFERROR(VLOOKUP(A735,#REF!,3,0),0)</f>
        <v>0</v>
      </c>
      <c r="D735" s="20">
        <f>IFERROR(VLOOKUP(A735,#REF!,4,0),0)</f>
        <v>0</v>
      </c>
    </row>
    <row r="736" spans="1:7">
      <c r="A736" s="14" t="s">
        <v>1222</v>
      </c>
      <c r="B736" s="15" t="str">
        <f>IFERROR(VLOOKUP(A736,#REF!,2,0)," ")</f>
        <v xml:space="preserve"> </v>
      </c>
      <c r="C736" s="20">
        <f>IFERROR(VLOOKUP(A736,#REF!,3,0),0)</f>
        <v>0</v>
      </c>
      <c r="D736" s="20">
        <f>IFERROR(VLOOKUP(A736,#REF!,4,0),0)</f>
        <v>0</v>
      </c>
    </row>
    <row r="737" spans="1:4">
      <c r="A737" s="14" t="s">
        <v>1223</v>
      </c>
      <c r="B737" s="15" t="str">
        <f>IFERROR(VLOOKUP(A737,#REF!,2,0)," ")</f>
        <v xml:space="preserve"> </v>
      </c>
      <c r="C737" s="20">
        <f>IFERROR(VLOOKUP(A737,#REF!,3,0),0)</f>
        <v>0</v>
      </c>
      <c r="D737" s="20">
        <f>IFERROR(VLOOKUP(A737,#REF!,4,0),0)</f>
        <v>0</v>
      </c>
    </row>
    <row r="738" spans="1:4">
      <c r="A738" s="14" t="s">
        <v>366</v>
      </c>
      <c r="B738" s="15" t="str">
        <f>IFERROR(VLOOKUP(A738,#REF!,2,0)," ")</f>
        <v xml:space="preserve"> </v>
      </c>
      <c r="C738" s="20">
        <f>IFERROR(VLOOKUP(A738,#REF!,3,0),0)</f>
        <v>0</v>
      </c>
      <c r="D738" s="20">
        <f>IFERROR(VLOOKUP(A738,#REF!,4,0),0)</f>
        <v>0</v>
      </c>
    </row>
    <row r="739" spans="1:4">
      <c r="A739" s="14" t="s">
        <v>1480</v>
      </c>
      <c r="B739" s="15" t="str">
        <f>IFERROR(VLOOKUP(A739,#REF!,2,0)," ")</f>
        <v xml:space="preserve"> </v>
      </c>
      <c r="C739" s="20">
        <f>IFERROR(VLOOKUP(A739,#REF!,3,0),0)</f>
        <v>0</v>
      </c>
      <c r="D739" s="20">
        <f>IFERROR(VLOOKUP(A739,#REF!,4,0),0)</f>
        <v>0</v>
      </c>
    </row>
    <row r="740" spans="1:4">
      <c r="A740" s="14" t="s">
        <v>1225</v>
      </c>
      <c r="B740" s="15" t="str">
        <f>IFERROR(VLOOKUP(A740,#REF!,2,0)," ")</f>
        <v xml:space="preserve"> </v>
      </c>
      <c r="C740" s="20">
        <f>IFERROR(VLOOKUP(A740,#REF!,3,0),0)</f>
        <v>0</v>
      </c>
      <c r="D740" s="20">
        <f>IFERROR(VLOOKUP(A740,#REF!,4,0),0)</f>
        <v>0</v>
      </c>
    </row>
    <row r="741" spans="1:4">
      <c r="A741" s="14" t="s">
        <v>1224</v>
      </c>
      <c r="B741" s="15" t="str">
        <f>IFERROR(VLOOKUP(A741,#REF!,2,0)," ")</f>
        <v xml:space="preserve"> </v>
      </c>
      <c r="C741" s="20">
        <f>IFERROR(VLOOKUP(A741,#REF!,3,0),0)</f>
        <v>0</v>
      </c>
      <c r="D741" s="20">
        <f>IFERROR(VLOOKUP(A741,#REF!,4,0),0)</f>
        <v>0</v>
      </c>
    </row>
    <row r="742" spans="1:4">
      <c r="A742" s="14" t="s">
        <v>1477</v>
      </c>
      <c r="B742" s="15" t="str">
        <f>IFERROR(VLOOKUP(A742,#REF!,2,0)," ")</f>
        <v xml:space="preserve"> </v>
      </c>
      <c r="C742" s="20">
        <f>IFERROR(VLOOKUP(A742,#REF!,3,0),0)</f>
        <v>0</v>
      </c>
      <c r="D742" s="20">
        <f>IFERROR(VLOOKUP(A742,#REF!,4,0),0)</f>
        <v>0</v>
      </c>
    </row>
    <row r="743" spans="1:4">
      <c r="A743" s="14" t="s">
        <v>1439</v>
      </c>
      <c r="B743" s="15" t="str">
        <f>IFERROR(VLOOKUP(A743,#REF!,2,0)," ")</f>
        <v xml:space="preserve"> </v>
      </c>
      <c r="C743" s="20">
        <f>IFERROR(VLOOKUP(A743,#REF!,3,0),0)</f>
        <v>0</v>
      </c>
      <c r="D743" s="20">
        <f>IFERROR(VLOOKUP(A743,#REF!,4,0),0)</f>
        <v>0</v>
      </c>
    </row>
    <row r="744" spans="1:4">
      <c r="A744" s="14" t="s">
        <v>1438</v>
      </c>
      <c r="B744" s="15" t="str">
        <f>IFERROR(VLOOKUP(A744,#REF!,2,0)," ")</f>
        <v xml:space="preserve"> </v>
      </c>
      <c r="C744" s="20">
        <f>IFERROR(VLOOKUP(A744,#REF!,3,0),0)</f>
        <v>0</v>
      </c>
      <c r="D744" s="20">
        <f>IFERROR(VLOOKUP(A744,#REF!,4,0),0)</f>
        <v>0</v>
      </c>
    </row>
    <row r="745" spans="1:4">
      <c r="A745" s="14" t="s">
        <v>1436</v>
      </c>
      <c r="B745" s="15" t="str">
        <f>IFERROR(VLOOKUP(A745,#REF!,2,0)," ")</f>
        <v xml:space="preserve"> </v>
      </c>
      <c r="C745" s="20">
        <f>IFERROR(VLOOKUP(A745,#REF!,3,0),0)</f>
        <v>0</v>
      </c>
      <c r="D745" s="20">
        <f>IFERROR(VLOOKUP(A745,#REF!,4,0),0)</f>
        <v>0</v>
      </c>
    </row>
    <row r="746" spans="1:4">
      <c r="A746" s="14" t="s">
        <v>960</v>
      </c>
      <c r="B746" s="15" t="str">
        <f>IFERROR(VLOOKUP(A746,#REF!,2,0)," ")</f>
        <v xml:space="preserve"> </v>
      </c>
      <c r="C746" s="20">
        <f>IFERROR(VLOOKUP(A746,#REF!,3,0),0)</f>
        <v>0</v>
      </c>
      <c r="D746" s="20">
        <f>IFERROR(VLOOKUP(A746,#REF!,4,0),0)</f>
        <v>0</v>
      </c>
    </row>
    <row r="747" spans="1:4">
      <c r="A747" s="14" t="s">
        <v>1409</v>
      </c>
      <c r="B747" s="15" t="str">
        <f>IFERROR(VLOOKUP(A747,#REF!,2,0)," ")</f>
        <v xml:space="preserve"> </v>
      </c>
      <c r="C747" s="20">
        <f>IFERROR(VLOOKUP(A747,#REF!,3,0),0)</f>
        <v>0</v>
      </c>
      <c r="D747" s="20">
        <f>IFERROR(VLOOKUP(A747,#REF!,4,0),0)</f>
        <v>0</v>
      </c>
    </row>
    <row r="748" spans="1:4">
      <c r="A748" s="14" t="s">
        <v>1200</v>
      </c>
      <c r="B748" s="15" t="str">
        <f>IFERROR(VLOOKUP(A748,#REF!,2,0)," ")</f>
        <v xml:space="preserve"> </v>
      </c>
      <c r="C748" s="20">
        <f>IFERROR(VLOOKUP(A748,#REF!,3,0),0)</f>
        <v>0</v>
      </c>
      <c r="D748" s="20">
        <f>IFERROR(VLOOKUP(A748,#REF!,4,0),0)</f>
        <v>0</v>
      </c>
    </row>
    <row r="749" spans="1:4">
      <c r="A749" s="14" t="s">
        <v>347</v>
      </c>
      <c r="B749" s="15" t="str">
        <f>IFERROR(VLOOKUP(A749,#REF!,2,0)," ")</f>
        <v xml:space="preserve"> </v>
      </c>
      <c r="C749" s="20">
        <f>IFERROR(VLOOKUP(A749,#REF!,3,0),0)</f>
        <v>0</v>
      </c>
      <c r="D749" s="20">
        <f>IFERROR(VLOOKUP(A749,#REF!,4,0),0)</f>
        <v>0</v>
      </c>
    </row>
    <row r="750" spans="1:4">
      <c r="A750" s="14" t="s">
        <v>1467</v>
      </c>
      <c r="B750" s="15" t="str">
        <f>IFERROR(VLOOKUP(A750,#REF!,2,0)," ")</f>
        <v xml:space="preserve"> </v>
      </c>
      <c r="C750" s="20">
        <f>IFERROR(VLOOKUP(A750,#REF!,3,0),0)</f>
        <v>0</v>
      </c>
      <c r="D750" s="20">
        <f>IFERROR(VLOOKUP(A750,#REF!,4,0),0)</f>
        <v>0</v>
      </c>
    </row>
    <row r="751" spans="1:4">
      <c r="A751" s="14" t="s">
        <v>1452</v>
      </c>
      <c r="B751" s="15" t="str">
        <f>IFERROR(VLOOKUP(A751,#REF!,2,0)," ")</f>
        <v xml:space="preserve"> </v>
      </c>
      <c r="C751" s="20">
        <f>IFERROR(VLOOKUP(A751,#REF!,3,0),0)</f>
        <v>0</v>
      </c>
      <c r="D751" s="20">
        <f>IFERROR(VLOOKUP(A751,#REF!,4,0),0)</f>
        <v>0</v>
      </c>
    </row>
    <row r="752" spans="1:4">
      <c r="A752" s="14" t="s">
        <v>1469</v>
      </c>
      <c r="B752" s="15" t="str">
        <f>IFERROR(VLOOKUP(A752,#REF!,2,0)," ")</f>
        <v xml:space="preserve"> </v>
      </c>
      <c r="C752" s="20">
        <f>IFERROR(VLOOKUP(A752,#REF!,3,0),0)</f>
        <v>0</v>
      </c>
      <c r="D752" s="20">
        <f>IFERROR(VLOOKUP(A752,#REF!,4,0),0)</f>
        <v>0</v>
      </c>
    </row>
    <row r="753" spans="1:4" ht="15">
      <c r="A753" s="69" t="s">
        <v>753</v>
      </c>
      <c r="B753" s="69"/>
      <c r="C753" s="69"/>
      <c r="D753" s="70" t="s">
        <v>2150</v>
      </c>
    </row>
    <row r="754" spans="1:4" ht="12">
      <c r="A754" s="18" t="s">
        <v>370</v>
      </c>
      <c r="B754" s="18" t="s">
        <v>565</v>
      </c>
      <c r="C754" s="16" t="s">
        <v>371</v>
      </c>
      <c r="D754" s="70"/>
    </row>
    <row r="755" spans="1:4">
      <c r="A755" s="14" t="s">
        <v>963</v>
      </c>
      <c r="B755" s="15" t="str">
        <f>IFERROR(VLOOKUP(A755,#REF!,2,0)," ")</f>
        <v xml:space="preserve"> </v>
      </c>
      <c r="C755" s="20">
        <f>IFERROR(VLOOKUP(A755,#REF!,3,0),0)</f>
        <v>0</v>
      </c>
      <c r="D755" s="20">
        <f>IFERROR(VLOOKUP(A755,#REF!,4,0),0)</f>
        <v>0</v>
      </c>
    </row>
    <row r="756" spans="1:4">
      <c r="A756" s="14" t="s">
        <v>754</v>
      </c>
      <c r="B756" s="15" t="str">
        <f>IFERROR(VLOOKUP(A756,#REF!,2,0)," ")</f>
        <v xml:space="preserve"> </v>
      </c>
      <c r="C756" s="20">
        <f>IFERROR(VLOOKUP(A756,#REF!,3,0),0)</f>
        <v>0</v>
      </c>
      <c r="D756" s="20">
        <f>IFERROR(VLOOKUP(A756,#REF!,4,0),0)</f>
        <v>0</v>
      </c>
    </row>
    <row r="757" spans="1:4">
      <c r="A757" s="14" t="s">
        <v>1489</v>
      </c>
      <c r="B757" s="15" t="str">
        <f>IFERROR(VLOOKUP(A757,#REF!,2,0)," ")</f>
        <v xml:space="preserve"> </v>
      </c>
      <c r="C757" s="20">
        <f>IFERROR(VLOOKUP(A757,#REF!,3,0),0)</f>
        <v>0</v>
      </c>
      <c r="D757" s="20">
        <f>IFERROR(VLOOKUP(A757,#REF!,4,0),0)</f>
        <v>0</v>
      </c>
    </row>
    <row r="758" spans="1:4">
      <c r="A758" s="14" t="s">
        <v>1490</v>
      </c>
      <c r="B758" s="15" t="str">
        <f>IFERROR(VLOOKUP(A758,#REF!,2,0)," ")</f>
        <v xml:space="preserve"> </v>
      </c>
      <c r="C758" s="20">
        <f>IFERROR(VLOOKUP(A758,#REF!,3,0),0)</f>
        <v>0</v>
      </c>
      <c r="D758" s="20">
        <f>IFERROR(VLOOKUP(A758,#REF!,4,0),0)</f>
        <v>0</v>
      </c>
    </row>
    <row r="759" spans="1:4">
      <c r="A759" s="14" t="s">
        <v>1196</v>
      </c>
      <c r="B759" s="15" t="str">
        <f>IFERROR(VLOOKUP(A759,#REF!,2,0)," ")</f>
        <v xml:space="preserve"> </v>
      </c>
      <c r="C759" s="20">
        <f>IFERROR(VLOOKUP(A759,#REF!,3,0),0)</f>
        <v>0</v>
      </c>
      <c r="D759" s="20">
        <f>IFERROR(VLOOKUP(A759,#REF!,4,0),0)</f>
        <v>0</v>
      </c>
    </row>
    <row r="760" spans="1:4">
      <c r="A760" s="14" t="s">
        <v>755</v>
      </c>
      <c r="B760" s="15" t="str">
        <f>IFERROR(VLOOKUP(A760,#REF!,2,0)," ")</f>
        <v xml:space="preserve"> </v>
      </c>
      <c r="C760" s="20">
        <f>IFERROR(VLOOKUP(A760,#REF!,3,0),0)</f>
        <v>0</v>
      </c>
      <c r="D760" s="20">
        <f>IFERROR(VLOOKUP(A760,#REF!,4,0),0)</f>
        <v>0</v>
      </c>
    </row>
    <row r="761" spans="1:4">
      <c r="A761" s="14" t="s">
        <v>727</v>
      </c>
      <c r="B761" s="15" t="str">
        <f>IFERROR(VLOOKUP(A761,#REF!,2,0)," ")</f>
        <v xml:space="preserve"> </v>
      </c>
      <c r="C761" s="20">
        <f>IFERROR(VLOOKUP(A761,#REF!,3,0),0)</f>
        <v>0</v>
      </c>
      <c r="D761" s="20">
        <f>IFERROR(VLOOKUP(A761,#REF!,4,0),0)</f>
        <v>0</v>
      </c>
    </row>
    <row r="762" spans="1:4">
      <c r="A762" s="14" t="s">
        <v>490</v>
      </c>
      <c r="B762" s="15" t="str">
        <f>IFERROR(VLOOKUP(A762,#REF!,2,0)," ")</f>
        <v xml:space="preserve"> </v>
      </c>
      <c r="C762" s="20">
        <f>IFERROR(VLOOKUP(A762,#REF!,3,0),0)</f>
        <v>0</v>
      </c>
      <c r="D762" s="20">
        <f>IFERROR(VLOOKUP(A762,#REF!,4,0),0)</f>
        <v>0</v>
      </c>
    </row>
    <row r="763" spans="1:4">
      <c r="A763" s="14" t="s">
        <v>756</v>
      </c>
      <c r="B763" s="15" t="str">
        <f>IFERROR(VLOOKUP(A763,#REF!,2,0)," ")</f>
        <v xml:space="preserve"> </v>
      </c>
      <c r="C763" s="20">
        <f>IFERROR(VLOOKUP(A763,#REF!,3,0),0)</f>
        <v>0</v>
      </c>
      <c r="D763" s="20">
        <f>IFERROR(VLOOKUP(A763,#REF!,4,0),0)</f>
        <v>0</v>
      </c>
    </row>
    <row r="764" spans="1:4">
      <c r="A764" s="14" t="s">
        <v>757</v>
      </c>
      <c r="B764" s="15" t="str">
        <f>IFERROR(VLOOKUP(A764,#REF!,2,0)," ")</f>
        <v xml:space="preserve"> </v>
      </c>
      <c r="C764" s="20">
        <f>IFERROR(VLOOKUP(A764,#REF!,3,0),0)</f>
        <v>0</v>
      </c>
      <c r="D764" s="20">
        <f>IFERROR(VLOOKUP(A764,#REF!,4,0),0)</f>
        <v>0</v>
      </c>
    </row>
    <row r="765" spans="1:4">
      <c r="A765" s="14" t="s">
        <v>758</v>
      </c>
      <c r="B765" s="15" t="str">
        <f>IFERROR(VLOOKUP(A765,#REF!,2,0)," ")</f>
        <v xml:space="preserve"> </v>
      </c>
      <c r="C765" s="20">
        <f>IFERROR(VLOOKUP(A765,#REF!,3,0),0)</f>
        <v>0</v>
      </c>
      <c r="D765" s="20">
        <f>IFERROR(VLOOKUP(A765,#REF!,4,0),0)</f>
        <v>0</v>
      </c>
    </row>
    <row r="766" spans="1:4">
      <c r="A766" s="14" t="s">
        <v>759</v>
      </c>
      <c r="B766" s="15" t="str">
        <f>IFERROR(VLOOKUP(A766,#REF!,2,0)," ")</f>
        <v xml:space="preserve"> </v>
      </c>
      <c r="C766" s="20">
        <f>IFERROR(VLOOKUP(A766,#REF!,3,0),0)</f>
        <v>0</v>
      </c>
      <c r="D766" s="20">
        <f>IFERROR(VLOOKUP(A766,#REF!,4,0),0)</f>
        <v>0</v>
      </c>
    </row>
    <row r="767" spans="1:4">
      <c r="A767" s="14" t="s">
        <v>1378</v>
      </c>
      <c r="B767" s="15" t="str">
        <f>IFERROR(VLOOKUP(A767,#REF!,2,0)," ")</f>
        <v xml:space="preserve"> </v>
      </c>
      <c r="C767" s="20">
        <f>IFERROR(VLOOKUP(A767,#REF!,3,0),0)</f>
        <v>0</v>
      </c>
      <c r="D767" s="20">
        <f>IFERROR(VLOOKUP(A767,#REF!,4,0),0)</f>
        <v>0</v>
      </c>
    </row>
    <row r="768" spans="1:4">
      <c r="A768" s="14" t="s">
        <v>760</v>
      </c>
      <c r="B768" s="15" t="str">
        <f>IFERROR(VLOOKUP(A768,#REF!,2,0)," ")</f>
        <v xml:space="preserve"> </v>
      </c>
      <c r="C768" s="20">
        <f>IFERROR(VLOOKUP(A768,#REF!,3,0),0)</f>
        <v>0</v>
      </c>
      <c r="D768" s="20">
        <f>IFERROR(VLOOKUP(A768,#REF!,4,0),0)</f>
        <v>0</v>
      </c>
    </row>
    <row r="769" spans="1:6">
      <c r="A769" s="14" t="s">
        <v>761</v>
      </c>
      <c r="B769" s="15" t="str">
        <f>IFERROR(VLOOKUP(A769,#REF!,2,0)," ")</f>
        <v xml:space="preserve"> </v>
      </c>
      <c r="C769" s="20">
        <f>IFERROR(VLOOKUP(A769,#REF!,3,0),0)</f>
        <v>0</v>
      </c>
      <c r="D769" s="20">
        <f>IFERROR(VLOOKUP(A769,#REF!,4,0),0)</f>
        <v>0</v>
      </c>
    </row>
    <row r="770" spans="1:6">
      <c r="A770" s="14" t="s">
        <v>762</v>
      </c>
      <c r="B770" s="15" t="str">
        <f>IFERROR(VLOOKUP(A770,#REF!,2,0)," ")</f>
        <v xml:space="preserve"> </v>
      </c>
      <c r="C770" s="20">
        <f>IFERROR(VLOOKUP(A770,#REF!,3,0),0)</f>
        <v>0</v>
      </c>
      <c r="D770" s="20">
        <f>IFERROR(VLOOKUP(A770,#REF!,4,0),0)</f>
        <v>0</v>
      </c>
    </row>
    <row r="771" spans="1:6">
      <c r="A771" s="14" t="s">
        <v>763</v>
      </c>
      <c r="B771" s="15" t="str">
        <f>IFERROR(VLOOKUP(A771,#REF!,2,0)," ")</f>
        <v xml:space="preserve"> </v>
      </c>
      <c r="C771" s="20">
        <f>IFERROR(VLOOKUP(A771,#REF!,3,0),0)</f>
        <v>0</v>
      </c>
      <c r="D771" s="20">
        <f>IFERROR(VLOOKUP(A771,#REF!,4,0),0)</f>
        <v>0</v>
      </c>
    </row>
    <row r="772" spans="1:6">
      <c r="A772" s="14" t="s">
        <v>764</v>
      </c>
      <c r="B772" s="15" t="str">
        <f>IFERROR(VLOOKUP(A772,#REF!,2,0)," ")</f>
        <v xml:space="preserve"> </v>
      </c>
      <c r="C772" s="20">
        <f>IFERROR(VLOOKUP(A772,#REF!,3,0),0)</f>
        <v>0</v>
      </c>
      <c r="D772" s="20">
        <f>IFERROR(VLOOKUP(A772,#REF!,4,0),0)</f>
        <v>0</v>
      </c>
    </row>
    <row r="773" spans="1:6">
      <c r="A773" s="14" t="s">
        <v>1068</v>
      </c>
      <c r="B773" s="15" t="str">
        <f>IFERROR(VLOOKUP(A773,#REF!,2,0)," ")</f>
        <v xml:space="preserve"> </v>
      </c>
      <c r="C773" s="20">
        <f>IFERROR(VLOOKUP(A773,#REF!,3,0),0)</f>
        <v>0</v>
      </c>
      <c r="D773" s="20">
        <f>IFERROR(VLOOKUP(A773,#REF!,4,0),0)</f>
        <v>0</v>
      </c>
    </row>
    <row r="774" spans="1:6">
      <c r="A774" s="14" t="s">
        <v>1192</v>
      </c>
      <c r="B774" s="15" t="str">
        <f>IFERROR(VLOOKUP(A774,#REF!,2,0)," ")</f>
        <v xml:space="preserve"> </v>
      </c>
      <c r="C774" s="20">
        <f>IFERROR(VLOOKUP(A774,#REF!,3,0),0)</f>
        <v>0</v>
      </c>
      <c r="D774" s="20">
        <f>IFERROR(VLOOKUP(A774,#REF!,4,0),0)</f>
        <v>0</v>
      </c>
    </row>
    <row r="775" spans="1:6">
      <c r="A775" s="14" t="s">
        <v>1005</v>
      </c>
      <c r="B775" s="15" t="str">
        <f>IFERROR(VLOOKUP(A775,#REF!,2,0)," ")</f>
        <v xml:space="preserve"> </v>
      </c>
      <c r="C775" s="20">
        <f>IFERROR(VLOOKUP(A775,#REF!,3,0),0)</f>
        <v>0</v>
      </c>
      <c r="D775" s="20">
        <f>IFERROR(VLOOKUP(A775,#REF!,4,0),0)</f>
        <v>0</v>
      </c>
    </row>
    <row r="776" spans="1:6">
      <c r="A776" s="14" t="s">
        <v>765</v>
      </c>
      <c r="B776" s="15" t="str">
        <f>IFERROR(VLOOKUP(A776,#REF!,2,0)," ")</f>
        <v xml:space="preserve"> </v>
      </c>
      <c r="C776" s="20">
        <f>IFERROR(VLOOKUP(A776,#REF!,3,0),0)</f>
        <v>0</v>
      </c>
      <c r="D776" s="20">
        <f>IFERROR(VLOOKUP(A776,#REF!,4,0),0)</f>
        <v>0</v>
      </c>
    </row>
    <row r="777" spans="1:6" customFormat="1">
      <c r="A777" s="14" t="s">
        <v>1483</v>
      </c>
      <c r="B777" s="15" t="str">
        <f>IFERROR(VLOOKUP(A777,#REF!,2,0)," ")</f>
        <v xml:space="preserve"> </v>
      </c>
      <c r="C777" s="20">
        <f>IFERROR(VLOOKUP(A777,#REF!,3,0),0)</f>
        <v>0</v>
      </c>
      <c r="D777" s="20">
        <f>IFERROR(VLOOKUP(A777,#REF!,4,0),0)</f>
        <v>0</v>
      </c>
      <c r="F777" s="7"/>
    </row>
    <row r="778" spans="1:6">
      <c r="A778" s="14" t="s">
        <v>766</v>
      </c>
      <c r="B778" s="15" t="str">
        <f>IFERROR(VLOOKUP(A778,#REF!,2,0)," ")</f>
        <v xml:space="preserve"> </v>
      </c>
      <c r="C778" s="20">
        <f>IFERROR(VLOOKUP(A778,#REF!,3,0),0)</f>
        <v>0</v>
      </c>
      <c r="D778" s="20">
        <f>IFERROR(VLOOKUP(A778,#REF!,4,0),0)</f>
        <v>0</v>
      </c>
    </row>
    <row r="779" spans="1:6">
      <c r="A779" s="14" t="s">
        <v>728</v>
      </c>
      <c r="B779" s="15" t="str">
        <f>IFERROR(VLOOKUP(A779,#REF!,2,0)," ")</f>
        <v xml:space="preserve"> </v>
      </c>
      <c r="C779" s="20">
        <f>IFERROR(VLOOKUP(A779,#REF!,3,0),0)</f>
        <v>0</v>
      </c>
      <c r="D779" s="20">
        <f>IFERROR(VLOOKUP(A779,#REF!,4,0),0)</f>
        <v>0</v>
      </c>
    </row>
    <row r="780" spans="1:6">
      <c r="A780" s="14" t="s">
        <v>767</v>
      </c>
      <c r="B780" s="15" t="str">
        <f>IFERROR(VLOOKUP(A780,#REF!,2,0)," ")</f>
        <v xml:space="preserve"> </v>
      </c>
      <c r="C780" s="20">
        <f>IFERROR(VLOOKUP(A780,#REF!,3,0),0)</f>
        <v>0</v>
      </c>
      <c r="D780" s="20">
        <f>IFERROR(VLOOKUP(A780,#REF!,4,0),0)</f>
        <v>0</v>
      </c>
    </row>
    <row r="781" spans="1:6">
      <c r="A781" s="14" t="s">
        <v>1482</v>
      </c>
      <c r="B781" s="15" t="str">
        <f>IFERROR(VLOOKUP(A781,#REF!,2,0)," ")</f>
        <v xml:space="preserve"> </v>
      </c>
      <c r="C781" s="20">
        <f>IFERROR(VLOOKUP(A781,#REF!,3,0),0)</f>
        <v>0</v>
      </c>
      <c r="D781" s="20">
        <f>IFERROR(VLOOKUP(A781,#REF!,4,0),0)</f>
        <v>0</v>
      </c>
    </row>
    <row r="782" spans="1:6">
      <c r="A782" s="14" t="s">
        <v>768</v>
      </c>
      <c r="B782" s="15" t="str">
        <f>IFERROR(VLOOKUP(A782,#REF!,2,0)," ")</f>
        <v xml:space="preserve"> </v>
      </c>
      <c r="C782" s="20">
        <f>IFERROR(VLOOKUP(A782,#REF!,3,0),0)</f>
        <v>0</v>
      </c>
      <c r="D782" s="20">
        <f>IFERROR(VLOOKUP(A782,#REF!,4,0),0)</f>
        <v>0</v>
      </c>
    </row>
    <row r="783" spans="1:6">
      <c r="A783" s="14" t="s">
        <v>769</v>
      </c>
      <c r="B783" s="15" t="str">
        <f>IFERROR(VLOOKUP(A783,#REF!,2,0)," ")</f>
        <v xml:space="preserve"> </v>
      </c>
      <c r="C783" s="20">
        <f>IFERROR(VLOOKUP(A783,#REF!,3,0),0)</f>
        <v>0</v>
      </c>
      <c r="D783" s="20">
        <f>IFERROR(VLOOKUP(A783,#REF!,4,0),0)</f>
        <v>0</v>
      </c>
    </row>
    <row r="784" spans="1:6">
      <c r="A784" s="14" t="s">
        <v>770</v>
      </c>
      <c r="B784" s="15" t="str">
        <f>IFERROR(VLOOKUP(A784,#REF!,2,0)," ")</f>
        <v xml:space="preserve"> </v>
      </c>
      <c r="C784" s="20">
        <f>IFERROR(VLOOKUP(A784,#REF!,3,0),0)</f>
        <v>0</v>
      </c>
      <c r="D784" s="20">
        <f>IFERROR(VLOOKUP(A784,#REF!,4,0),0)</f>
        <v>0</v>
      </c>
    </row>
    <row r="785" spans="1:4">
      <c r="A785" s="14" t="s">
        <v>771</v>
      </c>
      <c r="B785" s="15" t="str">
        <f>IFERROR(VLOOKUP(A785,#REF!,2,0)," ")</f>
        <v xml:space="preserve"> </v>
      </c>
      <c r="C785" s="20">
        <f>IFERROR(VLOOKUP(A785,#REF!,3,0),0)</f>
        <v>0</v>
      </c>
      <c r="D785" s="20">
        <f>IFERROR(VLOOKUP(A785,#REF!,4,0),0)</f>
        <v>0</v>
      </c>
    </row>
    <row r="786" spans="1:4">
      <c r="A786" s="14" t="s">
        <v>1374</v>
      </c>
      <c r="B786" s="15" t="str">
        <f>IFERROR(VLOOKUP(A786,#REF!,2,0)," ")</f>
        <v xml:space="preserve"> </v>
      </c>
      <c r="C786" s="20">
        <f>IFERROR(VLOOKUP(A786,#REF!,3,0),0)</f>
        <v>0</v>
      </c>
      <c r="D786" s="20">
        <f>IFERROR(VLOOKUP(A786,#REF!,4,0),0)</f>
        <v>0</v>
      </c>
    </row>
    <row r="787" spans="1:4">
      <c r="A787" s="14" t="s">
        <v>772</v>
      </c>
      <c r="B787" s="15" t="str">
        <f>IFERROR(VLOOKUP(A787,#REF!,2,0)," ")</f>
        <v xml:space="preserve"> </v>
      </c>
      <c r="C787" s="20">
        <f>IFERROR(VLOOKUP(A787,#REF!,3,0),0)</f>
        <v>0</v>
      </c>
      <c r="D787" s="20">
        <f>IFERROR(VLOOKUP(A787,#REF!,4,0),0)</f>
        <v>0</v>
      </c>
    </row>
    <row r="788" spans="1:4">
      <c r="A788" s="14" t="s">
        <v>773</v>
      </c>
      <c r="B788" s="15" t="str">
        <f>IFERROR(VLOOKUP(A788,#REF!,2,0)," ")</f>
        <v xml:space="preserve"> </v>
      </c>
      <c r="C788" s="20">
        <f>IFERROR(VLOOKUP(A788,#REF!,3,0),0)</f>
        <v>0</v>
      </c>
      <c r="D788" s="20">
        <f>IFERROR(VLOOKUP(A788,#REF!,4,0),0)</f>
        <v>0</v>
      </c>
    </row>
    <row r="789" spans="1:4">
      <c r="A789" s="14" t="s">
        <v>1004</v>
      </c>
      <c r="B789" s="15" t="str">
        <f>IFERROR(VLOOKUP(A789,#REF!,2,0)," ")</f>
        <v xml:space="preserve"> </v>
      </c>
      <c r="C789" s="20">
        <f>IFERROR(VLOOKUP(A789,#REF!,3,0),0)</f>
        <v>0</v>
      </c>
      <c r="D789" s="20">
        <f>IFERROR(VLOOKUP(A789,#REF!,4,0),0)</f>
        <v>0</v>
      </c>
    </row>
    <row r="790" spans="1:4">
      <c r="A790" s="14" t="s">
        <v>1193</v>
      </c>
      <c r="B790" s="15" t="str">
        <f>IFERROR(VLOOKUP(A790,#REF!,2,0)," ")</f>
        <v xml:space="preserve"> </v>
      </c>
      <c r="C790" s="20">
        <f>IFERROR(VLOOKUP(A790,#REF!,3,0),0)</f>
        <v>0</v>
      </c>
      <c r="D790" s="20">
        <f>IFERROR(VLOOKUP(A790,#REF!,4,0),0)</f>
        <v>0</v>
      </c>
    </row>
    <row r="791" spans="1:4">
      <c r="A791" s="14" t="s">
        <v>1194</v>
      </c>
      <c r="B791" s="15" t="str">
        <f>IFERROR(VLOOKUP(A791,#REF!,2,0)," ")</f>
        <v xml:space="preserve"> </v>
      </c>
      <c r="C791" s="20">
        <f>IFERROR(VLOOKUP(A791,#REF!,3,0),0)</f>
        <v>0</v>
      </c>
      <c r="D791" s="20">
        <f>IFERROR(VLOOKUP(A791,#REF!,4,0),0)</f>
        <v>0</v>
      </c>
    </row>
    <row r="792" spans="1:4">
      <c r="A792" s="14" t="s">
        <v>1195</v>
      </c>
      <c r="B792" s="15" t="str">
        <f>IFERROR(VLOOKUP(A792,#REF!,2,0)," ")</f>
        <v xml:space="preserve"> </v>
      </c>
      <c r="C792" s="20">
        <f>IFERROR(VLOOKUP(A792,#REF!,3,0),0)</f>
        <v>0</v>
      </c>
      <c r="D792" s="20">
        <f>IFERROR(VLOOKUP(A792,#REF!,4,0),0)</f>
        <v>0</v>
      </c>
    </row>
    <row r="793" spans="1:4">
      <c r="A793" s="14" t="s">
        <v>774</v>
      </c>
      <c r="B793" s="15" t="str">
        <f>IFERROR(VLOOKUP(A793,#REF!,2,0)," ")</f>
        <v xml:space="preserve"> </v>
      </c>
      <c r="C793" s="20">
        <f>IFERROR(VLOOKUP(A793,#REF!,3,0),0)</f>
        <v>0</v>
      </c>
      <c r="D793" s="20">
        <f>IFERROR(VLOOKUP(A793,#REF!,4,0),0)</f>
        <v>0</v>
      </c>
    </row>
    <row r="794" spans="1:4">
      <c r="A794" s="14" t="s">
        <v>1232</v>
      </c>
      <c r="B794" s="15" t="str">
        <f>IFERROR(VLOOKUP(A794,#REF!,2,0)," ")</f>
        <v xml:space="preserve"> </v>
      </c>
      <c r="C794" s="20">
        <f>IFERROR(VLOOKUP(A794,#REF!,3,0),0)</f>
        <v>0</v>
      </c>
      <c r="D794" s="20">
        <f>IFERROR(VLOOKUP(A794,#REF!,4,0),0)</f>
        <v>0</v>
      </c>
    </row>
    <row r="795" spans="1:4">
      <c r="A795" s="14" t="s">
        <v>180</v>
      </c>
      <c r="B795" s="15" t="str">
        <f>IFERROR(VLOOKUP(A795,#REF!,2,0)," ")</f>
        <v xml:space="preserve"> </v>
      </c>
      <c r="C795" s="20">
        <f>IFERROR(VLOOKUP(A795,#REF!,3,0),0)</f>
        <v>0</v>
      </c>
      <c r="D795" s="20">
        <f>IFERROR(VLOOKUP(A795,#REF!,4,0),0)</f>
        <v>0</v>
      </c>
    </row>
    <row r="796" spans="1:4">
      <c r="A796" s="14" t="s">
        <v>775</v>
      </c>
      <c r="B796" s="15" t="str">
        <f>IFERROR(VLOOKUP(A796,#REF!,2,0)," ")</f>
        <v xml:space="preserve"> </v>
      </c>
      <c r="C796" s="20">
        <f>IFERROR(VLOOKUP(A796,#REF!,3,0),0)</f>
        <v>0</v>
      </c>
      <c r="D796" s="20">
        <f>IFERROR(VLOOKUP(A796,#REF!,4,0),0)</f>
        <v>0</v>
      </c>
    </row>
    <row r="797" spans="1:4">
      <c r="A797" s="14" t="s">
        <v>181</v>
      </c>
      <c r="B797" s="15" t="str">
        <f>IFERROR(VLOOKUP(A797,#REF!,2,0)," ")</f>
        <v xml:space="preserve"> </v>
      </c>
      <c r="C797" s="20">
        <f>IFERROR(VLOOKUP(A797,#REF!,3,0),0)</f>
        <v>0</v>
      </c>
      <c r="D797" s="20">
        <f>IFERROR(VLOOKUP(A797,#REF!,4,0),0)</f>
        <v>0</v>
      </c>
    </row>
    <row r="798" spans="1:4">
      <c r="A798" s="14" t="s">
        <v>776</v>
      </c>
      <c r="B798" s="15" t="str">
        <f>IFERROR(VLOOKUP(A798,#REF!,2,0)," ")</f>
        <v xml:space="preserve"> </v>
      </c>
      <c r="C798" s="20">
        <f>IFERROR(VLOOKUP(A798,#REF!,3,0),0)</f>
        <v>0</v>
      </c>
      <c r="D798" s="20">
        <f>IFERROR(VLOOKUP(A798,#REF!,4,0),0)</f>
        <v>0</v>
      </c>
    </row>
    <row r="799" spans="1:4">
      <c r="A799" s="14" t="s">
        <v>777</v>
      </c>
      <c r="B799" s="15" t="str">
        <f>IFERROR(VLOOKUP(A799,#REF!,2,0)," ")</f>
        <v xml:space="preserve"> </v>
      </c>
      <c r="C799" s="20">
        <f>IFERROR(VLOOKUP(A799,#REF!,3,0),0)</f>
        <v>0</v>
      </c>
      <c r="D799" s="20">
        <f>IFERROR(VLOOKUP(A799,#REF!,4,0),0)</f>
        <v>0</v>
      </c>
    </row>
    <row r="800" spans="1:4">
      <c r="A800" s="14" t="s">
        <v>778</v>
      </c>
      <c r="B800" s="15" t="str">
        <f>IFERROR(VLOOKUP(A800,#REF!,2,0)," ")</f>
        <v xml:space="preserve"> </v>
      </c>
      <c r="C800" s="20">
        <f>IFERROR(VLOOKUP(A800,#REF!,3,0),0)</f>
        <v>0</v>
      </c>
      <c r="D800" s="20">
        <f>IFERROR(VLOOKUP(A800,#REF!,4,0),0)</f>
        <v>0</v>
      </c>
    </row>
    <row r="801" spans="1:4">
      <c r="A801" s="14" t="s">
        <v>1484</v>
      </c>
      <c r="B801" s="15" t="str">
        <f>IFERROR(VLOOKUP(A801,#REF!,2,0)," ")</f>
        <v xml:space="preserve"> </v>
      </c>
      <c r="C801" s="20">
        <f>IFERROR(VLOOKUP(A801,#REF!,3,0),0)</f>
        <v>0</v>
      </c>
      <c r="D801" s="20">
        <f>IFERROR(VLOOKUP(A801,#REF!,4,0),0)</f>
        <v>0</v>
      </c>
    </row>
    <row r="802" spans="1:4">
      <c r="A802" s="14" t="s">
        <v>964</v>
      </c>
      <c r="B802" s="15" t="str">
        <f>IFERROR(VLOOKUP(A802,#REF!,2,0)," ")</f>
        <v xml:space="preserve"> </v>
      </c>
      <c r="C802" s="20">
        <f>IFERROR(VLOOKUP(A802,#REF!,3,0),0)</f>
        <v>0</v>
      </c>
      <c r="D802" s="20">
        <f>IFERROR(VLOOKUP(A802,#REF!,4,0),0)</f>
        <v>0</v>
      </c>
    </row>
    <row r="803" spans="1:4">
      <c r="A803" s="14" t="s">
        <v>729</v>
      </c>
      <c r="B803" s="15" t="str">
        <f>IFERROR(VLOOKUP(A803,#REF!,2,0)," ")</f>
        <v xml:space="preserve"> </v>
      </c>
      <c r="C803" s="20">
        <f>IFERROR(VLOOKUP(A803,#REF!,3,0),0)</f>
        <v>0</v>
      </c>
      <c r="D803" s="20">
        <f>IFERROR(VLOOKUP(A803,#REF!,4,0),0)</f>
        <v>0</v>
      </c>
    </row>
    <row r="804" spans="1:4">
      <c r="A804" s="14" t="s">
        <v>177</v>
      </c>
      <c r="B804" s="15" t="str">
        <f>IFERROR(VLOOKUP(A804,#REF!,2,0)," ")</f>
        <v xml:space="preserve"> </v>
      </c>
      <c r="C804" s="20">
        <f>IFERROR(VLOOKUP(A804,#REF!,3,0),0)</f>
        <v>0</v>
      </c>
      <c r="D804" s="20">
        <f>IFERROR(VLOOKUP(A804,#REF!,4,0),0)</f>
        <v>0</v>
      </c>
    </row>
    <row r="805" spans="1:4">
      <c r="A805" s="14" t="s">
        <v>174</v>
      </c>
      <c r="B805" s="15" t="str">
        <f>IFERROR(VLOOKUP(A805,#REF!,2,0)," ")</f>
        <v xml:space="preserve"> </v>
      </c>
      <c r="C805" s="20">
        <f>IFERROR(VLOOKUP(A805,#REF!,3,0),0)</f>
        <v>0</v>
      </c>
      <c r="D805" s="20">
        <f>IFERROR(VLOOKUP(A805,#REF!,4,0),0)</f>
        <v>0</v>
      </c>
    </row>
    <row r="806" spans="1:4">
      <c r="A806" s="14" t="s">
        <v>1218</v>
      </c>
      <c r="B806" s="15" t="str">
        <f>IFERROR(VLOOKUP(A806,#REF!,2,0)," ")</f>
        <v xml:space="preserve"> </v>
      </c>
      <c r="C806" s="20">
        <f>IFERROR(VLOOKUP(A806,#REF!,3,0),0)</f>
        <v>0</v>
      </c>
      <c r="D806" s="20">
        <f>IFERROR(VLOOKUP(A806,#REF!,4,0),0)</f>
        <v>0</v>
      </c>
    </row>
    <row r="807" spans="1:4">
      <c r="A807" s="14" t="s">
        <v>779</v>
      </c>
      <c r="B807" s="15" t="str">
        <f>IFERROR(VLOOKUP(A807,#REF!,2,0)," ")</f>
        <v xml:space="preserve"> </v>
      </c>
      <c r="C807" s="20">
        <f>IFERROR(VLOOKUP(A807,#REF!,3,0),0)</f>
        <v>0</v>
      </c>
      <c r="D807" s="20">
        <f>IFERROR(VLOOKUP(A807,#REF!,4,0),0)</f>
        <v>0</v>
      </c>
    </row>
    <row r="808" spans="1:4">
      <c r="A808" s="14" t="s">
        <v>780</v>
      </c>
      <c r="B808" s="15" t="str">
        <f>IFERROR(VLOOKUP(A808,#REF!,2,0)," ")</f>
        <v xml:space="preserve"> </v>
      </c>
      <c r="C808" s="20">
        <f>IFERROR(VLOOKUP(A808,#REF!,3,0),0)</f>
        <v>0</v>
      </c>
      <c r="D808" s="20">
        <f>IFERROR(VLOOKUP(A808,#REF!,4,0),0)</f>
        <v>0</v>
      </c>
    </row>
    <row r="809" spans="1:4">
      <c r="A809" s="14" t="s">
        <v>541</v>
      </c>
      <c r="B809" s="15" t="str">
        <f>IFERROR(VLOOKUP(A809,#REF!,2,0)," ")</f>
        <v xml:space="preserve"> </v>
      </c>
      <c r="C809" s="20">
        <f>IFERROR(VLOOKUP(A809,#REF!,3,0),0)</f>
        <v>0</v>
      </c>
      <c r="D809" s="20">
        <f>IFERROR(VLOOKUP(A809,#REF!,4,0),0)</f>
        <v>0</v>
      </c>
    </row>
    <row r="810" spans="1:4">
      <c r="A810" s="14" t="s">
        <v>542</v>
      </c>
      <c r="B810" s="15" t="str">
        <f>IFERROR(VLOOKUP(A810,#REF!,2,0)," ")</f>
        <v xml:space="preserve"> </v>
      </c>
      <c r="C810" s="20">
        <f>IFERROR(VLOOKUP(A810,#REF!,3,0),0)</f>
        <v>0</v>
      </c>
      <c r="D810" s="20">
        <f>IFERROR(VLOOKUP(A810,#REF!,4,0),0)</f>
        <v>0</v>
      </c>
    </row>
    <row r="811" spans="1:4">
      <c r="A811" s="14" t="s">
        <v>543</v>
      </c>
      <c r="B811" s="15" t="str">
        <f>IFERROR(VLOOKUP(A811,#REF!,2,0)," ")</f>
        <v xml:space="preserve"> </v>
      </c>
      <c r="C811" s="20">
        <f>IFERROR(VLOOKUP(A811,#REF!,3,0),0)</f>
        <v>0</v>
      </c>
      <c r="D811" s="20">
        <f>IFERROR(VLOOKUP(A811,#REF!,4,0),0)</f>
        <v>0</v>
      </c>
    </row>
    <row r="812" spans="1:4">
      <c r="A812" s="14" t="s">
        <v>1491</v>
      </c>
      <c r="B812" s="15" t="str">
        <f>IFERROR(VLOOKUP(A812,#REF!,2,0)," ")</f>
        <v xml:space="preserve"> </v>
      </c>
      <c r="C812" s="20">
        <f>IFERROR(VLOOKUP(A812,#REF!,3,0),0)</f>
        <v>0</v>
      </c>
      <c r="D812" s="20">
        <f>IFERROR(VLOOKUP(A812,#REF!,4,0),0)</f>
        <v>0</v>
      </c>
    </row>
    <row r="813" spans="1:4">
      <c r="A813" s="14" t="s">
        <v>144</v>
      </c>
      <c r="B813" s="15" t="str">
        <f>IFERROR(VLOOKUP(A813,#REF!,2,0)," ")</f>
        <v xml:space="preserve"> </v>
      </c>
      <c r="C813" s="20">
        <f>IFERROR(VLOOKUP(A813,#REF!,3,0),0)</f>
        <v>0</v>
      </c>
      <c r="D813" s="20">
        <f>IFERROR(VLOOKUP(A813,#REF!,4,0),0)</f>
        <v>0</v>
      </c>
    </row>
    <row r="814" spans="1:4">
      <c r="A814" s="14" t="s">
        <v>781</v>
      </c>
      <c r="B814" s="15" t="str">
        <f>IFERROR(VLOOKUP(A814,#REF!,2,0)," ")</f>
        <v xml:space="preserve"> </v>
      </c>
      <c r="C814" s="20">
        <f>IFERROR(VLOOKUP(A814,#REF!,3,0),0)</f>
        <v>0</v>
      </c>
      <c r="D814" s="20">
        <f>IFERROR(VLOOKUP(A814,#REF!,4,0),0)</f>
        <v>0</v>
      </c>
    </row>
    <row r="815" spans="1:4">
      <c r="A815" s="14" t="s">
        <v>782</v>
      </c>
      <c r="B815" s="15" t="str">
        <f>IFERROR(VLOOKUP(A815,#REF!,2,0)," ")</f>
        <v xml:space="preserve"> </v>
      </c>
      <c r="C815" s="20">
        <f>IFERROR(VLOOKUP(A815,#REF!,3,0),0)</f>
        <v>0</v>
      </c>
      <c r="D815" s="20">
        <f>IFERROR(VLOOKUP(A815,#REF!,4,0),0)</f>
        <v>0</v>
      </c>
    </row>
    <row r="816" spans="1:4">
      <c r="A816" s="14" t="s">
        <v>783</v>
      </c>
      <c r="B816" s="15" t="str">
        <f>IFERROR(VLOOKUP(A816,#REF!,2,0)," ")</f>
        <v xml:space="preserve"> </v>
      </c>
      <c r="C816" s="20">
        <f>IFERROR(VLOOKUP(A816,#REF!,3,0),0)</f>
        <v>0</v>
      </c>
      <c r="D816" s="20">
        <f>IFERROR(VLOOKUP(A816,#REF!,4,0),0)</f>
        <v>0</v>
      </c>
    </row>
    <row r="817" spans="1:4">
      <c r="A817" s="14" t="s">
        <v>1493</v>
      </c>
      <c r="B817" s="15" t="str">
        <f>IFERROR(VLOOKUP(A817,#REF!,2,0)," ")</f>
        <v xml:space="preserve"> </v>
      </c>
      <c r="C817" s="20">
        <f>IFERROR(VLOOKUP(A817,#REF!,3,0),0)</f>
        <v>0</v>
      </c>
      <c r="D817" s="20">
        <f>IFERROR(VLOOKUP(A817,#REF!,4,0),0)</f>
        <v>0</v>
      </c>
    </row>
    <row r="818" spans="1:4">
      <c r="A818" s="14" t="s">
        <v>1492</v>
      </c>
      <c r="B818" s="15" t="str">
        <f>IFERROR(VLOOKUP(A818,#REF!,2,0)," ")</f>
        <v xml:space="preserve"> </v>
      </c>
      <c r="C818" s="20">
        <f>IFERROR(VLOOKUP(A818,#REF!,3,0),0)</f>
        <v>0</v>
      </c>
      <c r="D818" s="20">
        <f>IFERROR(VLOOKUP(A818,#REF!,4,0),0)</f>
        <v>0</v>
      </c>
    </row>
    <row r="819" spans="1:4">
      <c r="A819" s="14" t="s">
        <v>1494</v>
      </c>
      <c r="B819" s="15" t="str">
        <f>IFERROR(VLOOKUP(A819,#REF!,2,0)," ")</f>
        <v xml:space="preserve"> </v>
      </c>
      <c r="C819" s="20">
        <f>IFERROR(VLOOKUP(A819,#REF!,3,0),0)</f>
        <v>0</v>
      </c>
      <c r="D819" s="20">
        <f>IFERROR(VLOOKUP(A819,#REF!,4,0),0)</f>
        <v>0</v>
      </c>
    </row>
    <row r="820" spans="1:4">
      <c r="A820" s="14" t="s">
        <v>784</v>
      </c>
      <c r="B820" s="15" t="str">
        <f>IFERROR(VLOOKUP(A820,#REF!,2,0)," ")</f>
        <v xml:space="preserve"> </v>
      </c>
      <c r="C820" s="20">
        <f>IFERROR(VLOOKUP(A820,#REF!,3,0),0)</f>
        <v>0</v>
      </c>
      <c r="D820" s="20">
        <f>IFERROR(VLOOKUP(A820,#REF!,4,0),0)</f>
        <v>0</v>
      </c>
    </row>
    <row r="821" spans="1:4">
      <c r="A821" s="14" t="s">
        <v>785</v>
      </c>
      <c r="B821" s="15" t="str">
        <f>IFERROR(VLOOKUP(A821,#REF!,2,0)," ")</f>
        <v xml:space="preserve"> </v>
      </c>
      <c r="C821" s="20">
        <f>IFERROR(VLOOKUP(A821,#REF!,3,0),0)</f>
        <v>0</v>
      </c>
      <c r="D821" s="20">
        <f>IFERROR(VLOOKUP(A821,#REF!,4,0),0)</f>
        <v>0</v>
      </c>
    </row>
    <row r="822" spans="1:4">
      <c r="A822" s="14" t="s">
        <v>881</v>
      </c>
      <c r="B822" s="15" t="str">
        <f>IFERROR(VLOOKUP(A822,#REF!,2,0)," ")</f>
        <v xml:space="preserve"> </v>
      </c>
      <c r="C822" s="20">
        <f>IFERROR(VLOOKUP(A822,#REF!,3,0),0)</f>
        <v>0</v>
      </c>
      <c r="D822" s="20">
        <f>IFERROR(VLOOKUP(A822,#REF!,4,0),0)</f>
        <v>0</v>
      </c>
    </row>
    <row r="823" spans="1:4">
      <c r="A823" s="14" t="s">
        <v>422</v>
      </c>
      <c r="B823" s="15" t="str">
        <f>IFERROR(VLOOKUP(A823,#REF!,2,0)," ")</f>
        <v xml:space="preserve"> </v>
      </c>
      <c r="C823" s="20">
        <f>IFERROR(VLOOKUP(A823,#REF!,3,0),0)</f>
        <v>0</v>
      </c>
      <c r="D823" s="20">
        <f>IFERROR(VLOOKUP(A823,#REF!,4,0),0)</f>
        <v>0</v>
      </c>
    </row>
    <row r="824" spans="1:4">
      <c r="A824" s="14" t="s">
        <v>786</v>
      </c>
      <c r="B824" s="15" t="str">
        <f>IFERROR(VLOOKUP(A824,#REF!,2,0)," ")</f>
        <v xml:space="preserve"> </v>
      </c>
      <c r="C824" s="20">
        <f>IFERROR(VLOOKUP(A824,#REF!,3,0),0)</f>
        <v>0</v>
      </c>
      <c r="D824" s="20">
        <f>IFERROR(VLOOKUP(A824,#REF!,4,0),0)</f>
        <v>0</v>
      </c>
    </row>
    <row r="825" spans="1:4">
      <c r="A825" s="14" t="s">
        <v>787</v>
      </c>
      <c r="B825" s="15" t="str">
        <f>IFERROR(VLOOKUP(A825,#REF!,2,0)," ")</f>
        <v xml:space="preserve"> </v>
      </c>
      <c r="C825" s="20">
        <f>IFERROR(VLOOKUP(A825,#REF!,3,0),0)</f>
        <v>0</v>
      </c>
      <c r="D825" s="20">
        <f>IFERROR(VLOOKUP(A825,#REF!,4,0),0)</f>
        <v>0</v>
      </c>
    </row>
    <row r="826" spans="1:4">
      <c r="A826" s="14" t="s">
        <v>788</v>
      </c>
      <c r="B826" s="15" t="str">
        <f>IFERROR(VLOOKUP(A826,#REF!,2,0)," ")</f>
        <v xml:space="preserve"> </v>
      </c>
      <c r="C826" s="20">
        <f>IFERROR(VLOOKUP(A826,#REF!,3,0),0)</f>
        <v>0</v>
      </c>
      <c r="D826" s="20">
        <f>IFERROR(VLOOKUP(A826,#REF!,4,0),0)</f>
        <v>0</v>
      </c>
    </row>
    <row r="827" spans="1:4">
      <c r="A827" s="14" t="s">
        <v>789</v>
      </c>
      <c r="B827" s="15" t="str">
        <f>IFERROR(VLOOKUP(A827,#REF!,2,0)," ")</f>
        <v xml:space="preserve"> </v>
      </c>
      <c r="C827" s="20">
        <f>IFERROR(VLOOKUP(A827,#REF!,3,0),0)</f>
        <v>0</v>
      </c>
      <c r="D827" s="20">
        <f>IFERROR(VLOOKUP(A827,#REF!,4,0),0)</f>
        <v>0</v>
      </c>
    </row>
    <row r="828" spans="1:4">
      <c r="A828" s="14" t="s">
        <v>1359</v>
      </c>
      <c r="B828" s="15" t="str">
        <f>IFERROR(VLOOKUP(A828,#REF!,2,0)," ")</f>
        <v xml:space="preserve"> </v>
      </c>
      <c r="C828" s="20">
        <f>IFERROR(VLOOKUP(A828,#REF!,3,0),0)</f>
        <v>0</v>
      </c>
      <c r="D828" s="20">
        <f>IFERROR(VLOOKUP(A828,#REF!,4,0),0)</f>
        <v>0</v>
      </c>
    </row>
    <row r="829" spans="1:4">
      <c r="A829" s="14" t="s">
        <v>1360</v>
      </c>
      <c r="B829" s="15" t="str">
        <f>IFERROR(VLOOKUP(A829,#REF!,2,0)," ")</f>
        <v xml:space="preserve"> </v>
      </c>
      <c r="C829" s="20">
        <f>IFERROR(VLOOKUP(A829,#REF!,3,0),0)</f>
        <v>0</v>
      </c>
      <c r="D829" s="20">
        <f>IFERROR(VLOOKUP(A829,#REF!,4,0),0)</f>
        <v>0</v>
      </c>
    </row>
    <row r="830" spans="1:4">
      <c r="A830" s="14" t="s">
        <v>790</v>
      </c>
      <c r="B830" s="15" t="str">
        <f>IFERROR(VLOOKUP(A830,#REF!,2,0)," ")</f>
        <v xml:space="preserve"> </v>
      </c>
      <c r="C830" s="20">
        <f>IFERROR(VLOOKUP(A830,#REF!,3,0),0)</f>
        <v>0</v>
      </c>
      <c r="D830" s="20">
        <f>IFERROR(VLOOKUP(A830,#REF!,4,0),0)</f>
        <v>0</v>
      </c>
    </row>
    <row r="831" spans="1:4">
      <c r="A831" s="14" t="s">
        <v>884</v>
      </c>
      <c r="B831" s="15" t="str">
        <f>IFERROR(VLOOKUP(A831,#REF!,2,0)," ")</f>
        <v xml:space="preserve"> </v>
      </c>
      <c r="C831" s="20">
        <f>IFERROR(VLOOKUP(A831,#REF!,3,0),0)</f>
        <v>0</v>
      </c>
      <c r="D831" s="20">
        <f>IFERROR(VLOOKUP(A831,#REF!,4,0),0)</f>
        <v>0</v>
      </c>
    </row>
    <row r="832" spans="1:4">
      <c r="A832" s="14" t="s">
        <v>791</v>
      </c>
      <c r="B832" s="15" t="str">
        <f>IFERROR(VLOOKUP(A832,#REF!,2,0)," ")</f>
        <v xml:space="preserve"> </v>
      </c>
      <c r="C832" s="20">
        <f>IFERROR(VLOOKUP(A832,#REF!,3,0),0)</f>
        <v>0</v>
      </c>
      <c r="D832" s="20">
        <f>IFERROR(VLOOKUP(A832,#REF!,4,0),0)</f>
        <v>0</v>
      </c>
    </row>
    <row r="833" spans="1:4">
      <c r="A833" s="14" t="s">
        <v>792</v>
      </c>
      <c r="B833" s="15" t="str">
        <f>IFERROR(VLOOKUP(A833,#REF!,2,0)," ")</f>
        <v xml:space="preserve"> </v>
      </c>
      <c r="C833" s="20">
        <f>IFERROR(VLOOKUP(A833,#REF!,3,0),0)</f>
        <v>0</v>
      </c>
      <c r="D833" s="20">
        <f>IFERROR(VLOOKUP(A833,#REF!,4,0),0)</f>
        <v>0</v>
      </c>
    </row>
    <row r="834" spans="1:4">
      <c r="A834" s="14" t="s">
        <v>883</v>
      </c>
      <c r="B834" s="15" t="str">
        <f>IFERROR(VLOOKUP(A834,#REF!,2,0)," ")</f>
        <v xml:space="preserve"> </v>
      </c>
      <c r="C834" s="20">
        <f>IFERROR(VLOOKUP(A834,#REF!,3,0),0)</f>
        <v>0</v>
      </c>
      <c r="D834" s="20">
        <f>IFERROR(VLOOKUP(A834,#REF!,4,0),0)</f>
        <v>0</v>
      </c>
    </row>
    <row r="835" spans="1:4">
      <c r="A835" s="14" t="s">
        <v>175</v>
      </c>
      <c r="B835" s="15" t="str">
        <f>IFERROR(VLOOKUP(A835,#REF!,2,0)," ")</f>
        <v xml:space="preserve"> </v>
      </c>
      <c r="C835" s="20">
        <f>IFERROR(VLOOKUP(A835,#REF!,3,0),0)</f>
        <v>0</v>
      </c>
      <c r="D835" s="20">
        <f>IFERROR(VLOOKUP(A835,#REF!,4,0),0)</f>
        <v>0</v>
      </c>
    </row>
    <row r="836" spans="1:4">
      <c r="A836" s="14" t="s">
        <v>793</v>
      </c>
      <c r="B836" s="15" t="str">
        <f>IFERROR(VLOOKUP(A836,#REF!,2,0)," ")</f>
        <v xml:space="preserve"> </v>
      </c>
      <c r="C836" s="20">
        <f>IFERROR(VLOOKUP(A836,#REF!,3,0),0)</f>
        <v>0</v>
      </c>
      <c r="D836" s="20">
        <f>IFERROR(VLOOKUP(A836,#REF!,4,0),0)</f>
        <v>0</v>
      </c>
    </row>
    <row r="837" spans="1:4">
      <c r="A837" s="14" t="s">
        <v>794</v>
      </c>
      <c r="B837" s="15" t="str">
        <f>IFERROR(VLOOKUP(A837,#REF!,2,0)," ")</f>
        <v xml:space="preserve"> </v>
      </c>
      <c r="C837" s="20">
        <f>IFERROR(VLOOKUP(A837,#REF!,3,0),0)</f>
        <v>0</v>
      </c>
      <c r="D837" s="20">
        <f>IFERROR(VLOOKUP(A837,#REF!,4,0),0)</f>
        <v>0</v>
      </c>
    </row>
    <row r="838" spans="1:4">
      <c r="A838" s="14" t="s">
        <v>535</v>
      </c>
      <c r="B838" s="15" t="str">
        <f>IFERROR(VLOOKUP(A838,#REF!,2,0)," ")</f>
        <v xml:space="preserve"> </v>
      </c>
      <c r="C838" s="20">
        <f>IFERROR(VLOOKUP(A838,#REF!,3,0),0)</f>
        <v>0</v>
      </c>
      <c r="D838" s="20">
        <f>IFERROR(VLOOKUP(A838,#REF!,4,0),0)</f>
        <v>0</v>
      </c>
    </row>
    <row r="839" spans="1:4">
      <c r="A839" s="14" t="s">
        <v>494</v>
      </c>
      <c r="B839" s="15" t="str">
        <f>IFERROR(VLOOKUP(A839,#REF!,2,0)," ")</f>
        <v xml:space="preserve"> </v>
      </c>
      <c r="C839" s="20">
        <f>IFERROR(VLOOKUP(A839,#REF!,3,0),0)</f>
        <v>0</v>
      </c>
      <c r="D839" s="20">
        <f>IFERROR(VLOOKUP(A839,#REF!,4,0),0)</f>
        <v>0</v>
      </c>
    </row>
    <row r="840" spans="1:4">
      <c r="A840" s="14" t="s">
        <v>795</v>
      </c>
      <c r="B840" s="15" t="str">
        <f>IFERROR(VLOOKUP(A840,#REF!,2,0)," ")</f>
        <v xml:space="preserve"> </v>
      </c>
      <c r="C840" s="20">
        <f>IFERROR(VLOOKUP(A840,#REF!,3,0),0)</f>
        <v>0</v>
      </c>
      <c r="D840" s="20">
        <f>IFERROR(VLOOKUP(A840,#REF!,4,0),0)</f>
        <v>0</v>
      </c>
    </row>
    <row r="841" spans="1:4">
      <c r="A841" s="14" t="s">
        <v>1381</v>
      </c>
      <c r="B841" s="15" t="str">
        <f>IFERROR(VLOOKUP(A841,#REF!,2,0)," ")</f>
        <v xml:space="preserve"> </v>
      </c>
      <c r="C841" s="20">
        <f>IFERROR(VLOOKUP(A841,#REF!,3,0),0)</f>
        <v>0</v>
      </c>
      <c r="D841" s="20">
        <f>IFERROR(VLOOKUP(A841,#REF!,4,0),0)</f>
        <v>0</v>
      </c>
    </row>
    <row r="842" spans="1:4">
      <c r="A842" s="14" t="s">
        <v>1069</v>
      </c>
      <c r="B842" s="15" t="str">
        <f>IFERROR(VLOOKUP(A842,#REF!,2,0)," ")</f>
        <v xml:space="preserve"> </v>
      </c>
      <c r="C842" s="20">
        <f>IFERROR(VLOOKUP(A842,#REF!,3,0),0)</f>
        <v>0</v>
      </c>
      <c r="D842" s="20">
        <f>IFERROR(VLOOKUP(A842,#REF!,4,0),0)</f>
        <v>0</v>
      </c>
    </row>
    <row r="843" spans="1:4">
      <c r="A843" s="14" t="s">
        <v>1509</v>
      </c>
      <c r="B843" s="15" t="str">
        <f>IFERROR(VLOOKUP(A843,#REF!,2,0)," ")</f>
        <v xml:space="preserve"> </v>
      </c>
      <c r="C843" s="20">
        <f>IFERROR(VLOOKUP(A843,#REF!,3,0),0)</f>
        <v>0</v>
      </c>
      <c r="D843" s="20">
        <f>IFERROR(VLOOKUP(A843,#REF!,4,0),0)</f>
        <v>0</v>
      </c>
    </row>
    <row r="844" spans="1:4">
      <c r="A844" s="14" t="s">
        <v>492</v>
      </c>
      <c r="B844" s="15" t="str">
        <f>IFERROR(VLOOKUP(A844,#REF!,2,0)," ")</f>
        <v xml:space="preserve"> </v>
      </c>
      <c r="C844" s="20">
        <f>IFERROR(VLOOKUP(A844,#REF!,3,0),0)</f>
        <v>0</v>
      </c>
      <c r="D844" s="20">
        <f>IFERROR(VLOOKUP(A844,#REF!,4,0),0)</f>
        <v>0</v>
      </c>
    </row>
    <row r="845" spans="1:4">
      <c r="A845" s="14" t="s">
        <v>1367</v>
      </c>
      <c r="B845" s="15" t="str">
        <f>IFERROR(VLOOKUP(A845,#REF!,2,0)," ")</f>
        <v xml:space="preserve"> </v>
      </c>
      <c r="C845" s="20">
        <f>IFERROR(VLOOKUP(A845,#REF!,3,0),0)</f>
        <v>0</v>
      </c>
      <c r="D845" s="20">
        <f>IFERROR(VLOOKUP(A845,#REF!,4,0),0)</f>
        <v>0</v>
      </c>
    </row>
    <row r="846" spans="1:4">
      <c r="A846" s="14" t="s">
        <v>796</v>
      </c>
      <c r="B846" s="15" t="str">
        <f>IFERROR(VLOOKUP(A846,#REF!,2,0)," ")</f>
        <v xml:space="preserve"> </v>
      </c>
      <c r="C846" s="20">
        <f>IFERROR(VLOOKUP(A846,#REF!,3,0),0)</f>
        <v>0</v>
      </c>
      <c r="D846" s="20">
        <f>IFERROR(VLOOKUP(A846,#REF!,4,0),0)</f>
        <v>0</v>
      </c>
    </row>
    <row r="847" spans="1:4">
      <c r="A847" s="14" t="s">
        <v>800</v>
      </c>
      <c r="B847" s="15" t="str">
        <f>IFERROR(VLOOKUP(A847,#REF!,2,0)," ")</f>
        <v xml:space="preserve"> </v>
      </c>
      <c r="C847" s="20">
        <f>IFERROR(VLOOKUP(A847,#REF!,3,0),0)</f>
        <v>0</v>
      </c>
      <c r="D847" s="20">
        <f>IFERROR(VLOOKUP(A847,#REF!,4,0),0)</f>
        <v>0</v>
      </c>
    </row>
    <row r="848" spans="1:4">
      <c r="A848" s="14" t="s">
        <v>797</v>
      </c>
      <c r="B848" s="15" t="str">
        <f>IFERROR(VLOOKUP(A848,#REF!,2,0)," ")</f>
        <v xml:space="preserve"> </v>
      </c>
      <c r="C848" s="20">
        <f>IFERROR(VLOOKUP(A848,#REF!,3,0),0)</f>
        <v>0</v>
      </c>
      <c r="D848" s="20">
        <f>IFERROR(VLOOKUP(A848,#REF!,4,0),0)</f>
        <v>0</v>
      </c>
    </row>
    <row r="849" spans="1:4">
      <c r="A849" s="14" t="s">
        <v>798</v>
      </c>
      <c r="B849" s="15" t="str">
        <f>IFERROR(VLOOKUP(A849,#REF!,2,0)," ")</f>
        <v xml:space="preserve"> </v>
      </c>
      <c r="C849" s="20">
        <f>IFERROR(VLOOKUP(A849,#REF!,3,0),0)</f>
        <v>0</v>
      </c>
      <c r="D849" s="20">
        <f>IFERROR(VLOOKUP(A849,#REF!,4,0),0)</f>
        <v>0</v>
      </c>
    </row>
    <row r="850" spans="1:4">
      <c r="A850" s="14" t="s">
        <v>799</v>
      </c>
      <c r="B850" s="15" t="str">
        <f>IFERROR(VLOOKUP(A850,#REF!,2,0)," ")</f>
        <v xml:space="preserve"> </v>
      </c>
      <c r="C850" s="20">
        <f>IFERROR(VLOOKUP(A850,#REF!,3,0),0)</f>
        <v>0</v>
      </c>
      <c r="D850" s="20">
        <f>IFERROR(VLOOKUP(A850,#REF!,4,0),0)</f>
        <v>0</v>
      </c>
    </row>
    <row r="851" spans="1:4">
      <c r="A851" s="14" t="s">
        <v>801</v>
      </c>
      <c r="B851" s="15" t="str">
        <f>IFERROR(VLOOKUP(A851,#REF!,2,0)," ")</f>
        <v xml:space="preserve"> </v>
      </c>
      <c r="C851" s="20">
        <f>IFERROR(VLOOKUP(A851,#REF!,3,0),0)</f>
        <v>0</v>
      </c>
      <c r="D851" s="20">
        <f>IFERROR(VLOOKUP(A851,#REF!,4,0),0)</f>
        <v>0</v>
      </c>
    </row>
    <row r="852" spans="1:4">
      <c r="A852" s="14" t="s">
        <v>802</v>
      </c>
      <c r="B852" s="15" t="str">
        <f>IFERROR(VLOOKUP(A852,#REF!,2,0)," ")</f>
        <v xml:space="preserve"> </v>
      </c>
      <c r="C852" s="20">
        <f>IFERROR(VLOOKUP(A852,#REF!,3,0),0)</f>
        <v>0</v>
      </c>
      <c r="D852" s="20">
        <f>IFERROR(VLOOKUP(A852,#REF!,4,0),0)</f>
        <v>0</v>
      </c>
    </row>
    <row r="853" spans="1:4">
      <c r="A853" s="14" t="s">
        <v>491</v>
      </c>
      <c r="B853" s="15" t="str">
        <f>IFERROR(VLOOKUP(A853,#REF!,2,0)," ")</f>
        <v xml:space="preserve"> </v>
      </c>
      <c r="C853" s="20">
        <f>IFERROR(VLOOKUP(A853,#REF!,3,0),0)</f>
        <v>0</v>
      </c>
      <c r="D853" s="20">
        <f>IFERROR(VLOOKUP(A853,#REF!,4,0),0)</f>
        <v>0</v>
      </c>
    </row>
    <row r="854" spans="1:4">
      <c r="A854" s="14" t="s">
        <v>1379</v>
      </c>
      <c r="B854" s="15" t="str">
        <f>IFERROR(VLOOKUP(A854,#REF!,2,0)," ")</f>
        <v xml:space="preserve"> </v>
      </c>
      <c r="C854" s="20">
        <f>IFERROR(VLOOKUP(A854,#REF!,3,0),0)</f>
        <v>0</v>
      </c>
      <c r="D854" s="20">
        <f>IFERROR(VLOOKUP(A854,#REF!,4,0),0)</f>
        <v>0</v>
      </c>
    </row>
    <row r="855" spans="1:4">
      <c r="A855" s="14" t="s">
        <v>803</v>
      </c>
      <c r="B855" s="15" t="str">
        <f>IFERROR(VLOOKUP(A855,#REF!,2,0)," ")</f>
        <v xml:space="preserve"> </v>
      </c>
      <c r="C855" s="20">
        <f>IFERROR(VLOOKUP(A855,#REF!,3,0),0)</f>
        <v>0</v>
      </c>
      <c r="D855" s="20">
        <f>IFERROR(VLOOKUP(A855,#REF!,4,0),0)</f>
        <v>0</v>
      </c>
    </row>
    <row r="856" spans="1:4">
      <c r="A856" s="14" t="s">
        <v>804</v>
      </c>
      <c r="B856" s="15" t="str">
        <f>IFERROR(VLOOKUP(A856,#REF!,2,0)," ")</f>
        <v xml:space="preserve"> </v>
      </c>
      <c r="C856" s="20">
        <f>IFERROR(VLOOKUP(A856,#REF!,3,0),0)</f>
        <v>0</v>
      </c>
      <c r="D856" s="20">
        <f>IFERROR(VLOOKUP(A856,#REF!,4,0),0)</f>
        <v>0</v>
      </c>
    </row>
    <row r="857" spans="1:4">
      <c r="A857" s="14" t="s">
        <v>805</v>
      </c>
      <c r="B857" s="15" t="str">
        <f>IFERROR(VLOOKUP(A857,#REF!,2,0)," ")</f>
        <v xml:space="preserve"> </v>
      </c>
      <c r="C857" s="20">
        <f>IFERROR(VLOOKUP(A857,#REF!,3,0),0)</f>
        <v>0</v>
      </c>
      <c r="D857" s="20">
        <f>IFERROR(VLOOKUP(A857,#REF!,4,0),0)</f>
        <v>0</v>
      </c>
    </row>
    <row r="858" spans="1:4">
      <c r="A858" s="14" t="s">
        <v>1216</v>
      </c>
      <c r="B858" s="15" t="str">
        <f>IFERROR(VLOOKUP(A858,#REF!,2,0)," ")</f>
        <v xml:space="preserve"> </v>
      </c>
      <c r="C858" s="20">
        <f>IFERROR(VLOOKUP(A858,#REF!,3,0),0)</f>
        <v>0</v>
      </c>
      <c r="D858" s="20">
        <f>IFERROR(VLOOKUP(A858,#REF!,4,0),0)</f>
        <v>0</v>
      </c>
    </row>
    <row r="859" spans="1:4">
      <c r="A859" s="14" t="s">
        <v>540</v>
      </c>
      <c r="B859" s="15" t="str">
        <f>IFERROR(VLOOKUP(A859,#REF!,2,0)," ")</f>
        <v xml:space="preserve"> </v>
      </c>
      <c r="C859" s="20">
        <f>IFERROR(VLOOKUP(A859,#REF!,3,0),0)</f>
        <v>0</v>
      </c>
      <c r="D859" s="20">
        <f>IFERROR(VLOOKUP(A859,#REF!,4,0),0)</f>
        <v>0</v>
      </c>
    </row>
    <row r="860" spans="1:4">
      <c r="A860" s="14" t="s">
        <v>1375</v>
      </c>
      <c r="B860" s="15" t="str">
        <f>IFERROR(VLOOKUP(A860,#REF!,2,0)," ")</f>
        <v xml:space="preserve"> </v>
      </c>
      <c r="C860" s="20">
        <f>IFERROR(VLOOKUP(A860,#REF!,3,0),0)</f>
        <v>0</v>
      </c>
      <c r="D860" s="20">
        <f>IFERROR(VLOOKUP(A860,#REF!,4,0),0)</f>
        <v>0</v>
      </c>
    </row>
    <row r="861" spans="1:4">
      <c r="A861" s="14" t="s">
        <v>178</v>
      </c>
      <c r="B861" s="15" t="str">
        <f>IFERROR(VLOOKUP(A861,#REF!,2,0)," ")</f>
        <v xml:space="preserve"> </v>
      </c>
      <c r="C861" s="20">
        <f>IFERROR(VLOOKUP(A861,#REF!,3,0),0)</f>
        <v>0</v>
      </c>
      <c r="D861" s="20">
        <f>IFERROR(VLOOKUP(A861,#REF!,4,0),0)</f>
        <v>0</v>
      </c>
    </row>
    <row r="862" spans="1:4">
      <c r="A862" s="14" t="s">
        <v>536</v>
      </c>
      <c r="B862" s="15" t="str">
        <f>IFERROR(VLOOKUP(A862,#REF!,2,0)," ")</f>
        <v xml:space="preserve"> </v>
      </c>
      <c r="C862" s="20">
        <f>IFERROR(VLOOKUP(A862,#REF!,3,0),0)</f>
        <v>0</v>
      </c>
      <c r="D862" s="20">
        <f>IFERROR(VLOOKUP(A862,#REF!,4,0),0)</f>
        <v>0</v>
      </c>
    </row>
    <row r="863" spans="1:4">
      <c r="A863" s="14" t="s">
        <v>537</v>
      </c>
      <c r="B863" s="15" t="str">
        <f>IFERROR(VLOOKUP(A863,#REF!,2,0)," ")</f>
        <v xml:space="preserve"> </v>
      </c>
      <c r="C863" s="20">
        <f>IFERROR(VLOOKUP(A863,#REF!,3,0),0)</f>
        <v>0</v>
      </c>
      <c r="D863" s="20">
        <f>IFERROR(VLOOKUP(A863,#REF!,4,0),0)</f>
        <v>0</v>
      </c>
    </row>
    <row r="864" spans="1:4">
      <c r="A864" s="14" t="s">
        <v>179</v>
      </c>
      <c r="B864" s="15" t="str">
        <f>IFERROR(VLOOKUP(A864,#REF!,2,0)," ")</f>
        <v xml:space="preserve"> </v>
      </c>
      <c r="C864" s="20">
        <f>IFERROR(VLOOKUP(A864,#REF!,3,0),0)</f>
        <v>0</v>
      </c>
      <c r="D864" s="20">
        <f>IFERROR(VLOOKUP(A864,#REF!,4,0),0)</f>
        <v>0</v>
      </c>
    </row>
    <row r="865" spans="1:4">
      <c r="A865" s="14" t="s">
        <v>538</v>
      </c>
      <c r="B865" s="15" t="str">
        <f>IFERROR(VLOOKUP(A865,#REF!,2,0)," ")</f>
        <v xml:space="preserve"> </v>
      </c>
      <c r="C865" s="20">
        <f>IFERROR(VLOOKUP(A865,#REF!,3,0),0)</f>
        <v>0</v>
      </c>
      <c r="D865" s="20">
        <f>IFERROR(VLOOKUP(A865,#REF!,4,0),0)</f>
        <v>0</v>
      </c>
    </row>
    <row r="866" spans="1:4">
      <c r="A866" s="14" t="s">
        <v>539</v>
      </c>
      <c r="B866" s="15" t="str">
        <f>IFERROR(VLOOKUP(A866,#REF!,2,0)," ")</f>
        <v xml:space="preserve"> </v>
      </c>
      <c r="C866" s="20">
        <f>IFERROR(VLOOKUP(A866,#REF!,3,0),0)</f>
        <v>0</v>
      </c>
      <c r="D866" s="20">
        <f>IFERROR(VLOOKUP(A866,#REF!,4,0),0)</f>
        <v>0</v>
      </c>
    </row>
    <row r="867" spans="1:4">
      <c r="A867" s="14" t="s">
        <v>806</v>
      </c>
      <c r="B867" s="15" t="str">
        <f>IFERROR(VLOOKUP(A867,#REF!,2,0)," ")</f>
        <v xml:space="preserve"> </v>
      </c>
      <c r="C867" s="20">
        <f>IFERROR(VLOOKUP(A867,#REF!,3,0),0)</f>
        <v>0</v>
      </c>
      <c r="D867" s="20">
        <f>IFERROR(VLOOKUP(A867,#REF!,4,0),0)</f>
        <v>0</v>
      </c>
    </row>
    <row r="868" spans="1:4">
      <c r="A868" s="14" t="s">
        <v>807</v>
      </c>
      <c r="B868" s="15" t="str">
        <f>IFERROR(VLOOKUP(A868,#REF!,2,0)," ")</f>
        <v xml:space="preserve"> </v>
      </c>
      <c r="C868" s="20">
        <f>IFERROR(VLOOKUP(A868,#REF!,3,0),0)</f>
        <v>0</v>
      </c>
      <c r="D868" s="20">
        <f>IFERROR(VLOOKUP(A868,#REF!,4,0),0)</f>
        <v>0</v>
      </c>
    </row>
    <row r="869" spans="1:4">
      <c r="A869" s="14" t="s">
        <v>808</v>
      </c>
      <c r="B869" s="15" t="str">
        <f>IFERROR(VLOOKUP(A869,#REF!,2,0)," ")</f>
        <v xml:space="preserve"> </v>
      </c>
      <c r="C869" s="20">
        <f>IFERROR(VLOOKUP(A869,#REF!,3,0),0)</f>
        <v>0</v>
      </c>
      <c r="D869" s="20">
        <f>IFERROR(VLOOKUP(A869,#REF!,4,0),0)</f>
        <v>0</v>
      </c>
    </row>
    <row r="870" spans="1:4">
      <c r="A870" s="14" t="s">
        <v>809</v>
      </c>
      <c r="B870" s="15" t="str">
        <f>IFERROR(VLOOKUP(A870,#REF!,2,0)," ")</f>
        <v xml:space="preserve"> </v>
      </c>
      <c r="C870" s="20">
        <f>IFERROR(VLOOKUP(A870,#REF!,3,0),0)</f>
        <v>0</v>
      </c>
      <c r="D870" s="20">
        <f>IFERROR(VLOOKUP(A870,#REF!,4,0),0)</f>
        <v>0</v>
      </c>
    </row>
    <row r="871" spans="1:4">
      <c r="A871" s="14" t="s">
        <v>810</v>
      </c>
      <c r="B871" s="15" t="str">
        <f>IFERROR(VLOOKUP(A871,#REF!,2,0)," ")</f>
        <v xml:space="preserve"> </v>
      </c>
      <c r="C871" s="20">
        <f>IFERROR(VLOOKUP(A871,#REF!,3,0),0)</f>
        <v>0</v>
      </c>
      <c r="D871" s="20">
        <f>IFERROR(VLOOKUP(A871,#REF!,4,0),0)</f>
        <v>0</v>
      </c>
    </row>
    <row r="872" spans="1:4">
      <c r="A872" s="14" t="s">
        <v>365</v>
      </c>
      <c r="B872" s="15" t="str">
        <f>IFERROR(VLOOKUP(A872,#REF!,2,0)," ")</f>
        <v xml:space="preserve"> </v>
      </c>
      <c r="C872" s="20">
        <f>IFERROR(VLOOKUP(A872,#REF!,3,0),0)</f>
        <v>0</v>
      </c>
      <c r="D872" s="20">
        <f>IFERROR(VLOOKUP(A872,#REF!,4,0),0)</f>
        <v>0</v>
      </c>
    </row>
    <row r="873" spans="1:4">
      <c r="A873" s="14" t="s">
        <v>811</v>
      </c>
      <c r="B873" s="15" t="str">
        <f>IFERROR(VLOOKUP(A873,#REF!,2,0)," ")</f>
        <v xml:space="preserve"> </v>
      </c>
      <c r="C873" s="20">
        <f>IFERROR(VLOOKUP(A873,#REF!,3,0),0)</f>
        <v>0</v>
      </c>
      <c r="D873" s="20">
        <f>IFERROR(VLOOKUP(A873,#REF!,4,0),0)</f>
        <v>0</v>
      </c>
    </row>
    <row r="874" spans="1:4">
      <c r="A874" s="14" t="s">
        <v>812</v>
      </c>
      <c r="B874" s="15" t="str">
        <f>IFERROR(VLOOKUP(A874,#REF!,2,0)," ")</f>
        <v xml:space="preserve"> </v>
      </c>
      <c r="C874" s="20">
        <f>IFERROR(VLOOKUP(A874,#REF!,3,0),0)</f>
        <v>0</v>
      </c>
      <c r="D874" s="20">
        <f>IFERROR(VLOOKUP(A874,#REF!,4,0),0)</f>
        <v>0</v>
      </c>
    </row>
    <row r="875" spans="1:4">
      <c r="A875" s="14" t="s">
        <v>730</v>
      </c>
      <c r="B875" s="15" t="str">
        <f>IFERROR(VLOOKUP(A875,#REF!,2,0)," ")</f>
        <v xml:space="preserve"> </v>
      </c>
      <c r="C875" s="20">
        <f>IFERROR(VLOOKUP(A875,#REF!,3,0),0)</f>
        <v>0</v>
      </c>
      <c r="D875" s="20">
        <f>IFERROR(VLOOKUP(A875,#REF!,4,0),0)</f>
        <v>0</v>
      </c>
    </row>
    <row r="876" spans="1:4">
      <c r="A876" s="14" t="s">
        <v>1358</v>
      </c>
      <c r="B876" s="15" t="str">
        <f>IFERROR(VLOOKUP(A876,#REF!,2,0)," ")</f>
        <v xml:space="preserve"> </v>
      </c>
      <c r="C876" s="20">
        <f>IFERROR(VLOOKUP(A876,#REF!,3,0),0)</f>
        <v>0</v>
      </c>
      <c r="D876" s="20">
        <f>IFERROR(VLOOKUP(A876,#REF!,4,0),0)</f>
        <v>0</v>
      </c>
    </row>
    <row r="877" spans="1:4">
      <c r="A877" s="14" t="s">
        <v>1357</v>
      </c>
      <c r="B877" s="15" t="str">
        <f>IFERROR(VLOOKUP(A877,#REF!,2,0)," ")</f>
        <v xml:space="preserve"> </v>
      </c>
      <c r="C877" s="20">
        <f>IFERROR(VLOOKUP(A877,#REF!,3,0),0)</f>
        <v>0</v>
      </c>
      <c r="D877" s="20">
        <f>IFERROR(VLOOKUP(A877,#REF!,4,0),0)</f>
        <v>0</v>
      </c>
    </row>
    <row r="878" spans="1:4">
      <c r="A878" s="14" t="s">
        <v>813</v>
      </c>
      <c r="B878" s="15" t="str">
        <f>IFERROR(VLOOKUP(A878,#REF!,2,0)," ")</f>
        <v xml:space="preserve"> </v>
      </c>
      <c r="C878" s="20">
        <f>IFERROR(VLOOKUP(A878,#REF!,3,0),0)</f>
        <v>0</v>
      </c>
      <c r="D878" s="20">
        <f>IFERROR(VLOOKUP(A878,#REF!,4,0),0)</f>
        <v>0</v>
      </c>
    </row>
    <row r="879" spans="1:4">
      <c r="A879" s="14" t="s">
        <v>814</v>
      </c>
      <c r="B879" s="15" t="str">
        <f>IFERROR(VLOOKUP(A879,#REF!,2,0)," ")</f>
        <v xml:space="preserve"> </v>
      </c>
      <c r="C879" s="20">
        <f>IFERROR(VLOOKUP(A879,#REF!,3,0),0)</f>
        <v>0</v>
      </c>
      <c r="D879" s="20">
        <f>IFERROR(VLOOKUP(A879,#REF!,4,0),0)</f>
        <v>0</v>
      </c>
    </row>
    <row r="880" spans="1:4">
      <c r="A880" s="14" t="s">
        <v>216</v>
      </c>
      <c r="B880" s="15" t="str">
        <f>IFERROR(VLOOKUP(A880,#REF!,2,0)," ")</f>
        <v xml:space="preserve"> </v>
      </c>
      <c r="C880" s="20">
        <f>IFERROR(VLOOKUP(A880,#REF!,3,0),0)</f>
        <v>0</v>
      </c>
      <c r="D880" s="20">
        <f>IFERROR(VLOOKUP(A880,#REF!,4,0),0)</f>
        <v>0</v>
      </c>
    </row>
    <row r="881" spans="1:4">
      <c r="A881" s="14" t="s">
        <v>1485</v>
      </c>
      <c r="B881" s="15" t="str">
        <f>IFERROR(VLOOKUP(A881,#REF!,2,0)," ")</f>
        <v xml:space="preserve"> </v>
      </c>
      <c r="C881" s="20">
        <f>IFERROR(VLOOKUP(A881,#REF!,3,0),0)</f>
        <v>0</v>
      </c>
      <c r="D881" s="20">
        <f>IFERROR(VLOOKUP(A881,#REF!,4,0),0)</f>
        <v>0</v>
      </c>
    </row>
    <row r="882" spans="1:4">
      <c r="A882" s="14" t="s">
        <v>1486</v>
      </c>
      <c r="B882" s="15" t="str">
        <f>IFERROR(VLOOKUP(A882,#REF!,2,0)," ")</f>
        <v xml:space="preserve"> </v>
      </c>
      <c r="C882" s="20">
        <f>IFERROR(VLOOKUP(A882,#REF!,3,0),0)</f>
        <v>0</v>
      </c>
      <c r="D882" s="20">
        <f>IFERROR(VLOOKUP(A882,#REF!,4,0),0)</f>
        <v>0</v>
      </c>
    </row>
    <row r="883" spans="1:4">
      <c r="A883" s="14" t="s">
        <v>1070</v>
      </c>
      <c r="B883" s="15" t="str">
        <f>IFERROR(VLOOKUP(A883,#REF!,2,0)," ")</f>
        <v xml:space="preserve"> </v>
      </c>
      <c r="C883" s="20">
        <f>IFERROR(VLOOKUP(A883,#REF!,3,0),0)</f>
        <v>0</v>
      </c>
      <c r="D883" s="20">
        <f>IFERROR(VLOOKUP(A883,#REF!,4,0),0)</f>
        <v>0</v>
      </c>
    </row>
    <row r="884" spans="1:4">
      <c r="A884" s="14" t="s">
        <v>1361</v>
      </c>
      <c r="B884" s="15" t="str">
        <f>IFERROR(VLOOKUP(A884,#REF!,2,0)," ")</f>
        <v xml:space="preserve"> </v>
      </c>
      <c r="C884" s="20">
        <f>IFERROR(VLOOKUP(A884,#REF!,3,0),0)</f>
        <v>0</v>
      </c>
      <c r="D884" s="20">
        <f>IFERROR(VLOOKUP(A884,#REF!,4,0),0)</f>
        <v>0</v>
      </c>
    </row>
    <row r="885" spans="1:4">
      <c r="A885" s="14" t="s">
        <v>882</v>
      </c>
      <c r="B885" s="15" t="str">
        <f>IFERROR(VLOOKUP(A885,#REF!,2,0)," ")</f>
        <v xml:space="preserve"> </v>
      </c>
      <c r="C885" s="20">
        <f>IFERROR(VLOOKUP(A885,#REF!,3,0),0)</f>
        <v>0</v>
      </c>
      <c r="D885" s="20">
        <f>IFERROR(VLOOKUP(A885,#REF!,4,0),0)</f>
        <v>0</v>
      </c>
    </row>
    <row r="886" spans="1:4">
      <c r="A886" s="14" t="s">
        <v>1383</v>
      </c>
      <c r="B886" s="15" t="str">
        <f>IFERROR(VLOOKUP(A886,#REF!,2,0)," ")</f>
        <v xml:space="preserve"> </v>
      </c>
      <c r="C886" s="20">
        <f>IFERROR(VLOOKUP(A886,#REF!,3,0),0)</f>
        <v>0</v>
      </c>
      <c r="D886" s="20">
        <f>IFERROR(VLOOKUP(A886,#REF!,4,0),0)</f>
        <v>0</v>
      </c>
    </row>
    <row r="887" spans="1:4">
      <c r="A887" s="14" t="s">
        <v>423</v>
      </c>
      <c r="B887" s="15" t="str">
        <f>IFERROR(VLOOKUP(A887,#REF!,2,0)," ")</f>
        <v xml:space="preserve"> </v>
      </c>
      <c r="C887" s="20">
        <f>IFERROR(VLOOKUP(A887,#REF!,3,0),0)</f>
        <v>0</v>
      </c>
      <c r="D887" s="20">
        <f>IFERROR(VLOOKUP(A887,#REF!,4,0),0)</f>
        <v>0</v>
      </c>
    </row>
    <row r="888" spans="1:4">
      <c r="A888" s="14" t="s">
        <v>731</v>
      </c>
      <c r="B888" s="15" t="str">
        <f>IFERROR(VLOOKUP(A888,#REF!,2,0)," ")</f>
        <v xml:space="preserve"> </v>
      </c>
      <c r="C888" s="20">
        <f>IFERROR(VLOOKUP(A888,#REF!,3,0),0)</f>
        <v>0</v>
      </c>
      <c r="D888" s="20">
        <f>IFERROR(VLOOKUP(A888,#REF!,4,0),0)</f>
        <v>0</v>
      </c>
    </row>
    <row r="889" spans="1:4">
      <c r="A889" s="14" t="s">
        <v>176</v>
      </c>
      <c r="B889" s="15" t="str">
        <f>IFERROR(VLOOKUP(A889,#REF!,2,0)," ")</f>
        <v xml:space="preserve"> </v>
      </c>
      <c r="C889" s="20">
        <f>IFERROR(VLOOKUP(A889,#REF!,3,0),0)</f>
        <v>0</v>
      </c>
      <c r="D889" s="20">
        <f>IFERROR(VLOOKUP(A889,#REF!,4,0),0)</f>
        <v>0</v>
      </c>
    </row>
    <row r="890" spans="1:4">
      <c r="A890" s="14" t="s">
        <v>183</v>
      </c>
      <c r="B890" s="15" t="str">
        <f>IFERROR(VLOOKUP(A890,#REF!,2,0)," ")</f>
        <v xml:space="preserve"> </v>
      </c>
      <c r="C890" s="20">
        <f>IFERROR(VLOOKUP(A890,#REF!,3,0),0)</f>
        <v>0</v>
      </c>
      <c r="D890" s="20">
        <f>IFERROR(VLOOKUP(A890,#REF!,4,0),0)</f>
        <v>0</v>
      </c>
    </row>
    <row r="891" spans="1:4">
      <c r="A891" s="14" t="s">
        <v>80</v>
      </c>
      <c r="B891" s="15" t="str">
        <f>IFERROR(VLOOKUP(A891,#REF!,2,0)," ")</f>
        <v xml:space="preserve"> </v>
      </c>
      <c r="C891" s="20">
        <f>IFERROR(VLOOKUP(A891,#REF!,3,0),0)</f>
        <v>0</v>
      </c>
      <c r="D891" s="20">
        <f>IFERROR(VLOOKUP(A891,#REF!,4,0),0)</f>
        <v>0</v>
      </c>
    </row>
    <row r="892" spans="1:4">
      <c r="A892" s="14" t="s">
        <v>1503</v>
      </c>
      <c r="B892" s="15" t="str">
        <f>IFERROR(VLOOKUP(A892,#REF!,2,0)," ")</f>
        <v xml:space="preserve"> </v>
      </c>
      <c r="C892" s="20">
        <f>IFERROR(VLOOKUP(A892,#REF!,3,0),0)</f>
        <v>0</v>
      </c>
      <c r="D892" s="20">
        <f>IFERROR(VLOOKUP(A892,#REF!,4,0),0)</f>
        <v>0</v>
      </c>
    </row>
    <row r="893" spans="1:4" ht="15">
      <c r="A893" s="69" t="s">
        <v>1558</v>
      </c>
      <c r="B893" s="69"/>
      <c r="C893" s="69"/>
      <c r="D893" s="70" t="s">
        <v>2150</v>
      </c>
    </row>
    <row r="894" spans="1:4" ht="12">
      <c r="A894" s="18" t="s">
        <v>370</v>
      </c>
      <c r="B894" s="18" t="s">
        <v>565</v>
      </c>
      <c r="C894" s="16" t="s">
        <v>371</v>
      </c>
      <c r="D894" s="70"/>
    </row>
    <row r="895" spans="1:4">
      <c r="A895" s="21" t="s">
        <v>1650</v>
      </c>
      <c r="B895" s="15" t="str">
        <f>IFERROR(VLOOKUP(A895,#REF!,2,0)," ")</f>
        <v xml:space="preserve"> </v>
      </c>
      <c r="C895" s="20">
        <f>IFERROR(VLOOKUP(A895,#REF!,3,0),0)</f>
        <v>0</v>
      </c>
      <c r="D895" s="20">
        <f>IFERROR(VLOOKUP(A895,#REF!,4,0),0)</f>
        <v>0</v>
      </c>
    </row>
    <row r="896" spans="1:4">
      <c r="A896" s="21" t="s">
        <v>1647</v>
      </c>
      <c r="B896" s="15" t="str">
        <f>IFERROR(VLOOKUP(A896,#REF!,2,0)," ")</f>
        <v xml:space="preserve"> </v>
      </c>
      <c r="C896" s="20">
        <f>IFERROR(VLOOKUP(A896,#REF!,3,0),0)</f>
        <v>0</v>
      </c>
      <c r="D896" s="20">
        <f>IFERROR(VLOOKUP(A896,#REF!,4,0),0)</f>
        <v>0</v>
      </c>
    </row>
    <row r="897" spans="1:4">
      <c r="A897" s="21" t="s">
        <v>1648</v>
      </c>
      <c r="B897" s="15" t="str">
        <f>IFERROR(VLOOKUP(A897,#REF!,2,0)," ")</f>
        <v xml:space="preserve"> </v>
      </c>
      <c r="C897" s="20">
        <f>IFERROR(VLOOKUP(A897,#REF!,3,0),0)</f>
        <v>0</v>
      </c>
      <c r="D897" s="20">
        <f>IFERROR(VLOOKUP(A897,#REF!,4,0),0)</f>
        <v>0</v>
      </c>
    </row>
    <row r="898" spans="1:4">
      <c r="A898" s="21" t="s">
        <v>1649</v>
      </c>
      <c r="B898" s="15" t="str">
        <f>IFERROR(VLOOKUP(A898,#REF!,2,0)," ")</f>
        <v xml:space="preserve"> </v>
      </c>
      <c r="C898" s="20">
        <f>IFERROR(VLOOKUP(A898,#REF!,3,0),0)</f>
        <v>0</v>
      </c>
      <c r="D898" s="20">
        <f>IFERROR(VLOOKUP(A898,#REF!,4,0),0)</f>
        <v>0</v>
      </c>
    </row>
    <row r="899" spans="1:4">
      <c r="A899" s="21" t="s">
        <v>1559</v>
      </c>
      <c r="B899" s="15" t="str">
        <f>IFERROR(VLOOKUP(A899,#REF!,2,0)," ")</f>
        <v xml:space="preserve"> </v>
      </c>
      <c r="C899" s="20">
        <f>IFERROR(VLOOKUP(A899,#REF!,3,0),0)</f>
        <v>0</v>
      </c>
      <c r="D899" s="20">
        <f>IFERROR(VLOOKUP(A899,#REF!,4,0),0)</f>
        <v>0</v>
      </c>
    </row>
    <row r="900" spans="1:4">
      <c r="A900" s="21" t="s">
        <v>1560</v>
      </c>
      <c r="B900" s="15" t="str">
        <f>IFERROR(VLOOKUP(A900,#REF!,2,0)," ")</f>
        <v xml:space="preserve"> </v>
      </c>
      <c r="C900" s="20">
        <f>IFERROR(VLOOKUP(A900,#REF!,3,0),0)</f>
        <v>0</v>
      </c>
      <c r="D900" s="20">
        <f>IFERROR(VLOOKUP(A900,#REF!,4,0),0)</f>
        <v>0</v>
      </c>
    </row>
    <row r="901" spans="1:4">
      <c r="A901" s="21" t="s">
        <v>1818</v>
      </c>
      <c r="B901" s="15" t="str">
        <f>IFERROR(VLOOKUP(A901,#REF!,2,0)," ")</f>
        <v xml:space="preserve"> </v>
      </c>
      <c r="C901" s="20">
        <f>IFERROR(VLOOKUP(A901,#REF!,3,0),0)</f>
        <v>0</v>
      </c>
      <c r="D901" s="20">
        <f>IFERROR(VLOOKUP(A901,#REF!,4,0),0)</f>
        <v>0</v>
      </c>
    </row>
    <row r="902" spans="1:4">
      <c r="A902" s="21" t="s">
        <v>1561</v>
      </c>
      <c r="B902" s="15" t="str">
        <f>IFERROR(VLOOKUP(A902,#REF!,2,0)," ")</f>
        <v xml:space="preserve"> </v>
      </c>
      <c r="C902" s="20">
        <f>IFERROR(VLOOKUP(A902,#REF!,3,0),0)</f>
        <v>0</v>
      </c>
      <c r="D902" s="20">
        <f>IFERROR(VLOOKUP(A902,#REF!,4,0),0)</f>
        <v>0</v>
      </c>
    </row>
    <row r="903" spans="1:4">
      <c r="A903" s="21" t="s">
        <v>1563</v>
      </c>
      <c r="B903" s="15" t="str">
        <f>IFERROR(VLOOKUP(A903,#REF!,2,0)," ")</f>
        <v xml:space="preserve"> </v>
      </c>
      <c r="C903" s="20">
        <f>IFERROR(VLOOKUP(A903,#REF!,3,0),0)</f>
        <v>0</v>
      </c>
      <c r="D903" s="20">
        <f>IFERROR(VLOOKUP(A903,#REF!,4,0),0)</f>
        <v>0</v>
      </c>
    </row>
    <row r="904" spans="1:4">
      <c r="A904" s="21" t="s">
        <v>1827</v>
      </c>
      <c r="B904" s="15" t="str">
        <f>IFERROR(VLOOKUP(A904,#REF!,2,0)," ")</f>
        <v xml:space="preserve"> </v>
      </c>
      <c r="C904" s="20">
        <f>IFERROR(VLOOKUP(A904,#REF!,3,0),0)</f>
        <v>0</v>
      </c>
      <c r="D904" s="20">
        <f>IFERROR(VLOOKUP(A904,#REF!,4,0),0)</f>
        <v>0</v>
      </c>
    </row>
    <row r="905" spans="1:4">
      <c r="A905" s="21" t="s">
        <v>1562</v>
      </c>
      <c r="B905" s="15" t="str">
        <f>IFERROR(VLOOKUP(A905,#REF!,2,0)," ")</f>
        <v xml:space="preserve"> </v>
      </c>
      <c r="C905" s="20">
        <f>IFERROR(VLOOKUP(A905,#REF!,3,0),0)</f>
        <v>0</v>
      </c>
      <c r="D905" s="20">
        <f>IFERROR(VLOOKUP(A905,#REF!,4,0),0)</f>
        <v>0</v>
      </c>
    </row>
    <row r="906" spans="1:4">
      <c r="A906" s="21" t="s">
        <v>1564</v>
      </c>
      <c r="B906" s="15" t="str">
        <f>IFERROR(VLOOKUP(A906,#REF!,2,0)," ")</f>
        <v xml:space="preserve"> </v>
      </c>
      <c r="C906" s="20">
        <f>IFERROR(VLOOKUP(A906,#REF!,3,0),0)</f>
        <v>0</v>
      </c>
      <c r="D906" s="20">
        <f>IFERROR(VLOOKUP(A906,#REF!,4,0),0)</f>
        <v>0</v>
      </c>
    </row>
    <row r="907" spans="1:4">
      <c r="A907" s="21" t="s">
        <v>1566</v>
      </c>
      <c r="B907" s="15" t="str">
        <f>IFERROR(VLOOKUP(A907,#REF!,2,0)," ")</f>
        <v xml:space="preserve"> </v>
      </c>
      <c r="C907" s="20">
        <f>IFERROR(VLOOKUP(A907,#REF!,3,0),0)</f>
        <v>0</v>
      </c>
      <c r="D907" s="20">
        <f>IFERROR(VLOOKUP(A907,#REF!,4,0),0)</f>
        <v>0</v>
      </c>
    </row>
    <row r="908" spans="1:4">
      <c r="A908" s="21" t="s">
        <v>1828</v>
      </c>
      <c r="B908" s="15" t="str">
        <f>IFERROR(VLOOKUP(A908,#REF!,2,0)," ")</f>
        <v xml:space="preserve"> </v>
      </c>
      <c r="C908" s="20">
        <f>IFERROR(VLOOKUP(A908,#REF!,3,0),0)</f>
        <v>0</v>
      </c>
      <c r="D908" s="20">
        <f>IFERROR(VLOOKUP(A908,#REF!,4,0),0)</f>
        <v>0</v>
      </c>
    </row>
    <row r="909" spans="1:4">
      <c r="A909" s="21" t="s">
        <v>1565</v>
      </c>
      <c r="B909" s="15" t="str">
        <f>IFERROR(VLOOKUP(A909,#REF!,2,0)," ")</f>
        <v xml:space="preserve"> </v>
      </c>
      <c r="C909" s="20">
        <f>IFERROR(VLOOKUP(A909,#REF!,3,0),0)</f>
        <v>0</v>
      </c>
      <c r="D909" s="20">
        <f>IFERROR(VLOOKUP(A909,#REF!,4,0),0)</f>
        <v>0</v>
      </c>
    </row>
    <row r="910" spans="1:4">
      <c r="A910" s="21" t="s">
        <v>1567</v>
      </c>
      <c r="B910" s="15" t="str">
        <f>IFERROR(VLOOKUP(A910,#REF!,2,0)," ")</f>
        <v xml:space="preserve"> </v>
      </c>
      <c r="C910" s="20">
        <f>IFERROR(VLOOKUP(A910,#REF!,3,0),0)</f>
        <v>0</v>
      </c>
      <c r="D910" s="20">
        <f>IFERROR(VLOOKUP(A910,#REF!,4,0),0)</f>
        <v>0</v>
      </c>
    </row>
    <row r="911" spans="1:4">
      <c r="A911" s="21" t="s">
        <v>1569</v>
      </c>
      <c r="B911" s="15" t="str">
        <f>IFERROR(VLOOKUP(A911,#REF!,2,0)," ")</f>
        <v xml:space="preserve"> </v>
      </c>
      <c r="C911" s="20">
        <f>IFERROR(VLOOKUP(A911,#REF!,3,0),0)</f>
        <v>0</v>
      </c>
      <c r="D911" s="20">
        <f>IFERROR(VLOOKUP(A911,#REF!,4,0),0)</f>
        <v>0</v>
      </c>
    </row>
    <row r="912" spans="1:4">
      <c r="A912" s="21" t="s">
        <v>1829</v>
      </c>
      <c r="B912" s="15" t="str">
        <f>IFERROR(VLOOKUP(A912,#REF!,2,0)," ")</f>
        <v xml:space="preserve"> </v>
      </c>
      <c r="C912" s="20">
        <f>IFERROR(VLOOKUP(A912,#REF!,3,0),0)</f>
        <v>0</v>
      </c>
      <c r="D912" s="20">
        <f>IFERROR(VLOOKUP(A912,#REF!,4,0),0)</f>
        <v>0</v>
      </c>
    </row>
    <row r="913" spans="1:4">
      <c r="A913" s="21" t="s">
        <v>1568</v>
      </c>
      <c r="B913" s="15" t="str">
        <f>IFERROR(VLOOKUP(A913,#REF!,2,0)," ")</f>
        <v xml:space="preserve"> </v>
      </c>
      <c r="C913" s="20">
        <f>IFERROR(VLOOKUP(A913,#REF!,3,0),0)</f>
        <v>0</v>
      </c>
      <c r="D913" s="20">
        <f>IFERROR(VLOOKUP(A913,#REF!,4,0),0)</f>
        <v>0</v>
      </c>
    </row>
    <row r="914" spans="1:4">
      <c r="A914" s="21" t="s">
        <v>1570</v>
      </c>
      <c r="B914" s="15" t="str">
        <f>IFERROR(VLOOKUP(A914,#REF!,2,0)," ")</f>
        <v xml:space="preserve"> </v>
      </c>
      <c r="C914" s="20">
        <f>IFERROR(VLOOKUP(A914,#REF!,3,0),0)</f>
        <v>0</v>
      </c>
      <c r="D914" s="20">
        <f>IFERROR(VLOOKUP(A914,#REF!,4,0),0)</f>
        <v>0</v>
      </c>
    </row>
    <row r="915" spans="1:4">
      <c r="A915" s="21" t="s">
        <v>1572</v>
      </c>
      <c r="B915" s="15" t="str">
        <f>IFERROR(VLOOKUP(A915,#REF!,2,0)," ")</f>
        <v xml:space="preserve"> </v>
      </c>
      <c r="C915" s="20">
        <f>IFERROR(VLOOKUP(A915,#REF!,3,0),0)</f>
        <v>0</v>
      </c>
      <c r="D915" s="20">
        <f>IFERROR(VLOOKUP(A915,#REF!,4,0),0)</f>
        <v>0</v>
      </c>
    </row>
    <row r="916" spans="1:4">
      <c r="A916" s="21" t="s">
        <v>1830</v>
      </c>
      <c r="B916" s="15" t="str">
        <f>IFERROR(VLOOKUP(A916,#REF!,2,0)," ")</f>
        <v xml:space="preserve"> </v>
      </c>
      <c r="C916" s="20">
        <f>IFERROR(VLOOKUP(A916,#REF!,3,0),0)</f>
        <v>0</v>
      </c>
      <c r="D916" s="20">
        <f>IFERROR(VLOOKUP(A916,#REF!,4,0),0)</f>
        <v>0</v>
      </c>
    </row>
    <row r="917" spans="1:4">
      <c r="A917" s="21" t="s">
        <v>1571</v>
      </c>
      <c r="B917" s="15" t="str">
        <f>IFERROR(VLOOKUP(A917,#REF!,2,0)," ")</f>
        <v xml:space="preserve"> </v>
      </c>
      <c r="C917" s="20">
        <f>IFERROR(VLOOKUP(A917,#REF!,3,0),0)</f>
        <v>0</v>
      </c>
      <c r="D917" s="20">
        <f>IFERROR(VLOOKUP(A917,#REF!,4,0),0)</f>
        <v>0</v>
      </c>
    </row>
    <row r="918" spans="1:4">
      <c r="A918" s="21" t="s">
        <v>1819</v>
      </c>
      <c r="B918" s="15" t="str">
        <f>IFERROR(VLOOKUP(A918,#REF!,2,0)," ")</f>
        <v xml:space="preserve"> </v>
      </c>
      <c r="C918" s="20">
        <f>IFERROR(VLOOKUP(A918,#REF!,3,0),0)</f>
        <v>0</v>
      </c>
      <c r="D918" s="20">
        <f>IFERROR(VLOOKUP(A918,#REF!,4,0),0)</f>
        <v>0</v>
      </c>
    </row>
    <row r="919" spans="1:4">
      <c r="A919" s="21" t="s">
        <v>1820</v>
      </c>
      <c r="B919" s="15" t="str">
        <f>IFERROR(VLOOKUP(A919,#REF!,2,0)," ")</f>
        <v xml:space="preserve"> </v>
      </c>
      <c r="C919" s="20">
        <f>IFERROR(VLOOKUP(A919,#REF!,3,0),0)</f>
        <v>0</v>
      </c>
      <c r="D919" s="20">
        <f>IFERROR(VLOOKUP(A919,#REF!,4,0),0)</f>
        <v>0</v>
      </c>
    </row>
    <row r="920" spans="1:4">
      <c r="A920" s="21" t="s">
        <v>1821</v>
      </c>
      <c r="B920" s="15" t="str">
        <f>IFERROR(VLOOKUP(A920,#REF!,2,0)," ")</f>
        <v xml:space="preserve"> </v>
      </c>
      <c r="C920" s="20">
        <f>IFERROR(VLOOKUP(A920,#REF!,3,0),0)</f>
        <v>0</v>
      </c>
      <c r="D920" s="20">
        <f>IFERROR(VLOOKUP(A920,#REF!,4,0),0)</f>
        <v>0</v>
      </c>
    </row>
    <row r="921" spans="1:4">
      <c r="A921" s="21" t="s">
        <v>1832</v>
      </c>
      <c r="B921" s="15" t="str">
        <f>IFERROR(VLOOKUP(A921,#REF!,2,0)," ")</f>
        <v xml:space="preserve"> </v>
      </c>
      <c r="C921" s="20">
        <f>IFERROR(VLOOKUP(A921,#REF!,3,0),0)</f>
        <v>0</v>
      </c>
      <c r="D921" s="20">
        <f>IFERROR(VLOOKUP(A921,#REF!,4,0),0)</f>
        <v>0</v>
      </c>
    </row>
    <row r="922" spans="1:4">
      <c r="A922" s="21" t="s">
        <v>1822</v>
      </c>
      <c r="B922" s="15" t="str">
        <f>IFERROR(VLOOKUP(A922,#REF!,2,0)," ")</f>
        <v xml:space="preserve"> </v>
      </c>
      <c r="C922" s="20">
        <f>IFERROR(VLOOKUP(A922,#REF!,3,0),0)</f>
        <v>0</v>
      </c>
      <c r="D922" s="20">
        <f>IFERROR(VLOOKUP(A922,#REF!,4,0),0)</f>
        <v>0</v>
      </c>
    </row>
    <row r="923" spans="1:4">
      <c r="A923" s="21" t="s">
        <v>1573</v>
      </c>
      <c r="B923" s="15" t="str">
        <f>IFERROR(VLOOKUP(A923,#REF!,2,0)," ")</f>
        <v xml:space="preserve"> </v>
      </c>
      <c r="C923" s="20">
        <f>IFERROR(VLOOKUP(A923,#REF!,3,0),0)</f>
        <v>0</v>
      </c>
      <c r="D923" s="20">
        <f>IFERROR(VLOOKUP(A923,#REF!,4,0),0)</f>
        <v>0</v>
      </c>
    </row>
    <row r="924" spans="1:4">
      <c r="A924" s="21" t="s">
        <v>1574</v>
      </c>
      <c r="B924" s="15" t="str">
        <f>IFERROR(VLOOKUP(A924,#REF!,2,0)," ")</f>
        <v xml:space="preserve"> </v>
      </c>
      <c r="C924" s="20">
        <f>IFERROR(VLOOKUP(A924,#REF!,3,0),0)</f>
        <v>0</v>
      </c>
      <c r="D924" s="20">
        <f>IFERROR(VLOOKUP(A924,#REF!,4,0),0)</f>
        <v>0</v>
      </c>
    </row>
    <row r="925" spans="1:4">
      <c r="A925" s="21" t="s">
        <v>1576</v>
      </c>
      <c r="B925" s="15" t="str">
        <f>IFERROR(VLOOKUP(A925,#REF!,2,0)," ")</f>
        <v xml:space="preserve"> </v>
      </c>
      <c r="C925" s="20">
        <f>IFERROR(VLOOKUP(A925,#REF!,3,0),0)</f>
        <v>0</v>
      </c>
      <c r="D925" s="20">
        <f>IFERROR(VLOOKUP(A925,#REF!,4,0),0)</f>
        <v>0</v>
      </c>
    </row>
    <row r="926" spans="1:4">
      <c r="A926" s="21" t="s">
        <v>1833</v>
      </c>
      <c r="B926" s="15" t="str">
        <f>IFERROR(VLOOKUP(A926,#REF!,2,0)," ")</f>
        <v xml:space="preserve"> </v>
      </c>
      <c r="C926" s="20">
        <f>IFERROR(VLOOKUP(A926,#REF!,3,0),0)</f>
        <v>0</v>
      </c>
      <c r="D926" s="20">
        <f>IFERROR(VLOOKUP(A926,#REF!,4,0),0)</f>
        <v>0</v>
      </c>
    </row>
    <row r="927" spans="1:4">
      <c r="A927" s="21" t="s">
        <v>1575</v>
      </c>
      <c r="B927" s="15" t="str">
        <f>IFERROR(VLOOKUP(A927,#REF!,2,0)," ")</f>
        <v xml:space="preserve"> </v>
      </c>
      <c r="C927" s="20">
        <f>IFERROR(VLOOKUP(A927,#REF!,3,0),0)</f>
        <v>0</v>
      </c>
      <c r="D927" s="20">
        <f>IFERROR(VLOOKUP(A927,#REF!,4,0),0)</f>
        <v>0</v>
      </c>
    </row>
    <row r="928" spans="1:4">
      <c r="A928" s="21" t="s">
        <v>1834</v>
      </c>
      <c r="B928" s="15" t="str">
        <f>IFERROR(VLOOKUP(A928,#REF!,2,0)," ")</f>
        <v xml:space="preserve"> </v>
      </c>
      <c r="C928" s="20">
        <f>IFERROR(VLOOKUP(A928,#REF!,3,0),0)</f>
        <v>0</v>
      </c>
      <c r="D928" s="20">
        <f>IFERROR(VLOOKUP(A928,#REF!,4,0),0)</f>
        <v>0</v>
      </c>
    </row>
    <row r="929" spans="1:4">
      <c r="A929" s="21" t="s">
        <v>1823</v>
      </c>
      <c r="B929" s="15" t="str">
        <f>IFERROR(VLOOKUP(A929,#REF!,2,0)," ")</f>
        <v xml:space="preserve"> </v>
      </c>
      <c r="C929" s="20">
        <f>IFERROR(VLOOKUP(A929,#REF!,3,0),0)</f>
        <v>0</v>
      </c>
      <c r="D929" s="20">
        <f>IFERROR(VLOOKUP(A929,#REF!,4,0),0)</f>
        <v>0</v>
      </c>
    </row>
    <row r="930" spans="1:4">
      <c r="A930" s="21" t="s">
        <v>1870</v>
      </c>
      <c r="B930" s="15" t="str">
        <f>IFERROR(VLOOKUP(A930,#REF!,2,0)," ")</f>
        <v xml:space="preserve"> </v>
      </c>
      <c r="C930" s="20">
        <f>IFERROR(VLOOKUP(A930,#REF!,3,0),0)</f>
        <v>0</v>
      </c>
      <c r="D930" s="20">
        <f>IFERROR(VLOOKUP(A930,#REF!,4,0),0)</f>
        <v>0</v>
      </c>
    </row>
    <row r="931" spans="1:4">
      <c r="A931" s="21" t="s">
        <v>1871</v>
      </c>
      <c r="B931" s="15" t="str">
        <f>IFERROR(VLOOKUP(A931,#REF!,2,0)," ")</f>
        <v xml:space="preserve"> </v>
      </c>
      <c r="C931" s="20">
        <f>IFERROR(VLOOKUP(A931,#REF!,3,0),0)</f>
        <v>0</v>
      </c>
      <c r="D931" s="20">
        <f>IFERROR(VLOOKUP(A931,#REF!,4,0),0)</f>
        <v>0</v>
      </c>
    </row>
    <row r="932" spans="1:4">
      <c r="A932" s="21" t="s">
        <v>1872</v>
      </c>
      <c r="B932" s="15" t="str">
        <f>IFERROR(VLOOKUP(A932,#REF!,2,0)," ")</f>
        <v xml:space="preserve"> </v>
      </c>
      <c r="C932" s="20">
        <f>IFERROR(VLOOKUP(A932,#REF!,3,0),0)</f>
        <v>0</v>
      </c>
      <c r="D932" s="20">
        <f>IFERROR(VLOOKUP(A932,#REF!,4,0),0)</f>
        <v>0</v>
      </c>
    </row>
    <row r="933" spans="1:4">
      <c r="A933" s="21" t="s">
        <v>1873</v>
      </c>
      <c r="B933" s="15" t="str">
        <f>IFERROR(VLOOKUP(A933,#REF!,2,0)," ")</f>
        <v xml:space="preserve"> </v>
      </c>
      <c r="C933" s="20">
        <f>IFERROR(VLOOKUP(A933,#REF!,3,0),0)</f>
        <v>0</v>
      </c>
      <c r="D933" s="20">
        <f>IFERROR(VLOOKUP(A933,#REF!,4,0),0)</f>
        <v>0</v>
      </c>
    </row>
    <row r="934" spans="1:4">
      <c r="A934" s="21" t="s">
        <v>1657</v>
      </c>
      <c r="B934" s="15" t="str">
        <f>IFERROR(VLOOKUP(A934,#REF!,2,0)," ")</f>
        <v xml:space="preserve"> </v>
      </c>
      <c r="C934" s="20">
        <f>IFERROR(VLOOKUP(A934,#REF!,3,0),0)</f>
        <v>0</v>
      </c>
      <c r="D934" s="20">
        <f>IFERROR(VLOOKUP(A934,#REF!,4,0),0)</f>
        <v>0</v>
      </c>
    </row>
    <row r="935" spans="1:4">
      <c r="A935" s="21" t="s">
        <v>1658</v>
      </c>
      <c r="B935" s="15" t="str">
        <f>IFERROR(VLOOKUP(A935,#REF!,2,0)," ")</f>
        <v xml:space="preserve"> </v>
      </c>
      <c r="C935" s="20">
        <f>IFERROR(VLOOKUP(A935,#REF!,3,0),0)</f>
        <v>0</v>
      </c>
      <c r="D935" s="20">
        <f>IFERROR(VLOOKUP(A935,#REF!,4,0),0)</f>
        <v>0</v>
      </c>
    </row>
    <row r="936" spans="1:4">
      <c r="A936" s="21" t="s">
        <v>1651</v>
      </c>
      <c r="B936" s="15" t="str">
        <f>IFERROR(VLOOKUP(A936,#REF!,2,0)," ")</f>
        <v xml:space="preserve"> </v>
      </c>
      <c r="C936" s="20">
        <f>IFERROR(VLOOKUP(A936,#REF!,3,0),0)</f>
        <v>0</v>
      </c>
      <c r="D936" s="20">
        <f>IFERROR(VLOOKUP(A936,#REF!,4,0),0)</f>
        <v>0</v>
      </c>
    </row>
    <row r="937" spans="1:4">
      <c r="A937" s="21" t="s">
        <v>1577</v>
      </c>
      <c r="B937" s="15" t="str">
        <f>IFERROR(VLOOKUP(A937,#REF!,2,0)," ")</f>
        <v xml:space="preserve"> </v>
      </c>
      <c r="C937" s="20">
        <f>IFERROR(VLOOKUP(A937,#REF!,3,0),0)</f>
        <v>0</v>
      </c>
      <c r="D937" s="20">
        <f>IFERROR(VLOOKUP(A937,#REF!,4,0),0)</f>
        <v>0</v>
      </c>
    </row>
    <row r="938" spans="1:4">
      <c r="A938" s="21" t="s">
        <v>1578</v>
      </c>
      <c r="B938" s="15" t="str">
        <f>IFERROR(VLOOKUP(A938,#REF!,2,0)," ")</f>
        <v xml:space="preserve"> </v>
      </c>
      <c r="C938" s="20">
        <f>IFERROR(VLOOKUP(A938,#REF!,3,0),0)</f>
        <v>0</v>
      </c>
      <c r="D938" s="20">
        <f>IFERROR(VLOOKUP(A938,#REF!,4,0),0)</f>
        <v>0</v>
      </c>
    </row>
    <row r="939" spans="1:4">
      <c r="A939" s="21" t="s">
        <v>1654</v>
      </c>
      <c r="B939" s="15" t="str">
        <f>IFERROR(VLOOKUP(A939,#REF!,2,0)," ")</f>
        <v xml:space="preserve"> </v>
      </c>
      <c r="C939" s="20">
        <f>IFERROR(VLOOKUP(A939,#REF!,3,0),0)</f>
        <v>0</v>
      </c>
      <c r="D939" s="20">
        <f>IFERROR(VLOOKUP(A939,#REF!,4,0),0)</f>
        <v>0</v>
      </c>
    </row>
    <row r="940" spans="1:4">
      <c r="A940" s="21" t="s">
        <v>1655</v>
      </c>
      <c r="B940" s="15" t="str">
        <f>IFERROR(VLOOKUP(A940,#REF!,2,0)," ")</f>
        <v xml:space="preserve"> </v>
      </c>
      <c r="C940" s="20">
        <f>IFERROR(VLOOKUP(A940,#REF!,3,0),0)</f>
        <v>0</v>
      </c>
      <c r="D940" s="20">
        <f>IFERROR(VLOOKUP(A940,#REF!,4,0),0)</f>
        <v>0</v>
      </c>
    </row>
    <row r="941" spans="1:4">
      <c r="A941" s="21" t="s">
        <v>1579</v>
      </c>
      <c r="B941" s="15" t="str">
        <f>IFERROR(VLOOKUP(A941,#REF!,2,0)," ")</f>
        <v xml:space="preserve"> </v>
      </c>
      <c r="C941" s="20">
        <f>IFERROR(VLOOKUP(A941,#REF!,3,0),0)</f>
        <v>0</v>
      </c>
      <c r="D941" s="20">
        <f>IFERROR(VLOOKUP(A941,#REF!,4,0),0)</f>
        <v>0</v>
      </c>
    </row>
    <row r="942" spans="1:4">
      <c r="A942" s="21" t="s">
        <v>1580</v>
      </c>
      <c r="B942" s="15" t="str">
        <f>IFERROR(VLOOKUP(A942,#REF!,2,0)," ")</f>
        <v xml:space="preserve"> </v>
      </c>
      <c r="C942" s="20">
        <f>IFERROR(VLOOKUP(A942,#REF!,3,0),0)</f>
        <v>0</v>
      </c>
      <c r="D942" s="20">
        <f>IFERROR(VLOOKUP(A942,#REF!,4,0),0)</f>
        <v>0</v>
      </c>
    </row>
    <row r="943" spans="1:4">
      <c r="A943" s="21" t="s">
        <v>1581</v>
      </c>
      <c r="B943" s="15" t="str">
        <f>IFERROR(VLOOKUP(A943,#REF!,2,0)," ")</f>
        <v xml:space="preserve"> </v>
      </c>
      <c r="C943" s="20">
        <f>IFERROR(VLOOKUP(A943,#REF!,3,0),0)</f>
        <v>0</v>
      </c>
      <c r="D943" s="20">
        <f>IFERROR(VLOOKUP(A943,#REF!,4,0),0)</f>
        <v>0</v>
      </c>
    </row>
    <row r="944" spans="1:4">
      <c r="A944" s="21" t="s">
        <v>1582</v>
      </c>
      <c r="B944" s="15" t="str">
        <f>IFERROR(VLOOKUP(A944,#REF!,2,0)," ")</f>
        <v xml:space="preserve"> </v>
      </c>
      <c r="C944" s="20">
        <f>IFERROR(VLOOKUP(A944,#REF!,3,0),0)</f>
        <v>0</v>
      </c>
      <c r="D944" s="20">
        <f>IFERROR(VLOOKUP(A944,#REF!,4,0),0)</f>
        <v>0</v>
      </c>
    </row>
    <row r="945" spans="1:4">
      <c r="A945" s="21" t="s">
        <v>1670</v>
      </c>
      <c r="B945" s="15" t="str">
        <f>IFERROR(VLOOKUP(A945,#REF!,2,0)," ")</f>
        <v xml:space="preserve"> </v>
      </c>
      <c r="C945" s="20">
        <f>IFERROR(VLOOKUP(A945,#REF!,3,0),0)</f>
        <v>0</v>
      </c>
      <c r="D945" s="20">
        <f>IFERROR(VLOOKUP(A945,#REF!,4,0),0)</f>
        <v>0</v>
      </c>
    </row>
    <row r="946" spans="1:4">
      <c r="A946" s="21" t="s">
        <v>1583</v>
      </c>
      <c r="B946" s="15" t="str">
        <f>IFERROR(VLOOKUP(A946,#REF!,2,0)," ")</f>
        <v xml:space="preserve"> </v>
      </c>
      <c r="C946" s="20">
        <f>IFERROR(VLOOKUP(A946,#REF!,3,0),0)</f>
        <v>0</v>
      </c>
      <c r="D946" s="20">
        <f>IFERROR(VLOOKUP(A946,#REF!,4,0),0)</f>
        <v>0</v>
      </c>
    </row>
    <row r="947" spans="1:4">
      <c r="A947" s="21" t="s">
        <v>1663</v>
      </c>
      <c r="B947" s="15" t="str">
        <f>IFERROR(VLOOKUP(A947,#REF!,2,0)," ")</f>
        <v xml:space="preserve"> </v>
      </c>
      <c r="C947" s="20">
        <f>IFERROR(VLOOKUP(A947,#REF!,3,0),0)</f>
        <v>0</v>
      </c>
      <c r="D947" s="20">
        <f>IFERROR(VLOOKUP(A947,#REF!,4,0),0)</f>
        <v>0</v>
      </c>
    </row>
    <row r="948" spans="1:4">
      <c r="A948" s="21" t="s">
        <v>1584</v>
      </c>
      <c r="B948" s="15" t="str">
        <f>IFERROR(VLOOKUP(A948,#REF!,2,0)," ")</f>
        <v xml:space="preserve"> </v>
      </c>
      <c r="C948" s="20">
        <f>IFERROR(VLOOKUP(A948,#REF!,3,0),0)</f>
        <v>0</v>
      </c>
      <c r="D948" s="20">
        <f>IFERROR(VLOOKUP(A948,#REF!,4,0),0)</f>
        <v>0</v>
      </c>
    </row>
    <row r="949" spans="1:4">
      <c r="A949" s="21" t="s">
        <v>1585</v>
      </c>
      <c r="B949" s="15" t="str">
        <f>IFERROR(VLOOKUP(A949,#REF!,2,0)," ")</f>
        <v xml:space="preserve"> </v>
      </c>
      <c r="C949" s="20">
        <f>IFERROR(VLOOKUP(A949,#REF!,3,0),0)</f>
        <v>0</v>
      </c>
      <c r="D949" s="20">
        <f>IFERROR(VLOOKUP(A949,#REF!,4,0),0)</f>
        <v>0</v>
      </c>
    </row>
    <row r="950" spans="1:4">
      <c r="A950" s="21" t="s">
        <v>1586</v>
      </c>
      <c r="B950" s="15" t="str">
        <f>IFERROR(VLOOKUP(A950,#REF!,2,0)," ")</f>
        <v xml:space="preserve"> </v>
      </c>
      <c r="C950" s="20">
        <f>IFERROR(VLOOKUP(A950,#REF!,3,0),0)</f>
        <v>0</v>
      </c>
      <c r="D950" s="20">
        <f>IFERROR(VLOOKUP(A950,#REF!,4,0),0)</f>
        <v>0</v>
      </c>
    </row>
    <row r="951" spans="1:4">
      <c r="A951" s="21" t="s">
        <v>1664</v>
      </c>
      <c r="B951" s="15" t="str">
        <f>IFERROR(VLOOKUP(A951,#REF!,2,0)," ")</f>
        <v xml:space="preserve"> </v>
      </c>
      <c r="C951" s="20">
        <f>IFERROR(VLOOKUP(A951,#REF!,3,0),0)</f>
        <v>0</v>
      </c>
      <c r="D951" s="20">
        <f>IFERROR(VLOOKUP(A951,#REF!,4,0),0)</f>
        <v>0</v>
      </c>
    </row>
    <row r="952" spans="1:4">
      <c r="A952" s="21" t="s">
        <v>1676</v>
      </c>
      <c r="B952" s="15" t="str">
        <f>IFERROR(VLOOKUP(A952,#REF!,2,0)," ")</f>
        <v xml:space="preserve"> </v>
      </c>
      <c r="C952" s="20">
        <f>IFERROR(VLOOKUP(A952,#REF!,3,0),0)</f>
        <v>0</v>
      </c>
      <c r="D952" s="20">
        <f>IFERROR(VLOOKUP(A952,#REF!,4,0),0)</f>
        <v>0</v>
      </c>
    </row>
    <row r="953" spans="1:4">
      <c r="A953" s="21" t="s">
        <v>1587</v>
      </c>
      <c r="B953" s="15" t="str">
        <f>IFERROR(VLOOKUP(A953,#REF!,2,0)," ")</f>
        <v xml:space="preserve"> </v>
      </c>
      <c r="C953" s="20">
        <f>IFERROR(VLOOKUP(A953,#REF!,3,0),0)</f>
        <v>0</v>
      </c>
      <c r="D953" s="20">
        <f>IFERROR(VLOOKUP(A953,#REF!,4,0),0)</f>
        <v>0</v>
      </c>
    </row>
    <row r="954" spans="1:4">
      <c r="A954" s="21" t="s">
        <v>1666</v>
      </c>
      <c r="B954" s="15" t="str">
        <f>IFERROR(VLOOKUP(A954,#REF!,2,0)," ")</f>
        <v xml:space="preserve"> </v>
      </c>
      <c r="C954" s="20">
        <f>IFERROR(VLOOKUP(A954,#REF!,3,0),0)</f>
        <v>0</v>
      </c>
      <c r="D954" s="20">
        <f>IFERROR(VLOOKUP(A954,#REF!,4,0),0)</f>
        <v>0</v>
      </c>
    </row>
    <row r="955" spans="1:4">
      <c r="A955" s="21" t="s">
        <v>1588</v>
      </c>
      <c r="B955" s="15" t="str">
        <f>IFERROR(VLOOKUP(A955,#REF!,2,0)," ")</f>
        <v xml:space="preserve"> </v>
      </c>
      <c r="C955" s="20">
        <f>IFERROR(VLOOKUP(A955,#REF!,3,0),0)</f>
        <v>0</v>
      </c>
      <c r="D955" s="20">
        <f>IFERROR(VLOOKUP(A955,#REF!,4,0),0)</f>
        <v>0</v>
      </c>
    </row>
    <row r="956" spans="1:4">
      <c r="A956" s="21" t="s">
        <v>1589</v>
      </c>
      <c r="B956" s="15" t="str">
        <f>IFERROR(VLOOKUP(A956,#REF!,2,0)," ")</f>
        <v xml:space="preserve"> </v>
      </c>
      <c r="C956" s="20">
        <f>IFERROR(VLOOKUP(A956,#REF!,3,0),0)</f>
        <v>0</v>
      </c>
      <c r="D956" s="20">
        <f>IFERROR(VLOOKUP(A956,#REF!,4,0),0)</f>
        <v>0</v>
      </c>
    </row>
    <row r="957" spans="1:4">
      <c r="A957" s="21" t="s">
        <v>1590</v>
      </c>
      <c r="B957" s="15" t="str">
        <f>IFERROR(VLOOKUP(A957,#REF!,2,0)," ")</f>
        <v xml:space="preserve"> </v>
      </c>
      <c r="C957" s="20">
        <f>IFERROR(VLOOKUP(A957,#REF!,3,0),0)</f>
        <v>0</v>
      </c>
      <c r="D957" s="20">
        <f>IFERROR(VLOOKUP(A957,#REF!,4,0),0)</f>
        <v>0</v>
      </c>
    </row>
    <row r="958" spans="1:4">
      <c r="A958" s="21" t="s">
        <v>1591</v>
      </c>
      <c r="B958" s="15" t="str">
        <f>IFERROR(VLOOKUP(A958,#REF!,2,0)," ")</f>
        <v xml:space="preserve"> </v>
      </c>
      <c r="C958" s="20">
        <f>IFERROR(VLOOKUP(A958,#REF!,3,0),0)</f>
        <v>0</v>
      </c>
      <c r="D958" s="20">
        <f>IFERROR(VLOOKUP(A958,#REF!,4,0),0)</f>
        <v>0</v>
      </c>
    </row>
    <row r="959" spans="1:4">
      <c r="A959" s="21" t="s">
        <v>1592</v>
      </c>
      <c r="B959" s="15" t="str">
        <f>IFERROR(VLOOKUP(A959,#REF!,2,0)," ")</f>
        <v xml:space="preserve"> </v>
      </c>
      <c r="C959" s="20">
        <f>IFERROR(VLOOKUP(A959,#REF!,3,0),0)</f>
        <v>0</v>
      </c>
      <c r="D959" s="20">
        <f>IFERROR(VLOOKUP(A959,#REF!,4,0),0)</f>
        <v>0</v>
      </c>
    </row>
    <row r="960" spans="1:4">
      <c r="A960" s="21" t="s">
        <v>1593</v>
      </c>
      <c r="B960" s="15" t="str">
        <f>IFERROR(VLOOKUP(A960,#REF!,2,0)," ")</f>
        <v xml:space="preserve"> </v>
      </c>
      <c r="C960" s="20">
        <f>IFERROR(VLOOKUP(A960,#REF!,3,0),0)</f>
        <v>0</v>
      </c>
      <c r="D960" s="20">
        <f>IFERROR(VLOOKUP(A960,#REF!,4,0),0)</f>
        <v>0</v>
      </c>
    </row>
    <row r="961" spans="1:4">
      <c r="A961" s="21" t="s">
        <v>1660</v>
      </c>
      <c r="B961" s="15" t="str">
        <f>IFERROR(VLOOKUP(A961,#REF!,2,0)," ")</f>
        <v xml:space="preserve"> </v>
      </c>
      <c r="C961" s="20">
        <f>IFERROR(VLOOKUP(A961,#REF!,3,0),0)</f>
        <v>0</v>
      </c>
      <c r="D961" s="20">
        <f>IFERROR(VLOOKUP(A961,#REF!,4,0),0)</f>
        <v>0</v>
      </c>
    </row>
    <row r="962" spans="1:4">
      <c r="A962" s="21" t="s">
        <v>1667</v>
      </c>
      <c r="B962" s="15" t="str">
        <f>IFERROR(VLOOKUP(A962,#REF!,2,0)," ")</f>
        <v xml:space="preserve"> </v>
      </c>
      <c r="C962" s="20">
        <f>IFERROR(VLOOKUP(A962,#REF!,3,0),0)</f>
        <v>0</v>
      </c>
      <c r="D962" s="20">
        <f>IFERROR(VLOOKUP(A962,#REF!,4,0),0)</f>
        <v>0</v>
      </c>
    </row>
    <row r="963" spans="1:4">
      <c r="A963" s="21" t="s">
        <v>1594</v>
      </c>
      <c r="B963" s="15" t="str">
        <f>IFERROR(VLOOKUP(A963,#REF!,2,0)," ")</f>
        <v xml:space="preserve"> </v>
      </c>
      <c r="C963" s="20">
        <f>IFERROR(VLOOKUP(A963,#REF!,3,0),0)</f>
        <v>0</v>
      </c>
      <c r="D963" s="20">
        <f>IFERROR(VLOOKUP(A963,#REF!,4,0),0)</f>
        <v>0</v>
      </c>
    </row>
    <row r="964" spans="1:4">
      <c r="A964" s="21" t="s">
        <v>1595</v>
      </c>
      <c r="B964" s="15" t="str">
        <f>IFERROR(VLOOKUP(A964,#REF!,2,0)," ")</f>
        <v xml:space="preserve"> </v>
      </c>
      <c r="C964" s="20">
        <f>IFERROR(VLOOKUP(A964,#REF!,3,0),0)</f>
        <v>0</v>
      </c>
      <c r="D964" s="20">
        <f>IFERROR(VLOOKUP(A964,#REF!,4,0),0)</f>
        <v>0</v>
      </c>
    </row>
    <row r="965" spans="1:4">
      <c r="A965" s="21" t="s">
        <v>1661</v>
      </c>
      <c r="B965" s="15" t="str">
        <f>IFERROR(VLOOKUP(A965,#REF!,2,0)," ")</f>
        <v xml:space="preserve"> </v>
      </c>
      <c r="C965" s="20">
        <f>IFERROR(VLOOKUP(A965,#REF!,3,0),0)</f>
        <v>0</v>
      </c>
      <c r="D965" s="20">
        <f>IFERROR(VLOOKUP(A965,#REF!,4,0),0)</f>
        <v>0</v>
      </c>
    </row>
    <row r="966" spans="1:4">
      <c r="A966" s="21" t="s">
        <v>1665</v>
      </c>
      <c r="B966" s="15" t="str">
        <f>IFERROR(VLOOKUP(A966,#REF!,2,0)," ")</f>
        <v xml:space="preserve"> </v>
      </c>
      <c r="C966" s="20">
        <f>IFERROR(VLOOKUP(A966,#REF!,3,0),0)</f>
        <v>0</v>
      </c>
      <c r="D966" s="20">
        <f>IFERROR(VLOOKUP(A966,#REF!,4,0),0)</f>
        <v>0</v>
      </c>
    </row>
    <row r="967" spans="1:4">
      <c r="A967" s="21" t="s">
        <v>1596</v>
      </c>
      <c r="B967" s="15" t="str">
        <f>IFERROR(VLOOKUP(A967,#REF!,2,0)," ")</f>
        <v xml:space="preserve"> </v>
      </c>
      <c r="C967" s="20">
        <f>IFERROR(VLOOKUP(A967,#REF!,3,0),0)</f>
        <v>0</v>
      </c>
      <c r="D967" s="20">
        <f>IFERROR(VLOOKUP(A967,#REF!,4,0),0)</f>
        <v>0</v>
      </c>
    </row>
    <row r="968" spans="1:4">
      <c r="A968" s="21" t="s">
        <v>1597</v>
      </c>
      <c r="B968" s="15" t="str">
        <f>IFERROR(VLOOKUP(A968,#REF!,2,0)," ")</f>
        <v xml:space="preserve"> </v>
      </c>
      <c r="C968" s="20">
        <f>IFERROR(VLOOKUP(A968,#REF!,3,0),0)</f>
        <v>0</v>
      </c>
      <c r="D968" s="20">
        <f>IFERROR(VLOOKUP(A968,#REF!,4,0),0)</f>
        <v>0</v>
      </c>
    </row>
    <row r="969" spans="1:4">
      <c r="A969" s="21" t="s">
        <v>1598</v>
      </c>
      <c r="B969" s="15" t="str">
        <f>IFERROR(VLOOKUP(A969,#REF!,2,0)," ")</f>
        <v xml:space="preserve"> </v>
      </c>
      <c r="C969" s="20">
        <f>IFERROR(VLOOKUP(A969,#REF!,3,0),0)</f>
        <v>0</v>
      </c>
      <c r="D969" s="20">
        <f>IFERROR(VLOOKUP(A969,#REF!,4,0),0)</f>
        <v>0</v>
      </c>
    </row>
    <row r="970" spans="1:4">
      <c r="A970" s="21" t="s">
        <v>1652</v>
      </c>
      <c r="B970" s="15" t="str">
        <f>IFERROR(VLOOKUP(A970,#REF!,2,0)," ")</f>
        <v xml:space="preserve"> </v>
      </c>
      <c r="C970" s="20">
        <f>IFERROR(VLOOKUP(A970,#REF!,3,0),0)</f>
        <v>0</v>
      </c>
      <c r="D970" s="20">
        <f>IFERROR(VLOOKUP(A970,#REF!,4,0),0)</f>
        <v>0</v>
      </c>
    </row>
    <row r="971" spans="1:4">
      <c r="A971" s="21" t="s">
        <v>1599</v>
      </c>
      <c r="B971" s="15" t="str">
        <f>IFERROR(VLOOKUP(A971,#REF!,2,0)," ")</f>
        <v xml:space="preserve"> </v>
      </c>
      <c r="C971" s="20">
        <f>IFERROR(VLOOKUP(A971,#REF!,3,0),0)</f>
        <v>0</v>
      </c>
      <c r="D971" s="20">
        <f>IFERROR(VLOOKUP(A971,#REF!,4,0),0)</f>
        <v>0</v>
      </c>
    </row>
    <row r="972" spans="1:4">
      <c r="A972" s="14" t="s">
        <v>1653</v>
      </c>
      <c r="B972" s="15" t="str">
        <f>IFERROR(VLOOKUP(A972,#REF!,2,0)," ")</f>
        <v xml:space="preserve"> </v>
      </c>
      <c r="C972" s="20">
        <f>IFERROR(VLOOKUP(A972,#REF!,3,0),0)</f>
        <v>0</v>
      </c>
      <c r="D972" s="20">
        <f>IFERROR(VLOOKUP(A972,#REF!,4,0),0)</f>
        <v>0</v>
      </c>
    </row>
    <row r="973" spans="1:4">
      <c r="A973" s="21" t="s">
        <v>1600</v>
      </c>
      <c r="B973" s="15" t="str">
        <f>IFERROR(VLOOKUP(A973,#REF!,2,0)," ")</f>
        <v xml:space="preserve"> </v>
      </c>
      <c r="C973" s="20">
        <f>IFERROR(VLOOKUP(A973,#REF!,3,0),0)</f>
        <v>0</v>
      </c>
      <c r="D973" s="20">
        <f>IFERROR(VLOOKUP(A973,#REF!,4,0),0)</f>
        <v>0</v>
      </c>
    </row>
    <row r="974" spans="1:4">
      <c r="A974" s="21" t="s">
        <v>1601</v>
      </c>
      <c r="B974" s="15" t="str">
        <f>IFERROR(VLOOKUP(A974,#REF!,2,0)," ")</f>
        <v xml:space="preserve"> </v>
      </c>
      <c r="C974" s="20">
        <f>IFERROR(VLOOKUP(A974,#REF!,3,0),0)</f>
        <v>0</v>
      </c>
      <c r="D974" s="20">
        <f>IFERROR(VLOOKUP(A974,#REF!,4,0),0)</f>
        <v>0</v>
      </c>
    </row>
    <row r="975" spans="1:4">
      <c r="A975" s="21" t="s">
        <v>1602</v>
      </c>
      <c r="B975" s="15" t="str">
        <f>IFERROR(VLOOKUP(A975,#REF!,2,0)," ")</f>
        <v xml:space="preserve"> </v>
      </c>
      <c r="C975" s="20">
        <f>IFERROR(VLOOKUP(A975,#REF!,3,0),0)</f>
        <v>0</v>
      </c>
      <c r="D975" s="20">
        <f>IFERROR(VLOOKUP(A975,#REF!,4,0),0)</f>
        <v>0</v>
      </c>
    </row>
    <row r="976" spans="1:4">
      <c r="A976" s="21" t="s">
        <v>1603</v>
      </c>
      <c r="B976" s="15" t="str">
        <f>IFERROR(VLOOKUP(A976,#REF!,2,0)," ")</f>
        <v xml:space="preserve"> </v>
      </c>
      <c r="C976" s="20">
        <f>IFERROR(VLOOKUP(A976,#REF!,3,0),0)</f>
        <v>0</v>
      </c>
      <c r="D976" s="20">
        <f>IFERROR(VLOOKUP(A976,#REF!,4,0),0)</f>
        <v>0</v>
      </c>
    </row>
    <row r="977" spans="1:4">
      <c r="A977" s="21" t="s">
        <v>1604</v>
      </c>
      <c r="B977" s="15" t="str">
        <f>IFERROR(VLOOKUP(A977,#REF!,2,0)," ")</f>
        <v xml:space="preserve"> </v>
      </c>
      <c r="C977" s="20">
        <f>IFERROR(VLOOKUP(A977,#REF!,3,0),0)</f>
        <v>0</v>
      </c>
      <c r="D977" s="20">
        <f>IFERROR(VLOOKUP(A977,#REF!,4,0),0)</f>
        <v>0</v>
      </c>
    </row>
    <row r="978" spans="1:4">
      <c r="A978" s="21" t="s">
        <v>1605</v>
      </c>
      <c r="B978" s="15" t="str">
        <f>IFERROR(VLOOKUP(A978,#REF!,2,0)," ")</f>
        <v xml:space="preserve"> </v>
      </c>
      <c r="C978" s="20">
        <f>IFERROR(VLOOKUP(A978,#REF!,3,0),0)</f>
        <v>0</v>
      </c>
      <c r="D978" s="20">
        <f>IFERROR(VLOOKUP(A978,#REF!,4,0),0)</f>
        <v>0</v>
      </c>
    </row>
    <row r="979" spans="1:4">
      <c r="A979" s="21" t="s">
        <v>1606</v>
      </c>
      <c r="B979" s="15" t="str">
        <f>IFERROR(VLOOKUP(A979,#REF!,2,0)," ")</f>
        <v xml:space="preserve"> </v>
      </c>
      <c r="C979" s="20">
        <f>IFERROR(VLOOKUP(A979,#REF!,3,0),0)</f>
        <v>0</v>
      </c>
      <c r="D979" s="20">
        <f>IFERROR(VLOOKUP(A979,#REF!,4,0),0)</f>
        <v>0</v>
      </c>
    </row>
    <row r="980" spans="1:4">
      <c r="A980" s="21" t="s">
        <v>1607</v>
      </c>
      <c r="B980" s="15" t="str">
        <f>IFERROR(VLOOKUP(A980,#REF!,2,0)," ")</f>
        <v xml:space="preserve"> </v>
      </c>
      <c r="C980" s="20">
        <f>IFERROR(VLOOKUP(A980,#REF!,3,0),0)</f>
        <v>0</v>
      </c>
      <c r="D980" s="20">
        <f>IFERROR(VLOOKUP(A980,#REF!,4,0),0)</f>
        <v>0</v>
      </c>
    </row>
    <row r="981" spans="1:4">
      <c r="A981" s="21" t="s">
        <v>1656</v>
      </c>
      <c r="B981" s="15" t="str">
        <f>IFERROR(VLOOKUP(A981,#REF!,2,0)," ")</f>
        <v xml:space="preserve"> </v>
      </c>
      <c r="C981" s="20">
        <f>IFERROR(VLOOKUP(A981,#REF!,3,0),0)</f>
        <v>0</v>
      </c>
      <c r="D981" s="20">
        <f>IFERROR(VLOOKUP(A981,#REF!,4,0),0)</f>
        <v>0</v>
      </c>
    </row>
    <row r="982" spans="1:4">
      <c r="A982" s="21" t="s">
        <v>1608</v>
      </c>
      <c r="B982" s="15" t="str">
        <f>IFERROR(VLOOKUP(A982,#REF!,2,0)," ")</f>
        <v xml:space="preserve"> </v>
      </c>
      <c r="C982" s="20">
        <f>IFERROR(VLOOKUP(A982,#REF!,3,0),0)</f>
        <v>0</v>
      </c>
      <c r="D982" s="20">
        <f>IFERROR(VLOOKUP(A982,#REF!,4,0),0)</f>
        <v>0</v>
      </c>
    </row>
    <row r="983" spans="1:4">
      <c r="A983" s="21" t="s">
        <v>1609</v>
      </c>
      <c r="B983" s="15" t="str">
        <f>IFERROR(VLOOKUP(A983,#REF!,2,0)," ")</f>
        <v xml:space="preserve"> </v>
      </c>
      <c r="C983" s="20">
        <f>IFERROR(VLOOKUP(A983,#REF!,3,0),0)</f>
        <v>0</v>
      </c>
      <c r="D983" s="20">
        <f>IFERROR(VLOOKUP(A983,#REF!,4,0),0)</f>
        <v>0</v>
      </c>
    </row>
    <row r="984" spans="1:4">
      <c r="A984" s="21" t="s">
        <v>1659</v>
      </c>
      <c r="B984" s="15" t="str">
        <f>IFERROR(VLOOKUP(A984,#REF!,2,0)," ")</f>
        <v xml:space="preserve"> </v>
      </c>
      <c r="C984" s="20">
        <f>IFERROR(VLOOKUP(A984,#REF!,3,0),0)</f>
        <v>0</v>
      </c>
      <c r="D984" s="20">
        <f>IFERROR(VLOOKUP(A984,#REF!,4,0),0)</f>
        <v>0</v>
      </c>
    </row>
    <row r="985" spans="1:4">
      <c r="A985" s="21" t="s">
        <v>1610</v>
      </c>
      <c r="B985" s="15" t="str">
        <f>IFERROR(VLOOKUP(A985,#REF!,2,0)," ")</f>
        <v xml:space="preserve"> </v>
      </c>
      <c r="C985" s="20">
        <f>IFERROR(VLOOKUP(A985,#REF!,3,0),0)</f>
        <v>0</v>
      </c>
      <c r="D985" s="20">
        <f>IFERROR(VLOOKUP(A985,#REF!,4,0),0)</f>
        <v>0</v>
      </c>
    </row>
    <row r="986" spans="1:4">
      <c r="A986" s="21" t="s">
        <v>1611</v>
      </c>
      <c r="B986" s="15" t="str">
        <f>IFERROR(VLOOKUP(A986,#REF!,2,0)," ")</f>
        <v xml:space="preserve"> </v>
      </c>
      <c r="C986" s="20">
        <f>IFERROR(VLOOKUP(A986,#REF!,3,0),0)</f>
        <v>0</v>
      </c>
      <c r="D986" s="20">
        <f>IFERROR(VLOOKUP(A986,#REF!,4,0),0)</f>
        <v>0</v>
      </c>
    </row>
    <row r="987" spans="1:4">
      <c r="A987" s="21" t="s">
        <v>1612</v>
      </c>
      <c r="B987" s="15" t="str">
        <f>IFERROR(VLOOKUP(A987,#REF!,2,0)," ")</f>
        <v xml:space="preserve"> </v>
      </c>
      <c r="C987" s="20">
        <f>IFERROR(VLOOKUP(A987,#REF!,3,0),0)</f>
        <v>0</v>
      </c>
      <c r="D987" s="20">
        <f>IFERROR(VLOOKUP(A987,#REF!,4,0),0)</f>
        <v>0</v>
      </c>
    </row>
    <row r="988" spans="1:4">
      <c r="A988" s="21" t="s">
        <v>1613</v>
      </c>
      <c r="B988" s="15" t="str">
        <f>IFERROR(VLOOKUP(A988,#REF!,2,0)," ")</f>
        <v xml:space="preserve"> </v>
      </c>
      <c r="C988" s="20">
        <f>IFERROR(VLOOKUP(A988,#REF!,3,0),0)</f>
        <v>0</v>
      </c>
      <c r="D988" s="20">
        <f>IFERROR(VLOOKUP(A988,#REF!,4,0),0)</f>
        <v>0</v>
      </c>
    </row>
    <row r="989" spans="1:4">
      <c r="A989" s="21" t="s">
        <v>1614</v>
      </c>
      <c r="B989" s="15" t="str">
        <f>IFERROR(VLOOKUP(A989,#REF!,2,0)," ")</f>
        <v xml:space="preserve"> </v>
      </c>
      <c r="C989" s="20">
        <f>IFERROR(VLOOKUP(A989,#REF!,3,0),0)</f>
        <v>0</v>
      </c>
      <c r="D989" s="20">
        <f>IFERROR(VLOOKUP(A989,#REF!,4,0),0)</f>
        <v>0</v>
      </c>
    </row>
    <row r="990" spans="1:4">
      <c r="A990" s="21" t="s">
        <v>1615</v>
      </c>
      <c r="B990" s="15" t="str">
        <f>IFERROR(VLOOKUP(A990,#REF!,2,0)," ")</f>
        <v xml:space="preserve"> </v>
      </c>
      <c r="C990" s="20">
        <f>IFERROR(VLOOKUP(A990,#REF!,3,0),0)</f>
        <v>0</v>
      </c>
      <c r="D990" s="20">
        <f>IFERROR(VLOOKUP(A990,#REF!,4,0),0)</f>
        <v>0</v>
      </c>
    </row>
    <row r="991" spans="1:4">
      <c r="A991" s="21" t="s">
        <v>1616</v>
      </c>
      <c r="B991" s="15" t="str">
        <f>IFERROR(VLOOKUP(A991,#REF!,2,0)," ")</f>
        <v xml:space="preserve"> </v>
      </c>
      <c r="C991" s="20">
        <f>IFERROR(VLOOKUP(A991,#REF!,3,0),0)</f>
        <v>0</v>
      </c>
      <c r="D991" s="20">
        <f>IFERROR(VLOOKUP(A991,#REF!,4,0),0)</f>
        <v>0</v>
      </c>
    </row>
    <row r="992" spans="1:4">
      <c r="A992" s="21" t="s">
        <v>2026</v>
      </c>
      <c r="B992" s="15" t="str">
        <f>IFERROR(VLOOKUP(A992,#REF!,2,0)," ")</f>
        <v xml:space="preserve"> </v>
      </c>
      <c r="C992" s="20">
        <f>IFERROR(VLOOKUP(A992,#REF!,3,0),0)</f>
        <v>0</v>
      </c>
      <c r="D992" s="20">
        <f>IFERROR(VLOOKUP(A992,#REF!,4,0),0)</f>
        <v>0</v>
      </c>
    </row>
    <row r="993" spans="1:4">
      <c r="A993" s="21" t="s">
        <v>1617</v>
      </c>
      <c r="B993" s="15" t="str">
        <f>IFERROR(VLOOKUP(A993,#REF!,2,0)," ")</f>
        <v xml:space="preserve"> </v>
      </c>
      <c r="C993" s="20">
        <f>IFERROR(VLOOKUP(A993,#REF!,3,0),0)</f>
        <v>0</v>
      </c>
      <c r="D993" s="20">
        <f>IFERROR(VLOOKUP(A993,#REF!,4,0),0)</f>
        <v>0</v>
      </c>
    </row>
    <row r="994" spans="1:4">
      <c r="A994" s="21" t="s">
        <v>2099</v>
      </c>
      <c r="B994" s="15" t="str">
        <f>IFERROR(VLOOKUP(A994,#REF!,2,0)," ")</f>
        <v xml:space="preserve"> </v>
      </c>
      <c r="C994" s="20">
        <f>IFERROR(VLOOKUP(A994,#REF!,3,0),0)</f>
        <v>0</v>
      </c>
      <c r="D994" s="20">
        <f>IFERROR(VLOOKUP(A994,#REF!,4,0),0)</f>
        <v>0</v>
      </c>
    </row>
    <row r="995" spans="1:4">
      <c r="A995" s="21" t="s">
        <v>1618</v>
      </c>
      <c r="B995" s="15" t="str">
        <f>IFERROR(VLOOKUP(A995,#REF!,2,0)," ")</f>
        <v xml:space="preserve"> </v>
      </c>
      <c r="C995" s="20">
        <f>IFERROR(VLOOKUP(A995,#REF!,3,0),0)</f>
        <v>0</v>
      </c>
      <c r="D995" s="20">
        <f>IFERROR(VLOOKUP(A995,#REF!,4,0),0)</f>
        <v>0</v>
      </c>
    </row>
    <row r="996" spans="1:4">
      <c r="A996" s="21" t="s">
        <v>2027</v>
      </c>
      <c r="B996" s="15" t="str">
        <f>IFERROR(VLOOKUP(A996,#REF!,2,0)," ")</f>
        <v xml:space="preserve"> </v>
      </c>
      <c r="C996" s="20">
        <f>IFERROR(VLOOKUP(A996,#REF!,3,0),0)</f>
        <v>0</v>
      </c>
      <c r="D996" s="20">
        <f>IFERROR(VLOOKUP(A996,#REF!,4,0),0)</f>
        <v>0</v>
      </c>
    </row>
    <row r="997" spans="1:4">
      <c r="A997" s="21" t="s">
        <v>2028</v>
      </c>
      <c r="B997" s="15" t="str">
        <f>IFERROR(VLOOKUP(A997,#REF!,2,0)," ")</f>
        <v xml:space="preserve"> </v>
      </c>
      <c r="C997" s="20">
        <f>IFERROR(VLOOKUP(A997,#REF!,3,0),0)</f>
        <v>0</v>
      </c>
      <c r="D997" s="20">
        <f>IFERROR(VLOOKUP(A997,#REF!,4,0),0)</f>
        <v>0</v>
      </c>
    </row>
    <row r="998" spans="1:4">
      <c r="A998" s="21" t="s">
        <v>1619</v>
      </c>
      <c r="B998" s="15" t="str">
        <f>IFERROR(VLOOKUP(A998,#REF!,2,0)," ")</f>
        <v xml:space="preserve"> </v>
      </c>
      <c r="C998" s="20">
        <f>IFERROR(VLOOKUP(A998,#REF!,3,0),0)</f>
        <v>0</v>
      </c>
      <c r="D998" s="20">
        <f>IFERROR(VLOOKUP(A998,#REF!,4,0),0)</f>
        <v>0</v>
      </c>
    </row>
    <row r="999" spans="1:4">
      <c r="A999" s="21" t="s">
        <v>1620</v>
      </c>
      <c r="B999" s="15" t="str">
        <f>IFERROR(VLOOKUP(A999,#REF!,2,0)," ")</f>
        <v xml:space="preserve"> </v>
      </c>
      <c r="C999" s="20">
        <f>IFERROR(VLOOKUP(A999,#REF!,3,0),0)</f>
        <v>0</v>
      </c>
      <c r="D999" s="20">
        <f>IFERROR(VLOOKUP(A999,#REF!,4,0),0)</f>
        <v>0</v>
      </c>
    </row>
    <row r="1000" spans="1:4">
      <c r="A1000" s="21" t="s">
        <v>1677</v>
      </c>
      <c r="B1000" s="15" t="str">
        <f>IFERROR(VLOOKUP(A1000,#REF!,2,0)," ")</f>
        <v xml:space="preserve"> </v>
      </c>
      <c r="C1000" s="20">
        <f>IFERROR(VLOOKUP(A1000,#REF!,3,0),0)</f>
        <v>0</v>
      </c>
      <c r="D1000" s="20">
        <f>IFERROR(VLOOKUP(A1000,#REF!,4,0),0)</f>
        <v>0</v>
      </c>
    </row>
    <row r="1001" spans="1:4">
      <c r="A1001" s="21" t="s">
        <v>1621</v>
      </c>
      <c r="B1001" s="15" t="str">
        <f>IFERROR(VLOOKUP(A1001,#REF!,2,0)," ")</f>
        <v xml:space="preserve"> </v>
      </c>
      <c r="C1001" s="20">
        <f>IFERROR(VLOOKUP(A1001,#REF!,3,0),0)</f>
        <v>0</v>
      </c>
      <c r="D1001" s="20">
        <f>IFERROR(VLOOKUP(A1001,#REF!,4,0),0)</f>
        <v>0</v>
      </c>
    </row>
    <row r="1002" spans="1:4">
      <c r="A1002" s="21" t="s">
        <v>1622</v>
      </c>
      <c r="B1002" s="15" t="str">
        <f>IFERROR(VLOOKUP(A1002,#REF!,2,0)," ")</f>
        <v xml:space="preserve"> </v>
      </c>
      <c r="C1002" s="20">
        <f>IFERROR(VLOOKUP(A1002,#REF!,3,0),0)</f>
        <v>0</v>
      </c>
      <c r="D1002" s="20">
        <f>IFERROR(VLOOKUP(A1002,#REF!,4,0),0)</f>
        <v>0</v>
      </c>
    </row>
    <row r="1003" spans="1:4">
      <c r="A1003" s="21" t="s">
        <v>1623</v>
      </c>
      <c r="B1003" s="15" t="str">
        <f>IFERROR(VLOOKUP(A1003,#REF!,2,0)," ")</f>
        <v xml:space="preserve"> </v>
      </c>
      <c r="C1003" s="20">
        <f>IFERROR(VLOOKUP(A1003,#REF!,3,0),0)</f>
        <v>0</v>
      </c>
      <c r="D1003" s="20">
        <f>IFERROR(VLOOKUP(A1003,#REF!,4,0),0)</f>
        <v>0</v>
      </c>
    </row>
    <row r="1004" spans="1:4">
      <c r="A1004" s="21" t="s">
        <v>1662</v>
      </c>
      <c r="B1004" s="15" t="str">
        <f>IFERROR(VLOOKUP(A1004,#REF!,2,0)," ")</f>
        <v xml:space="preserve"> </v>
      </c>
      <c r="C1004" s="20">
        <f>IFERROR(VLOOKUP(A1004,#REF!,3,0),0)</f>
        <v>0</v>
      </c>
      <c r="D1004" s="20">
        <f>IFERROR(VLOOKUP(A1004,#REF!,4,0),0)</f>
        <v>0</v>
      </c>
    </row>
    <row r="1005" spans="1:4">
      <c r="A1005" s="21" t="s">
        <v>1624</v>
      </c>
      <c r="B1005" s="15" t="str">
        <f>IFERROR(VLOOKUP(A1005,#REF!,2,0)," ")</f>
        <v xml:space="preserve"> </v>
      </c>
      <c r="C1005" s="20">
        <f>IFERROR(VLOOKUP(A1005,#REF!,3,0),0)</f>
        <v>0</v>
      </c>
      <c r="D1005" s="20">
        <f>IFERROR(VLOOKUP(A1005,#REF!,4,0),0)</f>
        <v>0</v>
      </c>
    </row>
    <row r="1006" spans="1:4">
      <c r="A1006" s="21" t="s">
        <v>1625</v>
      </c>
      <c r="B1006" s="15" t="str">
        <f>IFERROR(VLOOKUP(A1006,#REF!,2,0)," ")</f>
        <v xml:space="preserve"> </v>
      </c>
      <c r="C1006" s="20">
        <f>IFERROR(VLOOKUP(A1006,#REF!,3,0),0)</f>
        <v>0</v>
      </c>
      <c r="D1006" s="20">
        <f>IFERROR(VLOOKUP(A1006,#REF!,4,0),0)</f>
        <v>0</v>
      </c>
    </row>
    <row r="1007" spans="1:4">
      <c r="A1007" s="21" t="s">
        <v>1626</v>
      </c>
      <c r="B1007" s="15" t="str">
        <f>IFERROR(VLOOKUP(A1007,#REF!,2,0)," ")</f>
        <v xml:space="preserve"> </v>
      </c>
      <c r="C1007" s="20">
        <f>IFERROR(VLOOKUP(A1007,#REF!,3,0),0)</f>
        <v>0</v>
      </c>
      <c r="D1007" s="20">
        <f>IFERROR(VLOOKUP(A1007,#REF!,4,0),0)</f>
        <v>0</v>
      </c>
    </row>
    <row r="1008" spans="1:4">
      <c r="A1008" s="21" t="s">
        <v>1627</v>
      </c>
      <c r="B1008" s="15" t="str">
        <f>IFERROR(VLOOKUP(A1008,#REF!,2,0)," ")</f>
        <v xml:space="preserve"> </v>
      </c>
      <c r="C1008" s="20">
        <f>IFERROR(VLOOKUP(A1008,#REF!,3,0),0)</f>
        <v>0</v>
      </c>
      <c r="D1008" s="20">
        <f>IFERROR(VLOOKUP(A1008,#REF!,4,0),0)</f>
        <v>0</v>
      </c>
    </row>
    <row r="1009" spans="1:4">
      <c r="A1009" s="21" t="s">
        <v>1628</v>
      </c>
      <c r="B1009" s="15" t="str">
        <f>IFERROR(VLOOKUP(A1009,#REF!,2,0)," ")</f>
        <v xml:space="preserve"> </v>
      </c>
      <c r="C1009" s="20">
        <f>IFERROR(VLOOKUP(A1009,#REF!,3,0),0)</f>
        <v>0</v>
      </c>
      <c r="D1009" s="20">
        <f>IFERROR(VLOOKUP(A1009,#REF!,4,0),0)</f>
        <v>0</v>
      </c>
    </row>
    <row r="1010" spans="1:4">
      <c r="A1010" s="21" t="s">
        <v>1629</v>
      </c>
      <c r="B1010" s="15" t="str">
        <f>IFERROR(VLOOKUP(A1010,#REF!,2,0)," ")</f>
        <v xml:space="preserve"> </v>
      </c>
      <c r="C1010" s="20">
        <f>IFERROR(VLOOKUP(A1010,#REF!,3,0),0)</f>
        <v>0</v>
      </c>
      <c r="D1010" s="20">
        <f>IFERROR(VLOOKUP(A1010,#REF!,4,0),0)</f>
        <v>0</v>
      </c>
    </row>
    <row r="1011" spans="1:4">
      <c r="A1011" s="21" t="s">
        <v>1668</v>
      </c>
      <c r="B1011" s="15" t="str">
        <f>IFERROR(VLOOKUP(A1011,#REF!,2,0)," ")</f>
        <v xml:space="preserve"> </v>
      </c>
      <c r="C1011" s="20">
        <f>IFERROR(VLOOKUP(A1011,#REF!,3,0),0)</f>
        <v>0</v>
      </c>
      <c r="D1011" s="20">
        <f>IFERROR(VLOOKUP(A1011,#REF!,4,0),0)</f>
        <v>0</v>
      </c>
    </row>
    <row r="1012" spans="1:4">
      <c r="A1012" s="21" t="s">
        <v>1630</v>
      </c>
      <c r="B1012" s="15" t="str">
        <f>IFERROR(VLOOKUP(A1012,#REF!,2,0)," ")</f>
        <v xml:space="preserve"> </v>
      </c>
      <c r="C1012" s="20">
        <f>IFERROR(VLOOKUP(A1012,#REF!,3,0),0)</f>
        <v>0</v>
      </c>
      <c r="D1012" s="20">
        <f>IFERROR(VLOOKUP(A1012,#REF!,4,0),0)</f>
        <v>0</v>
      </c>
    </row>
    <row r="1013" spans="1:4">
      <c r="A1013" s="21" t="s">
        <v>1631</v>
      </c>
      <c r="B1013" s="15" t="str">
        <f>IFERROR(VLOOKUP(A1013,#REF!,2,0)," ")</f>
        <v xml:space="preserve"> </v>
      </c>
      <c r="C1013" s="20">
        <f>IFERROR(VLOOKUP(A1013,#REF!,3,0),0)</f>
        <v>0</v>
      </c>
      <c r="D1013" s="20">
        <f>IFERROR(VLOOKUP(A1013,#REF!,4,0),0)</f>
        <v>0</v>
      </c>
    </row>
    <row r="1014" spans="1:4">
      <c r="A1014" s="21" t="s">
        <v>1632</v>
      </c>
      <c r="B1014" s="15" t="str">
        <f>IFERROR(VLOOKUP(A1014,#REF!,2,0)," ")</f>
        <v xml:space="preserve"> </v>
      </c>
      <c r="C1014" s="20">
        <f>IFERROR(VLOOKUP(A1014,#REF!,3,0),0)</f>
        <v>0</v>
      </c>
      <c r="D1014" s="20">
        <f>IFERROR(VLOOKUP(A1014,#REF!,4,0),0)</f>
        <v>0</v>
      </c>
    </row>
    <row r="1015" spans="1:4">
      <c r="A1015" s="21" t="s">
        <v>1633</v>
      </c>
      <c r="B1015" s="15" t="str">
        <f>IFERROR(VLOOKUP(A1015,#REF!,2,0)," ")</f>
        <v xml:space="preserve"> </v>
      </c>
      <c r="C1015" s="20">
        <f>IFERROR(VLOOKUP(A1015,#REF!,3,0),0)</f>
        <v>0</v>
      </c>
      <c r="D1015" s="20">
        <f>IFERROR(VLOOKUP(A1015,#REF!,4,0),0)</f>
        <v>0</v>
      </c>
    </row>
    <row r="1016" spans="1:4">
      <c r="A1016" s="21" t="s">
        <v>1634</v>
      </c>
      <c r="B1016" s="15" t="str">
        <f>IFERROR(VLOOKUP(A1016,#REF!,2,0)," ")</f>
        <v xml:space="preserve"> </v>
      </c>
      <c r="C1016" s="20">
        <f>IFERROR(VLOOKUP(A1016,#REF!,3,0),0)</f>
        <v>0</v>
      </c>
      <c r="D1016" s="20">
        <f>IFERROR(VLOOKUP(A1016,#REF!,4,0),0)</f>
        <v>0</v>
      </c>
    </row>
    <row r="1017" spans="1:4">
      <c r="A1017" s="21" t="s">
        <v>1635</v>
      </c>
      <c r="B1017" s="15" t="str">
        <f>IFERROR(VLOOKUP(A1017,#REF!,2,0)," ")</f>
        <v xml:space="preserve"> </v>
      </c>
      <c r="C1017" s="20">
        <f>IFERROR(VLOOKUP(A1017,#REF!,3,0),0)</f>
        <v>0</v>
      </c>
      <c r="D1017" s="20">
        <f>IFERROR(VLOOKUP(A1017,#REF!,4,0),0)</f>
        <v>0</v>
      </c>
    </row>
    <row r="1018" spans="1:4">
      <c r="A1018" s="21" t="s">
        <v>1636</v>
      </c>
      <c r="B1018" s="15" t="str">
        <f>IFERROR(VLOOKUP(A1018,#REF!,2,0)," ")</f>
        <v xml:space="preserve"> </v>
      </c>
      <c r="C1018" s="20">
        <f>IFERROR(VLOOKUP(A1018,#REF!,3,0),0)</f>
        <v>0</v>
      </c>
      <c r="D1018" s="20">
        <f>IFERROR(VLOOKUP(A1018,#REF!,4,0),0)</f>
        <v>0</v>
      </c>
    </row>
    <row r="1019" spans="1:4">
      <c r="A1019" s="21" t="s">
        <v>1637</v>
      </c>
      <c r="B1019" s="15" t="str">
        <f>IFERROR(VLOOKUP(A1019,#REF!,2,0)," ")</f>
        <v xml:space="preserve"> </v>
      </c>
      <c r="C1019" s="20">
        <f>IFERROR(VLOOKUP(A1019,#REF!,3,0),0)</f>
        <v>0</v>
      </c>
      <c r="D1019" s="20">
        <f>IFERROR(VLOOKUP(A1019,#REF!,4,0),0)</f>
        <v>0</v>
      </c>
    </row>
    <row r="1020" spans="1:4">
      <c r="A1020" s="21" t="s">
        <v>1669</v>
      </c>
      <c r="B1020" s="15" t="str">
        <f>IFERROR(VLOOKUP(A1020,#REF!,2,0)," ")</f>
        <v xml:space="preserve"> </v>
      </c>
      <c r="C1020" s="20">
        <f>IFERROR(VLOOKUP(A1020,#REF!,3,0),0)</f>
        <v>0</v>
      </c>
      <c r="D1020" s="20">
        <f>IFERROR(VLOOKUP(A1020,#REF!,4,0),0)</f>
        <v>0</v>
      </c>
    </row>
    <row r="1021" spans="1:4" ht="15">
      <c r="A1021" s="69" t="s">
        <v>1835</v>
      </c>
      <c r="B1021" s="69"/>
      <c r="C1021" s="69"/>
      <c r="D1021" s="70" t="s">
        <v>2150</v>
      </c>
    </row>
    <row r="1022" spans="1:4" ht="12">
      <c r="A1022" s="18" t="s">
        <v>370</v>
      </c>
      <c r="B1022" s="18" t="s">
        <v>565</v>
      </c>
      <c r="C1022" s="16" t="s">
        <v>371</v>
      </c>
      <c r="D1022" s="70"/>
    </row>
    <row r="1023" spans="1:4">
      <c r="A1023" s="21" t="s">
        <v>1874</v>
      </c>
      <c r="B1023" s="15" t="str">
        <f>IFERROR(VLOOKUP(A1023,#REF!,2,0)," ")</f>
        <v xml:space="preserve"> </v>
      </c>
      <c r="C1023" s="20">
        <f>IFERROR(VLOOKUP(A1023,#REF!,3,0),0)</f>
        <v>0</v>
      </c>
      <c r="D1023" s="20">
        <f>IFERROR(VLOOKUP(A1023,#REF!,4,0),0)</f>
        <v>0</v>
      </c>
    </row>
    <row r="1024" spans="1:4">
      <c r="A1024" s="21" t="s">
        <v>1836</v>
      </c>
      <c r="B1024" s="15" t="str">
        <f>IFERROR(VLOOKUP(A1024,#REF!,2,0)," ")</f>
        <v xml:space="preserve"> </v>
      </c>
      <c r="C1024" s="20">
        <f>IFERROR(VLOOKUP(A1024,#REF!,3,0),0)</f>
        <v>0</v>
      </c>
      <c r="D1024" s="20">
        <f>IFERROR(VLOOKUP(A1024,#REF!,4,0),0)</f>
        <v>0</v>
      </c>
    </row>
    <row r="1025" spans="1:4">
      <c r="A1025" s="21" t="s">
        <v>1837</v>
      </c>
      <c r="B1025" s="15" t="str">
        <f>IFERROR(VLOOKUP(A1025,#REF!,2,0)," ")</f>
        <v xml:space="preserve"> </v>
      </c>
      <c r="C1025" s="20">
        <f>IFERROR(VLOOKUP(A1025,#REF!,3,0),0)</f>
        <v>0</v>
      </c>
      <c r="D1025" s="20">
        <f>IFERROR(VLOOKUP(A1025,#REF!,4,0),0)</f>
        <v>0</v>
      </c>
    </row>
    <row r="1026" spans="1:4">
      <c r="A1026" s="21" t="s">
        <v>1838</v>
      </c>
      <c r="B1026" s="15" t="str">
        <f>IFERROR(VLOOKUP(A1026,#REF!,2,0)," ")</f>
        <v xml:space="preserve"> </v>
      </c>
      <c r="C1026" s="20">
        <f>IFERROR(VLOOKUP(A1026,#REF!,3,0),0)</f>
        <v>0</v>
      </c>
      <c r="D1026" s="20">
        <f>IFERROR(VLOOKUP(A1026,#REF!,4,0),0)</f>
        <v>0</v>
      </c>
    </row>
    <row r="1027" spans="1:4">
      <c r="A1027" s="21" t="s">
        <v>1839</v>
      </c>
      <c r="B1027" s="15" t="str">
        <f>IFERROR(VLOOKUP(A1027,#REF!,2,0)," ")</f>
        <v xml:space="preserve"> </v>
      </c>
      <c r="C1027" s="20">
        <f>IFERROR(VLOOKUP(A1027,#REF!,3,0),0)</f>
        <v>0</v>
      </c>
      <c r="D1027" s="20">
        <f>IFERROR(VLOOKUP(A1027,#REF!,4,0),0)</f>
        <v>0</v>
      </c>
    </row>
    <row r="1028" spans="1:4">
      <c r="A1028" s="21" t="s">
        <v>1840</v>
      </c>
      <c r="B1028" s="15" t="str">
        <f>IFERROR(VLOOKUP(A1028,#REF!,2,0)," ")</f>
        <v xml:space="preserve"> </v>
      </c>
      <c r="C1028" s="20">
        <f>IFERROR(VLOOKUP(A1028,#REF!,3,0),0)</f>
        <v>0</v>
      </c>
      <c r="D1028" s="20">
        <f>IFERROR(VLOOKUP(A1028,#REF!,4,0),0)</f>
        <v>0</v>
      </c>
    </row>
    <row r="1029" spans="1:4">
      <c r="A1029" s="21" t="s">
        <v>1841</v>
      </c>
      <c r="B1029" s="15" t="str">
        <f>IFERROR(VLOOKUP(A1029,#REF!,2,0)," ")</f>
        <v xml:space="preserve"> </v>
      </c>
      <c r="C1029" s="20">
        <f>IFERROR(VLOOKUP(A1029,#REF!,3,0),0)</f>
        <v>0</v>
      </c>
      <c r="D1029" s="20">
        <f>IFERROR(VLOOKUP(A1029,#REF!,4,0),0)</f>
        <v>0</v>
      </c>
    </row>
    <row r="1030" spans="1:4">
      <c r="A1030" s="21" t="s">
        <v>1842</v>
      </c>
      <c r="B1030" s="15" t="str">
        <f>IFERROR(VLOOKUP(A1030,#REF!,2,0)," ")</f>
        <v xml:space="preserve"> </v>
      </c>
      <c r="C1030" s="20">
        <f>IFERROR(VLOOKUP(A1030,#REF!,3,0),0)</f>
        <v>0</v>
      </c>
      <c r="D1030" s="20">
        <f>IFERROR(VLOOKUP(A1030,#REF!,4,0),0)</f>
        <v>0</v>
      </c>
    </row>
    <row r="1031" spans="1:4">
      <c r="A1031" s="21" t="s">
        <v>1843</v>
      </c>
      <c r="B1031" s="15" t="str">
        <f>IFERROR(VLOOKUP(A1031,#REF!,2,0)," ")</f>
        <v xml:space="preserve"> </v>
      </c>
      <c r="C1031" s="20">
        <f>IFERROR(VLOOKUP(A1031,#REF!,3,0),0)</f>
        <v>0</v>
      </c>
      <c r="D1031" s="20">
        <f>IFERROR(VLOOKUP(A1031,#REF!,4,0),0)</f>
        <v>0</v>
      </c>
    </row>
    <row r="1032" spans="1:4">
      <c r="A1032" s="21" t="s">
        <v>1844</v>
      </c>
      <c r="B1032" s="15" t="str">
        <f>IFERROR(VLOOKUP(A1032,#REF!,2,0)," ")</f>
        <v xml:space="preserve"> </v>
      </c>
      <c r="C1032" s="20">
        <f>IFERROR(VLOOKUP(A1032,#REF!,3,0),0)</f>
        <v>0</v>
      </c>
      <c r="D1032" s="20">
        <f>IFERROR(VLOOKUP(A1032,#REF!,4,0),0)</f>
        <v>0</v>
      </c>
    </row>
    <row r="1033" spans="1:4" hidden="1">
      <c r="A1033" s="21" t="s">
        <v>1962</v>
      </c>
      <c r="B1033" s="15" t="str">
        <f>IFERROR(VLOOKUP(A1033,#REF!,2,0)," ")</f>
        <v xml:space="preserve"> </v>
      </c>
      <c r="C1033" s="20">
        <f>IFERROR(VLOOKUP(A1033,#REF!,3,0),0)</f>
        <v>0</v>
      </c>
      <c r="D1033" s="20">
        <f>IFERROR(VLOOKUP(A1033,#REF!,4,0),0)</f>
        <v>0</v>
      </c>
    </row>
    <row r="1034" spans="1:4" hidden="1">
      <c r="A1034" s="21" t="s">
        <v>1963</v>
      </c>
      <c r="B1034" s="15" t="str">
        <f>IFERROR(VLOOKUP(A1034,#REF!,2,0)," ")</f>
        <v xml:space="preserve"> </v>
      </c>
      <c r="C1034" s="20">
        <f>IFERROR(VLOOKUP(A1034,#REF!,3,0),0)</f>
        <v>0</v>
      </c>
      <c r="D1034" s="20">
        <f>IFERROR(VLOOKUP(A1034,#REF!,4,0),0)</f>
        <v>0</v>
      </c>
    </row>
    <row r="1035" spans="1:4">
      <c r="A1035" s="21" t="s">
        <v>1845</v>
      </c>
      <c r="B1035" s="15" t="str">
        <f>IFERROR(VLOOKUP(A1035,#REF!,2,0)," ")</f>
        <v xml:space="preserve"> </v>
      </c>
      <c r="C1035" s="20">
        <f>IFERROR(VLOOKUP(A1035,#REF!,3,0),0)</f>
        <v>0</v>
      </c>
      <c r="D1035" s="20">
        <f>IFERROR(VLOOKUP(A1035,#REF!,4,0),0)</f>
        <v>0</v>
      </c>
    </row>
    <row r="1036" spans="1:4">
      <c r="A1036" s="21" t="s">
        <v>1846</v>
      </c>
      <c r="B1036" s="15" t="str">
        <f>IFERROR(VLOOKUP(A1036,#REF!,2,0)," ")</f>
        <v xml:space="preserve"> </v>
      </c>
      <c r="C1036" s="20">
        <f>IFERROR(VLOOKUP(A1036,#REF!,3,0),0)</f>
        <v>0</v>
      </c>
      <c r="D1036" s="20">
        <f>IFERROR(VLOOKUP(A1036,#REF!,4,0),0)</f>
        <v>0</v>
      </c>
    </row>
    <row r="1037" spans="1:4">
      <c r="A1037" s="21" t="s">
        <v>1847</v>
      </c>
      <c r="B1037" s="15" t="str">
        <f>IFERROR(VLOOKUP(A1037,#REF!,2,0)," ")</f>
        <v xml:space="preserve"> </v>
      </c>
      <c r="C1037" s="20">
        <f>IFERROR(VLOOKUP(A1037,#REF!,3,0),0)</f>
        <v>0</v>
      </c>
      <c r="D1037" s="20">
        <f>IFERROR(VLOOKUP(A1037,#REF!,4,0),0)</f>
        <v>0</v>
      </c>
    </row>
    <row r="1038" spans="1:4">
      <c r="A1038" s="21" t="s">
        <v>1848</v>
      </c>
      <c r="B1038" s="15" t="str">
        <f>IFERROR(VLOOKUP(A1038,#REF!,2,0)," ")</f>
        <v xml:space="preserve"> </v>
      </c>
      <c r="C1038" s="20">
        <f>IFERROR(VLOOKUP(A1038,#REF!,3,0),0)</f>
        <v>0</v>
      </c>
      <c r="D1038" s="20">
        <f>IFERROR(VLOOKUP(A1038,#REF!,4,0),0)</f>
        <v>0</v>
      </c>
    </row>
    <row r="1039" spans="1:4">
      <c r="A1039" s="21" t="s">
        <v>1849</v>
      </c>
      <c r="B1039" s="15" t="str">
        <f>IFERROR(VLOOKUP(A1039,#REF!,2,0)," ")</f>
        <v xml:space="preserve"> </v>
      </c>
      <c r="C1039" s="20">
        <f>IFERROR(VLOOKUP(A1039,#REF!,3,0),0)</f>
        <v>0</v>
      </c>
      <c r="D1039" s="20">
        <f>IFERROR(VLOOKUP(A1039,#REF!,4,0),0)</f>
        <v>0</v>
      </c>
    </row>
    <row r="1040" spans="1:4">
      <c r="A1040" s="21" t="s">
        <v>1850</v>
      </c>
      <c r="B1040" s="15" t="str">
        <f>IFERROR(VLOOKUP(A1040,#REF!,2,0)," ")</f>
        <v xml:space="preserve"> </v>
      </c>
      <c r="C1040" s="20">
        <f>IFERROR(VLOOKUP(A1040,#REF!,3,0),0)</f>
        <v>0</v>
      </c>
      <c r="D1040" s="20">
        <f>IFERROR(VLOOKUP(A1040,#REF!,4,0),0)</f>
        <v>0</v>
      </c>
    </row>
    <row r="1041" spans="1:4">
      <c r="A1041" s="21" t="s">
        <v>1851</v>
      </c>
      <c r="B1041" s="15" t="str">
        <f>IFERROR(VLOOKUP(A1041,#REF!,2,0)," ")</f>
        <v xml:space="preserve"> </v>
      </c>
      <c r="C1041" s="20">
        <f>IFERROR(VLOOKUP(A1041,#REF!,3,0),0)</f>
        <v>0</v>
      </c>
      <c r="D1041" s="20">
        <f>IFERROR(VLOOKUP(A1041,#REF!,4,0),0)</f>
        <v>0</v>
      </c>
    </row>
    <row r="1042" spans="1:4">
      <c r="A1042" s="21" t="s">
        <v>1852</v>
      </c>
      <c r="B1042" s="15" t="str">
        <f>IFERROR(VLOOKUP(A1042,#REF!,2,0)," ")</f>
        <v xml:space="preserve"> </v>
      </c>
      <c r="C1042" s="20">
        <f>IFERROR(VLOOKUP(A1042,#REF!,3,0),0)</f>
        <v>0</v>
      </c>
      <c r="D1042" s="20">
        <f>IFERROR(VLOOKUP(A1042,#REF!,4,0),0)</f>
        <v>0</v>
      </c>
    </row>
    <row r="1043" spans="1:4" ht="15">
      <c r="A1043" s="69" t="s">
        <v>1853</v>
      </c>
      <c r="B1043" s="69"/>
      <c r="C1043" s="69"/>
      <c r="D1043" s="70" t="s">
        <v>2150</v>
      </c>
    </row>
    <row r="1044" spans="1:4" ht="12">
      <c r="A1044" s="18" t="s">
        <v>370</v>
      </c>
      <c r="B1044" s="18" t="s">
        <v>565</v>
      </c>
      <c r="C1044" s="16" t="s">
        <v>371</v>
      </c>
      <c r="D1044" s="70"/>
    </row>
    <row r="1045" spans="1:4">
      <c r="A1045" s="21" t="s">
        <v>1875</v>
      </c>
      <c r="B1045" s="15" t="str">
        <f>IFERROR(VLOOKUP(A1045,#REF!,2,0)," ")</f>
        <v xml:space="preserve"> </v>
      </c>
      <c r="C1045" s="20">
        <f>IFERROR(VLOOKUP(A1045,#REF!,3,0),0)</f>
        <v>0</v>
      </c>
      <c r="D1045" s="20">
        <f>IFERROR(VLOOKUP(A1045,#REF!,4,0),0)</f>
        <v>0</v>
      </c>
    </row>
    <row r="1046" spans="1:4">
      <c r="A1046" s="21" t="s">
        <v>1854</v>
      </c>
      <c r="B1046" s="15" t="str">
        <f>IFERROR(VLOOKUP(A1046,#REF!,2,0)," ")</f>
        <v xml:space="preserve"> </v>
      </c>
      <c r="C1046" s="20">
        <f>IFERROR(VLOOKUP(A1046,#REF!,3,0),0)</f>
        <v>0</v>
      </c>
      <c r="D1046" s="20">
        <f>IFERROR(VLOOKUP(A1046,#REF!,4,0),0)</f>
        <v>0</v>
      </c>
    </row>
    <row r="1047" spans="1:4">
      <c r="A1047" s="21" t="s">
        <v>1855</v>
      </c>
      <c r="B1047" s="15" t="str">
        <f>IFERROR(VLOOKUP(A1047,#REF!,2,0)," ")</f>
        <v xml:space="preserve"> </v>
      </c>
      <c r="C1047" s="20">
        <f>IFERROR(VLOOKUP(A1047,#REF!,3,0),0)</f>
        <v>0</v>
      </c>
      <c r="D1047" s="20">
        <f>IFERROR(VLOOKUP(A1047,#REF!,4,0),0)</f>
        <v>0</v>
      </c>
    </row>
    <row r="1048" spans="1:4">
      <c r="A1048" s="21" t="s">
        <v>1856</v>
      </c>
      <c r="B1048" s="15" t="str">
        <f>IFERROR(VLOOKUP(A1048,#REF!,2,0)," ")</f>
        <v xml:space="preserve"> </v>
      </c>
      <c r="C1048" s="20">
        <f>IFERROR(VLOOKUP(A1048,#REF!,3,0),0)</f>
        <v>0</v>
      </c>
      <c r="D1048" s="20">
        <f>IFERROR(VLOOKUP(A1048,#REF!,4,0),0)</f>
        <v>0</v>
      </c>
    </row>
    <row r="1049" spans="1:4">
      <c r="A1049" s="21" t="s">
        <v>1857</v>
      </c>
      <c r="B1049" s="15" t="str">
        <f>IFERROR(VLOOKUP(A1049,#REF!,2,0)," ")</f>
        <v xml:space="preserve"> </v>
      </c>
      <c r="C1049" s="20">
        <f>IFERROR(VLOOKUP(A1049,#REF!,3,0),0)</f>
        <v>0</v>
      </c>
      <c r="D1049" s="20">
        <f>IFERROR(VLOOKUP(A1049,#REF!,4,0),0)</f>
        <v>0</v>
      </c>
    </row>
    <row r="1050" spans="1:4">
      <c r="A1050" s="21" t="s">
        <v>1858</v>
      </c>
      <c r="B1050" s="15" t="str">
        <f>IFERROR(VLOOKUP(A1050,#REF!,2,0)," ")</f>
        <v xml:space="preserve"> </v>
      </c>
      <c r="C1050" s="20">
        <f>IFERROR(VLOOKUP(A1050,#REF!,3,0),0)</f>
        <v>0</v>
      </c>
      <c r="D1050" s="20">
        <f>IFERROR(VLOOKUP(A1050,#REF!,4,0),0)</f>
        <v>0</v>
      </c>
    </row>
    <row r="1051" spans="1:4">
      <c r="A1051" s="21" t="s">
        <v>1859</v>
      </c>
      <c r="B1051" s="15" t="str">
        <f>IFERROR(VLOOKUP(A1051,#REF!,2,0)," ")</f>
        <v xml:space="preserve"> </v>
      </c>
      <c r="C1051" s="20">
        <f>IFERROR(VLOOKUP(A1051,#REF!,3,0),0)</f>
        <v>0</v>
      </c>
      <c r="D1051" s="20">
        <f>IFERROR(VLOOKUP(A1051,#REF!,4,0),0)</f>
        <v>0</v>
      </c>
    </row>
    <row r="1052" spans="1:4">
      <c r="A1052" s="21" t="s">
        <v>1860</v>
      </c>
      <c r="B1052" s="15" t="str">
        <f>IFERROR(VLOOKUP(A1052,#REF!,2,0)," ")</f>
        <v xml:space="preserve"> </v>
      </c>
      <c r="C1052" s="20">
        <f>IFERROR(VLOOKUP(A1052,#REF!,3,0),0)</f>
        <v>0</v>
      </c>
      <c r="D1052" s="20">
        <f>IFERROR(VLOOKUP(A1052,#REF!,4,0),0)</f>
        <v>0</v>
      </c>
    </row>
    <row r="1053" spans="1:4">
      <c r="A1053" s="21" t="s">
        <v>1861</v>
      </c>
      <c r="B1053" s="15" t="str">
        <f>IFERROR(VLOOKUP(A1053,#REF!,2,0)," ")</f>
        <v xml:space="preserve"> </v>
      </c>
      <c r="C1053" s="20">
        <f>IFERROR(VLOOKUP(A1053,#REF!,3,0),0)</f>
        <v>0</v>
      </c>
      <c r="D1053" s="20">
        <f>IFERROR(VLOOKUP(A1053,#REF!,4,0),0)</f>
        <v>0</v>
      </c>
    </row>
    <row r="1054" spans="1:4">
      <c r="A1054" s="21" t="s">
        <v>1862</v>
      </c>
      <c r="B1054" s="15" t="str">
        <f>IFERROR(VLOOKUP(A1054,#REF!,2,0)," ")</f>
        <v xml:space="preserve"> </v>
      </c>
      <c r="C1054" s="20">
        <f>IFERROR(VLOOKUP(A1054,#REF!,3,0),0)</f>
        <v>0</v>
      </c>
      <c r="D1054" s="20">
        <f>IFERROR(VLOOKUP(A1054,#REF!,4,0),0)</f>
        <v>0</v>
      </c>
    </row>
    <row r="1055" spans="1:4" hidden="1">
      <c r="A1055" s="21" t="s">
        <v>1964</v>
      </c>
      <c r="B1055" s="15" t="str">
        <f>IFERROR(VLOOKUP(A1055,#REF!,2,0)," ")</f>
        <v xml:space="preserve"> </v>
      </c>
      <c r="C1055" s="20">
        <f>IFERROR(VLOOKUP(A1055,#REF!,3,0),0)</f>
        <v>0</v>
      </c>
      <c r="D1055" s="20">
        <f>IFERROR(VLOOKUP(A1055,#REF!,4,0),0)</f>
        <v>0</v>
      </c>
    </row>
    <row r="1056" spans="1:4" hidden="1">
      <c r="A1056" s="21" t="s">
        <v>1965</v>
      </c>
      <c r="B1056" s="15" t="str">
        <f>IFERROR(VLOOKUP(A1056,#REF!,2,0)," ")</f>
        <v xml:space="preserve"> </v>
      </c>
      <c r="C1056" s="20">
        <f>IFERROR(VLOOKUP(A1056,#REF!,3,0),0)</f>
        <v>0</v>
      </c>
      <c r="D1056" s="20">
        <f>IFERROR(VLOOKUP(A1056,#REF!,4,0),0)</f>
        <v>0</v>
      </c>
    </row>
    <row r="1057" spans="1:7">
      <c r="A1057" s="21" t="s">
        <v>1863</v>
      </c>
      <c r="B1057" s="15" t="str">
        <f>IFERROR(VLOOKUP(A1057,#REF!,2,0)," ")</f>
        <v xml:space="preserve"> </v>
      </c>
      <c r="C1057" s="20">
        <f>IFERROR(VLOOKUP(A1057,#REF!,3,0),0)</f>
        <v>0</v>
      </c>
      <c r="D1057" s="20">
        <f>IFERROR(VLOOKUP(A1057,#REF!,4,0),0)</f>
        <v>0</v>
      </c>
    </row>
    <row r="1058" spans="1:7">
      <c r="A1058" s="21" t="s">
        <v>1864</v>
      </c>
      <c r="B1058" s="15" t="str">
        <f>IFERROR(VLOOKUP(A1058,#REF!,2,0)," ")</f>
        <v xml:space="preserve"> </v>
      </c>
      <c r="C1058" s="20">
        <f>IFERROR(VLOOKUP(A1058,#REF!,3,0),0)</f>
        <v>0</v>
      </c>
      <c r="D1058" s="20">
        <f>IFERROR(VLOOKUP(A1058,#REF!,4,0),0)</f>
        <v>0</v>
      </c>
    </row>
    <row r="1059" spans="1:7">
      <c r="A1059" s="21" t="s">
        <v>1865</v>
      </c>
      <c r="B1059" s="15" t="str">
        <f>IFERROR(VLOOKUP(A1059,#REF!,2,0)," ")</f>
        <v xml:space="preserve"> </v>
      </c>
      <c r="C1059" s="20">
        <f>IFERROR(VLOOKUP(A1059,#REF!,3,0),0)</f>
        <v>0</v>
      </c>
      <c r="D1059" s="20">
        <f>IFERROR(VLOOKUP(A1059,#REF!,4,0),0)</f>
        <v>0</v>
      </c>
    </row>
    <row r="1060" spans="1:7">
      <c r="A1060" s="21" t="s">
        <v>1866</v>
      </c>
      <c r="B1060" s="15" t="str">
        <f>IFERROR(VLOOKUP(A1060,#REF!,2,0)," ")</f>
        <v xml:space="preserve"> </v>
      </c>
      <c r="C1060" s="20">
        <f>IFERROR(VLOOKUP(A1060,#REF!,3,0),0)</f>
        <v>0</v>
      </c>
      <c r="D1060" s="20">
        <f>IFERROR(VLOOKUP(A1060,#REF!,4,0),0)</f>
        <v>0</v>
      </c>
    </row>
    <row r="1061" spans="1:7">
      <c r="A1061" s="21" t="s">
        <v>1867</v>
      </c>
      <c r="B1061" s="15" t="str">
        <f>IFERROR(VLOOKUP(A1061,#REF!,2,0)," ")</f>
        <v xml:space="preserve"> </v>
      </c>
      <c r="C1061" s="20">
        <f>IFERROR(VLOOKUP(A1061,#REF!,3,0),0)</f>
        <v>0</v>
      </c>
      <c r="D1061" s="20">
        <f>IFERROR(VLOOKUP(A1061,#REF!,4,0),0)</f>
        <v>0</v>
      </c>
    </row>
    <row r="1062" spans="1:7">
      <c r="A1062" s="21" t="s">
        <v>1868</v>
      </c>
      <c r="B1062" s="15" t="str">
        <f>IFERROR(VLOOKUP(A1062,#REF!,2,0)," ")</f>
        <v xml:space="preserve"> </v>
      </c>
      <c r="C1062" s="20">
        <f>IFERROR(VLOOKUP(A1062,#REF!,3,0),0)</f>
        <v>0</v>
      </c>
      <c r="D1062" s="20">
        <f>IFERROR(VLOOKUP(A1062,#REF!,4,0),0)</f>
        <v>0</v>
      </c>
    </row>
    <row r="1063" spans="1:7" ht="15">
      <c r="A1063" s="69" t="s">
        <v>2046</v>
      </c>
      <c r="B1063" s="69"/>
      <c r="C1063" s="69"/>
      <c r="D1063" s="70" t="s">
        <v>2150</v>
      </c>
      <c r="G1063" s="13"/>
    </row>
    <row r="1064" spans="1:7" ht="12">
      <c r="A1064" s="18" t="s">
        <v>370</v>
      </c>
      <c r="B1064" s="18" t="s">
        <v>565</v>
      </c>
      <c r="C1064" s="16" t="s">
        <v>371</v>
      </c>
      <c r="D1064" s="70"/>
      <c r="G1064" s="13"/>
    </row>
    <row r="1065" spans="1:7">
      <c r="A1065" s="21" t="s">
        <v>2047</v>
      </c>
      <c r="B1065" s="15" t="str">
        <f>IFERROR(VLOOKUP(A1065,#REF!,2,0)," ")</f>
        <v xml:space="preserve"> </v>
      </c>
      <c r="C1065" s="20">
        <f>IFERROR(VLOOKUP(A1065,#REF!,3,0),0)</f>
        <v>0</v>
      </c>
      <c r="D1065" s="20">
        <f>IFERROR(VLOOKUP(A1065,#REF!,4,0),0)</f>
        <v>0</v>
      </c>
    </row>
    <row r="1066" spans="1:7">
      <c r="A1066" s="21" t="s">
        <v>2048</v>
      </c>
      <c r="B1066" s="15" t="str">
        <f>IFERROR(VLOOKUP(A1066,#REF!,2,0)," ")</f>
        <v xml:space="preserve"> </v>
      </c>
      <c r="C1066" s="20">
        <f>IFERROR(VLOOKUP(A1066,#REF!,3,0),0)</f>
        <v>0</v>
      </c>
      <c r="D1066" s="20">
        <f>IFERROR(VLOOKUP(A1066,#REF!,4,0),0)</f>
        <v>0</v>
      </c>
    </row>
    <row r="1067" spans="1:7">
      <c r="A1067" s="21" t="s">
        <v>2049</v>
      </c>
      <c r="B1067" s="15" t="str">
        <f>IFERROR(VLOOKUP(A1067,#REF!,2,0)," ")</f>
        <v xml:space="preserve"> </v>
      </c>
      <c r="C1067" s="20">
        <f>IFERROR(VLOOKUP(A1067,#REF!,3,0),0)</f>
        <v>0</v>
      </c>
      <c r="D1067" s="20">
        <f>IFERROR(VLOOKUP(A1067,#REF!,4,0),0)</f>
        <v>0</v>
      </c>
    </row>
    <row r="1068" spans="1:7">
      <c r="A1068" s="21" t="s">
        <v>2050</v>
      </c>
      <c r="B1068" s="15" t="str">
        <f>IFERROR(VLOOKUP(A1068,#REF!,2,0)," ")</f>
        <v xml:space="preserve"> </v>
      </c>
      <c r="C1068" s="20">
        <f>IFERROR(VLOOKUP(A1068,#REF!,3,0),0)</f>
        <v>0</v>
      </c>
      <c r="D1068" s="20">
        <f>IFERROR(VLOOKUP(A1068,#REF!,4,0),0)</f>
        <v>0</v>
      </c>
    </row>
    <row r="1069" spans="1:7">
      <c r="A1069" s="21" t="s">
        <v>2051</v>
      </c>
      <c r="B1069" s="15" t="str">
        <f>IFERROR(VLOOKUP(A1069,#REF!,2,0)," ")</f>
        <v xml:space="preserve"> </v>
      </c>
      <c r="C1069" s="20">
        <f>IFERROR(VLOOKUP(A1069,#REF!,3,0),0)</f>
        <v>0</v>
      </c>
      <c r="D1069" s="20">
        <f>IFERROR(VLOOKUP(A1069,#REF!,4,0),0)</f>
        <v>0</v>
      </c>
    </row>
    <row r="1070" spans="1:7">
      <c r="A1070" s="21" t="s">
        <v>2052</v>
      </c>
      <c r="B1070" s="15" t="str">
        <f>IFERROR(VLOOKUP(A1070,#REF!,2,0)," ")</f>
        <v xml:space="preserve"> </v>
      </c>
      <c r="C1070" s="20">
        <f>IFERROR(VLOOKUP(A1070,#REF!,3,0),0)</f>
        <v>0</v>
      </c>
      <c r="D1070" s="20">
        <f>IFERROR(VLOOKUP(A1070,#REF!,4,0),0)</f>
        <v>0</v>
      </c>
    </row>
    <row r="1071" spans="1:7">
      <c r="A1071" s="21" t="s">
        <v>2053</v>
      </c>
      <c r="B1071" s="15" t="str">
        <f>IFERROR(VLOOKUP(A1071,#REF!,2,0)," ")</f>
        <v xml:space="preserve"> </v>
      </c>
      <c r="C1071" s="20">
        <f>IFERROR(VLOOKUP(A1071,#REF!,3,0),0)</f>
        <v>0</v>
      </c>
      <c r="D1071" s="20">
        <f>IFERROR(VLOOKUP(A1071,#REF!,4,0),0)</f>
        <v>0</v>
      </c>
    </row>
    <row r="1072" spans="1:7">
      <c r="A1072" s="21" t="s">
        <v>2054</v>
      </c>
      <c r="B1072" s="15" t="str">
        <f>IFERROR(VLOOKUP(A1072,#REF!,2,0)," ")</f>
        <v xml:space="preserve"> </v>
      </c>
      <c r="C1072" s="20">
        <f>IFERROR(VLOOKUP(A1072,#REF!,3,0),0)</f>
        <v>0</v>
      </c>
      <c r="D1072" s="20">
        <f>IFERROR(VLOOKUP(A1072,#REF!,4,0),0)</f>
        <v>0</v>
      </c>
    </row>
    <row r="1073" spans="1:4">
      <c r="A1073" s="21" t="s">
        <v>2055</v>
      </c>
      <c r="B1073" s="15" t="str">
        <f>IFERROR(VLOOKUP(A1073,#REF!,2,0)," ")</f>
        <v xml:space="preserve"> </v>
      </c>
      <c r="C1073" s="20">
        <f>IFERROR(VLOOKUP(A1073,#REF!,3,0),0)</f>
        <v>0</v>
      </c>
      <c r="D1073" s="20">
        <f>IFERROR(VLOOKUP(A1073,#REF!,4,0),0)</f>
        <v>0</v>
      </c>
    </row>
    <row r="1074" spans="1:4">
      <c r="A1074" s="21" t="s">
        <v>2056</v>
      </c>
      <c r="B1074" s="15" t="str">
        <f>IFERROR(VLOOKUP(A1074,#REF!,2,0)," ")</f>
        <v xml:space="preserve"> </v>
      </c>
      <c r="C1074" s="20">
        <f>IFERROR(VLOOKUP(A1074,#REF!,3,0),0)</f>
        <v>0</v>
      </c>
      <c r="D1074" s="20">
        <f>IFERROR(VLOOKUP(A1074,#REF!,4,0),0)</f>
        <v>0</v>
      </c>
    </row>
    <row r="1075" spans="1:4">
      <c r="A1075" s="21" t="s">
        <v>2057</v>
      </c>
      <c r="B1075" s="15" t="str">
        <f>IFERROR(VLOOKUP(A1075,#REF!,2,0)," ")</f>
        <v xml:space="preserve"> </v>
      </c>
      <c r="C1075" s="20">
        <f>IFERROR(VLOOKUP(A1075,#REF!,3,0),0)</f>
        <v>0</v>
      </c>
      <c r="D1075" s="20">
        <f>IFERROR(VLOOKUP(A1075,#REF!,4,0),0)</f>
        <v>0</v>
      </c>
    </row>
    <row r="1076" spans="1:4">
      <c r="A1076" s="21" t="s">
        <v>2058</v>
      </c>
      <c r="B1076" s="15" t="str">
        <f>IFERROR(VLOOKUP(A1076,#REF!,2,0)," ")</f>
        <v xml:space="preserve"> </v>
      </c>
      <c r="C1076" s="20">
        <f>IFERROR(VLOOKUP(A1076,#REF!,3,0),0)</f>
        <v>0</v>
      </c>
      <c r="D1076" s="20">
        <f>IFERROR(VLOOKUP(A1076,#REF!,4,0),0)</f>
        <v>0</v>
      </c>
    </row>
    <row r="1077" spans="1:4">
      <c r="A1077" s="21" t="s">
        <v>2104</v>
      </c>
      <c r="B1077" s="15" t="str">
        <f>IFERROR(VLOOKUP(A1077,#REF!,2,0)," ")</f>
        <v xml:space="preserve"> </v>
      </c>
      <c r="C1077" s="20">
        <f>IFERROR(VLOOKUP(A1077,#REF!,3,0),0)</f>
        <v>0</v>
      </c>
      <c r="D1077" s="20">
        <f>IFERROR(VLOOKUP(A1077,#REF!,4,0),0)</f>
        <v>0</v>
      </c>
    </row>
    <row r="1078" spans="1:4">
      <c r="A1078" s="21" t="s">
        <v>2059</v>
      </c>
      <c r="B1078" s="15" t="str">
        <f>IFERROR(VLOOKUP(A1078,#REF!,2,0)," ")</f>
        <v xml:space="preserve"> </v>
      </c>
      <c r="C1078" s="20">
        <f>IFERROR(VLOOKUP(A1078,#REF!,3,0),0)</f>
        <v>0</v>
      </c>
      <c r="D1078" s="20">
        <f>IFERROR(VLOOKUP(A1078,#REF!,4,0),0)</f>
        <v>0</v>
      </c>
    </row>
    <row r="1079" spans="1:4">
      <c r="A1079" s="21" t="s">
        <v>2060</v>
      </c>
      <c r="B1079" s="15" t="str">
        <f>IFERROR(VLOOKUP(A1079,#REF!,2,0)," ")</f>
        <v xml:space="preserve"> </v>
      </c>
      <c r="C1079" s="20">
        <f>IFERROR(VLOOKUP(A1079,#REF!,3,0),0)</f>
        <v>0</v>
      </c>
      <c r="D1079" s="20">
        <f>IFERROR(VLOOKUP(A1079,#REF!,4,0),0)</f>
        <v>0</v>
      </c>
    </row>
    <row r="1080" spans="1:4">
      <c r="A1080" s="21" t="s">
        <v>2061</v>
      </c>
      <c r="B1080" s="15" t="str">
        <f>IFERROR(VLOOKUP(A1080,#REF!,2,0)," ")</f>
        <v xml:space="preserve"> </v>
      </c>
      <c r="C1080" s="20">
        <f>IFERROR(VLOOKUP(A1080,#REF!,3,0),0)</f>
        <v>0</v>
      </c>
      <c r="D1080" s="20">
        <f>IFERROR(VLOOKUP(A1080,#REF!,4,0),0)</f>
        <v>0</v>
      </c>
    </row>
    <row r="1081" spans="1:4">
      <c r="A1081" s="21" t="s">
        <v>2062</v>
      </c>
      <c r="B1081" s="15" t="str">
        <f>IFERROR(VLOOKUP(A1081,#REF!,2,0)," ")</f>
        <v xml:space="preserve"> </v>
      </c>
      <c r="C1081" s="20">
        <f>IFERROR(VLOOKUP(A1081,#REF!,3,0),0)</f>
        <v>0</v>
      </c>
      <c r="D1081" s="20">
        <f>IFERROR(VLOOKUP(A1081,#REF!,4,0),0)</f>
        <v>0</v>
      </c>
    </row>
    <row r="1082" spans="1:4">
      <c r="A1082" s="21" t="s">
        <v>2063</v>
      </c>
      <c r="B1082" s="15" t="str">
        <f>IFERROR(VLOOKUP(A1082,#REF!,2,0)," ")</f>
        <v xml:space="preserve"> </v>
      </c>
      <c r="C1082" s="20">
        <f>IFERROR(VLOOKUP(A1082,#REF!,3,0),0)</f>
        <v>0</v>
      </c>
      <c r="D1082" s="20">
        <f>IFERROR(VLOOKUP(A1082,#REF!,4,0),0)</f>
        <v>0</v>
      </c>
    </row>
    <row r="1083" spans="1:4">
      <c r="A1083" s="21" t="s">
        <v>2064</v>
      </c>
      <c r="B1083" s="15" t="str">
        <f>IFERROR(VLOOKUP(A1083,#REF!,2,0)," ")</f>
        <v xml:space="preserve"> </v>
      </c>
      <c r="C1083" s="20">
        <f>IFERROR(VLOOKUP(A1083,#REF!,3,0),0)</f>
        <v>0</v>
      </c>
      <c r="D1083" s="20">
        <f>IFERROR(VLOOKUP(A1083,#REF!,4,0),0)</f>
        <v>0</v>
      </c>
    </row>
    <row r="1084" spans="1:4">
      <c r="A1084" s="21" t="s">
        <v>2065</v>
      </c>
      <c r="B1084" s="15" t="str">
        <f>IFERROR(VLOOKUP(A1084,#REF!,2,0)," ")</f>
        <v xml:space="preserve"> </v>
      </c>
      <c r="C1084" s="20">
        <f>IFERROR(VLOOKUP(A1084,#REF!,3,0),0)</f>
        <v>0</v>
      </c>
      <c r="D1084" s="20">
        <f>IFERROR(VLOOKUP(A1084,#REF!,4,0),0)</f>
        <v>0</v>
      </c>
    </row>
    <row r="1085" spans="1:4">
      <c r="A1085" s="21" t="s">
        <v>2066</v>
      </c>
      <c r="B1085" s="15" t="str">
        <f>IFERROR(VLOOKUP(A1085,#REF!,2,0)," ")</f>
        <v xml:space="preserve"> </v>
      </c>
      <c r="C1085" s="20">
        <f>IFERROR(VLOOKUP(A1085,#REF!,3,0),0)</f>
        <v>0</v>
      </c>
      <c r="D1085" s="20">
        <f>IFERROR(VLOOKUP(A1085,#REF!,4,0),0)</f>
        <v>0</v>
      </c>
    </row>
    <row r="1086" spans="1:4">
      <c r="A1086" s="21" t="s">
        <v>2067</v>
      </c>
      <c r="B1086" s="15" t="str">
        <f>IFERROR(VLOOKUP(A1086,#REF!,2,0)," ")</f>
        <v xml:space="preserve"> </v>
      </c>
      <c r="C1086" s="20">
        <f>IFERROR(VLOOKUP(A1086,#REF!,3,0),0)</f>
        <v>0</v>
      </c>
      <c r="D1086" s="20">
        <f>IFERROR(VLOOKUP(A1086,#REF!,4,0),0)</f>
        <v>0</v>
      </c>
    </row>
    <row r="1087" spans="1:4">
      <c r="A1087" s="21" t="s">
        <v>2068</v>
      </c>
      <c r="B1087" s="15" t="str">
        <f>IFERROR(VLOOKUP(A1087,#REF!,2,0)," ")</f>
        <v xml:space="preserve"> </v>
      </c>
      <c r="C1087" s="20">
        <f>IFERROR(VLOOKUP(A1087,#REF!,3,0),0)</f>
        <v>0</v>
      </c>
      <c r="D1087" s="20">
        <f>IFERROR(VLOOKUP(A1087,#REF!,4,0),0)</f>
        <v>0</v>
      </c>
    </row>
    <row r="1088" spans="1:4">
      <c r="A1088" s="21" t="s">
        <v>2069</v>
      </c>
      <c r="B1088" s="15" t="str">
        <f>IFERROR(VLOOKUP(A1088,#REF!,2,0)," ")</f>
        <v xml:space="preserve"> </v>
      </c>
      <c r="C1088" s="20">
        <f>IFERROR(VLOOKUP(A1088,#REF!,3,0),0)</f>
        <v>0</v>
      </c>
      <c r="D1088" s="20">
        <f>IFERROR(VLOOKUP(A1088,#REF!,4,0),0)</f>
        <v>0</v>
      </c>
    </row>
    <row r="1089" spans="1:7">
      <c r="A1089" s="21" t="s">
        <v>2070</v>
      </c>
      <c r="B1089" s="15" t="str">
        <f>IFERROR(VLOOKUP(A1089,#REF!,2,0)," ")</f>
        <v xml:space="preserve"> </v>
      </c>
      <c r="C1089" s="20">
        <f>IFERROR(VLOOKUP(A1089,#REF!,3,0),0)</f>
        <v>0</v>
      </c>
      <c r="D1089" s="20">
        <f>IFERROR(VLOOKUP(A1089,#REF!,4,0),0)</f>
        <v>0</v>
      </c>
    </row>
    <row r="1090" spans="1:7">
      <c r="A1090" s="21" t="s">
        <v>2071</v>
      </c>
      <c r="B1090" s="15" t="str">
        <f>IFERROR(VLOOKUP(A1090,#REF!,2,0)," ")</f>
        <v xml:space="preserve"> </v>
      </c>
      <c r="C1090" s="20">
        <f>IFERROR(VLOOKUP(A1090,#REF!,3,0),0)</f>
        <v>0</v>
      </c>
      <c r="D1090" s="20">
        <f>IFERROR(VLOOKUP(A1090,#REF!,4,0),0)</f>
        <v>0</v>
      </c>
    </row>
    <row r="1091" spans="1:7">
      <c r="A1091" s="21" t="s">
        <v>2072</v>
      </c>
      <c r="B1091" s="15" t="str">
        <f>IFERROR(VLOOKUP(A1091,#REF!,2,0)," ")</f>
        <v xml:space="preserve"> </v>
      </c>
      <c r="C1091" s="20">
        <f>IFERROR(VLOOKUP(A1091,#REF!,3,0),0)</f>
        <v>0</v>
      </c>
      <c r="D1091" s="20">
        <f>IFERROR(VLOOKUP(A1091,#REF!,4,0),0)</f>
        <v>0</v>
      </c>
    </row>
    <row r="1092" spans="1:7">
      <c r="A1092" s="21" t="s">
        <v>2073</v>
      </c>
      <c r="B1092" s="15" t="str">
        <f>IFERROR(VLOOKUP(A1092,#REF!,2,0)," ")</f>
        <v xml:space="preserve"> </v>
      </c>
      <c r="C1092" s="20">
        <f>IFERROR(VLOOKUP(A1092,#REF!,3,0),0)</f>
        <v>0</v>
      </c>
      <c r="D1092" s="20">
        <f>IFERROR(VLOOKUP(A1092,#REF!,4,0),0)</f>
        <v>0</v>
      </c>
    </row>
    <row r="1093" spans="1:7" ht="15">
      <c r="A1093" s="69" t="s">
        <v>2151</v>
      </c>
      <c r="B1093" s="69"/>
      <c r="C1093" s="69"/>
      <c r="D1093" s="70" t="s">
        <v>2150</v>
      </c>
      <c r="G1093" s="13"/>
    </row>
    <row r="1094" spans="1:7" ht="12">
      <c r="A1094" s="18" t="s">
        <v>370</v>
      </c>
      <c r="B1094" s="18" t="s">
        <v>565</v>
      </c>
      <c r="C1094" s="16" t="s">
        <v>371</v>
      </c>
      <c r="D1094" s="70"/>
      <c r="G1094" s="13"/>
    </row>
    <row r="1095" spans="1:7">
      <c r="A1095" s="21" t="s">
        <v>2152</v>
      </c>
      <c r="B1095" s="15" t="str">
        <f>IFERROR(VLOOKUP(A1095,#REF!,2,0)," ")</f>
        <v xml:space="preserve"> </v>
      </c>
      <c r="C1095" s="20">
        <f>IFERROR(VLOOKUP(A1095,#REF!,3,0),0)</f>
        <v>0</v>
      </c>
      <c r="D1095" s="20">
        <f>IFERROR(VLOOKUP(A1095,#REF!,4,0),0)</f>
        <v>0</v>
      </c>
    </row>
    <row r="1096" spans="1:7">
      <c r="A1096" s="21" t="s">
        <v>2153</v>
      </c>
      <c r="B1096" s="15" t="str">
        <f>IFERROR(VLOOKUP(A1096,#REF!,2,0)," ")</f>
        <v xml:space="preserve"> </v>
      </c>
      <c r="C1096" s="20">
        <f>IFERROR(VLOOKUP(A1096,#REF!,3,0),0)</f>
        <v>0</v>
      </c>
      <c r="D1096" s="20">
        <f>IFERROR(VLOOKUP(A1096,#REF!,4,0),0)</f>
        <v>0</v>
      </c>
    </row>
    <row r="1097" spans="1:7">
      <c r="A1097" s="21" t="s">
        <v>2154</v>
      </c>
      <c r="B1097" s="15" t="str">
        <f>IFERROR(VLOOKUP(A1097,#REF!,2,0)," ")</f>
        <v xml:space="preserve"> </v>
      </c>
      <c r="C1097" s="20">
        <f>IFERROR(VLOOKUP(A1097,#REF!,3,0),0)</f>
        <v>0</v>
      </c>
      <c r="D1097" s="20">
        <f>IFERROR(VLOOKUP(A1097,#REF!,4,0),0)</f>
        <v>0</v>
      </c>
    </row>
    <row r="1098" spans="1:7">
      <c r="A1098" s="21" t="s">
        <v>2155</v>
      </c>
      <c r="B1098" s="15" t="str">
        <f>IFERROR(VLOOKUP(A1098,#REF!,2,0)," ")</f>
        <v xml:space="preserve"> </v>
      </c>
      <c r="C1098" s="20">
        <f>IFERROR(VLOOKUP(A1098,#REF!,3,0),0)</f>
        <v>0</v>
      </c>
      <c r="D1098" s="20">
        <f>IFERROR(VLOOKUP(A1098,#REF!,4,0),0)</f>
        <v>0</v>
      </c>
    </row>
    <row r="1099" spans="1:7">
      <c r="A1099" s="21" t="s">
        <v>2156</v>
      </c>
      <c r="B1099" s="15" t="str">
        <f>IFERROR(VLOOKUP(A1099,#REF!,2,0)," ")</f>
        <v xml:space="preserve"> </v>
      </c>
      <c r="C1099" s="20">
        <f>IFERROR(VLOOKUP(A1099,#REF!,3,0),0)</f>
        <v>0</v>
      </c>
      <c r="D1099" s="20">
        <f>IFERROR(VLOOKUP(A1099,#REF!,4,0),0)</f>
        <v>0</v>
      </c>
    </row>
    <row r="1100" spans="1:7">
      <c r="A1100" s="21" t="s">
        <v>2157</v>
      </c>
      <c r="B1100" s="15" t="str">
        <f>IFERROR(VLOOKUP(A1100,#REF!,2,0)," ")</f>
        <v xml:space="preserve"> </v>
      </c>
      <c r="C1100" s="20">
        <f>IFERROR(VLOOKUP(A1100,#REF!,3,0),0)</f>
        <v>0</v>
      </c>
      <c r="D1100" s="20">
        <f>IFERROR(VLOOKUP(A1100,#REF!,4,0),0)</f>
        <v>0</v>
      </c>
    </row>
    <row r="1101" spans="1:7">
      <c r="A1101" s="21" t="s">
        <v>2158</v>
      </c>
      <c r="B1101" s="15" t="str">
        <f>IFERROR(VLOOKUP(A1101,#REF!,2,0)," ")</f>
        <v xml:space="preserve"> </v>
      </c>
      <c r="C1101" s="20">
        <f>IFERROR(VLOOKUP(A1101,#REF!,3,0),0)</f>
        <v>0</v>
      </c>
      <c r="D1101" s="20">
        <f>IFERROR(VLOOKUP(A1101,#REF!,4,0),0)</f>
        <v>0</v>
      </c>
    </row>
    <row r="1102" spans="1:7">
      <c r="A1102" s="21" t="s">
        <v>2159</v>
      </c>
      <c r="B1102" s="15" t="str">
        <f>IFERROR(VLOOKUP(A1102,#REF!,2,0)," ")</f>
        <v xml:space="preserve"> </v>
      </c>
      <c r="C1102" s="20">
        <f>IFERROR(VLOOKUP(A1102,#REF!,3,0),0)</f>
        <v>0</v>
      </c>
      <c r="D1102" s="20">
        <f>IFERROR(VLOOKUP(A1102,#REF!,4,0),0)</f>
        <v>0</v>
      </c>
    </row>
    <row r="1103" spans="1:7">
      <c r="A1103" s="21" t="s">
        <v>2160</v>
      </c>
      <c r="B1103" s="15" t="str">
        <f>IFERROR(VLOOKUP(A1103,#REF!,2,0)," ")</f>
        <v xml:space="preserve"> </v>
      </c>
      <c r="C1103" s="20">
        <f>IFERROR(VLOOKUP(A1103,#REF!,3,0),0)</f>
        <v>0</v>
      </c>
      <c r="D1103" s="20">
        <f>IFERROR(VLOOKUP(A1103,#REF!,4,0),0)</f>
        <v>0</v>
      </c>
    </row>
    <row r="1104" spans="1:7">
      <c r="A1104" s="21" t="s">
        <v>2161</v>
      </c>
      <c r="B1104" s="15" t="str">
        <f>IFERROR(VLOOKUP(A1104,#REF!,2,0)," ")</f>
        <v xml:space="preserve"> </v>
      </c>
      <c r="C1104" s="20">
        <f>IFERROR(VLOOKUP(A1104,#REF!,3,0),0)</f>
        <v>0</v>
      </c>
      <c r="D1104" s="20">
        <f>IFERROR(VLOOKUP(A1104,#REF!,4,0),0)</f>
        <v>0</v>
      </c>
    </row>
    <row r="1105" spans="1:4">
      <c r="A1105" s="21" t="s">
        <v>2162</v>
      </c>
      <c r="B1105" s="15" t="str">
        <f>IFERROR(VLOOKUP(A1105,#REF!,2,0)," ")</f>
        <v xml:space="preserve"> </v>
      </c>
      <c r="C1105" s="20">
        <f>IFERROR(VLOOKUP(A1105,#REF!,3,0),0)</f>
        <v>0</v>
      </c>
      <c r="D1105" s="20">
        <f>IFERROR(VLOOKUP(A1105,#REF!,4,0),0)</f>
        <v>0</v>
      </c>
    </row>
    <row r="1106" spans="1:4">
      <c r="A1106" s="21" t="s">
        <v>2163</v>
      </c>
      <c r="B1106" s="15" t="str">
        <f>IFERROR(VLOOKUP(A1106,#REF!,2,0)," ")</f>
        <v xml:space="preserve"> </v>
      </c>
      <c r="C1106" s="20">
        <f>IFERROR(VLOOKUP(A1106,#REF!,3,0),0)</f>
        <v>0</v>
      </c>
      <c r="D1106" s="20">
        <f>IFERROR(VLOOKUP(A1106,#REF!,4,0),0)</f>
        <v>0</v>
      </c>
    </row>
    <row r="1107" spans="1:4">
      <c r="A1107" s="21" t="s">
        <v>2164</v>
      </c>
      <c r="B1107" s="15" t="str">
        <f>IFERROR(VLOOKUP(A1107,#REF!,2,0)," ")</f>
        <v xml:space="preserve"> </v>
      </c>
      <c r="C1107" s="20">
        <f>IFERROR(VLOOKUP(A1107,#REF!,3,0),0)</f>
        <v>0</v>
      </c>
      <c r="D1107" s="20">
        <f>IFERROR(VLOOKUP(A1107,#REF!,4,0),0)</f>
        <v>0</v>
      </c>
    </row>
    <row r="1108" spans="1:4">
      <c r="A1108" s="21" t="s">
        <v>2165</v>
      </c>
      <c r="B1108" s="15" t="str">
        <f>IFERROR(VLOOKUP(A1108,#REF!,2,0)," ")</f>
        <v xml:space="preserve"> </v>
      </c>
      <c r="C1108" s="20">
        <f>IFERROR(VLOOKUP(A1108,#REF!,3,0),0)</f>
        <v>0</v>
      </c>
      <c r="D1108" s="20">
        <f>IFERROR(VLOOKUP(A1108,#REF!,4,0),0)</f>
        <v>0</v>
      </c>
    </row>
    <row r="1109" spans="1:4">
      <c r="A1109" s="21" t="s">
        <v>2166</v>
      </c>
      <c r="B1109" s="15" t="str">
        <f>IFERROR(VLOOKUP(A1109,#REF!,2,0)," ")</f>
        <v xml:space="preserve"> </v>
      </c>
      <c r="C1109" s="20">
        <f>IFERROR(VLOOKUP(A1109,#REF!,3,0),0)</f>
        <v>0</v>
      </c>
      <c r="D1109" s="20">
        <f>IFERROR(VLOOKUP(A1109,#REF!,4,0),0)</f>
        <v>0</v>
      </c>
    </row>
    <row r="1110" spans="1:4">
      <c r="A1110" s="21" t="s">
        <v>2167</v>
      </c>
      <c r="B1110" s="15" t="str">
        <f>IFERROR(VLOOKUP(A1110,#REF!,2,0)," ")</f>
        <v xml:space="preserve"> </v>
      </c>
      <c r="C1110" s="20">
        <f>IFERROR(VLOOKUP(A1110,#REF!,3,0),0)</f>
        <v>0</v>
      </c>
      <c r="D1110" s="20">
        <f>IFERROR(VLOOKUP(A1110,#REF!,4,0),0)</f>
        <v>0</v>
      </c>
    </row>
    <row r="1111" spans="1:4">
      <c r="A1111" s="21" t="s">
        <v>2168</v>
      </c>
      <c r="B1111" s="15" t="str">
        <f>IFERROR(VLOOKUP(A1111,#REF!,2,0)," ")</f>
        <v xml:space="preserve"> </v>
      </c>
      <c r="C1111" s="20">
        <f>IFERROR(VLOOKUP(A1111,#REF!,3,0),0)</f>
        <v>0</v>
      </c>
      <c r="D1111" s="20">
        <f>IFERROR(VLOOKUP(A1111,#REF!,4,0),0)</f>
        <v>0</v>
      </c>
    </row>
    <row r="1112" spans="1:4">
      <c r="A1112" s="21" t="s">
        <v>2169</v>
      </c>
      <c r="B1112" s="15" t="str">
        <f>IFERROR(VLOOKUP(A1112,#REF!,2,0)," ")</f>
        <v xml:space="preserve"> </v>
      </c>
      <c r="C1112" s="20">
        <f>IFERROR(VLOOKUP(A1112,#REF!,3,0),0)</f>
        <v>0</v>
      </c>
      <c r="D1112" s="20">
        <f>IFERROR(VLOOKUP(A1112,#REF!,4,0),0)</f>
        <v>0</v>
      </c>
    </row>
    <row r="1113" spans="1:4">
      <c r="A1113" s="21" t="s">
        <v>2170</v>
      </c>
      <c r="B1113" s="15" t="str">
        <f>IFERROR(VLOOKUP(A1113,#REF!,2,0)," ")</f>
        <v xml:space="preserve"> </v>
      </c>
      <c r="C1113" s="20">
        <f>IFERROR(VLOOKUP(A1113,#REF!,3,0),0)</f>
        <v>0</v>
      </c>
      <c r="D1113" s="20">
        <f>IFERROR(VLOOKUP(A1113,#REF!,4,0),0)</f>
        <v>0</v>
      </c>
    </row>
    <row r="1114" spans="1:4">
      <c r="A1114" s="21" t="s">
        <v>2171</v>
      </c>
      <c r="B1114" s="15" t="str">
        <f>IFERROR(VLOOKUP(A1114,#REF!,2,0)," ")</f>
        <v xml:space="preserve"> </v>
      </c>
      <c r="C1114" s="20">
        <f>IFERROR(VLOOKUP(A1114,#REF!,3,0),0)</f>
        <v>0</v>
      </c>
      <c r="D1114" s="20">
        <f>IFERROR(VLOOKUP(A1114,#REF!,4,0),0)</f>
        <v>0</v>
      </c>
    </row>
    <row r="1115" spans="1:4">
      <c r="A1115" s="21" t="s">
        <v>2172</v>
      </c>
      <c r="B1115" s="15" t="str">
        <f>IFERROR(VLOOKUP(A1115,#REF!,2,0)," ")</f>
        <v xml:space="preserve"> </v>
      </c>
      <c r="C1115" s="20">
        <f>IFERROR(VLOOKUP(A1115,#REF!,3,0),0)</f>
        <v>0</v>
      </c>
      <c r="D1115" s="20">
        <f>IFERROR(VLOOKUP(A1115,#REF!,4,0),0)</f>
        <v>0</v>
      </c>
    </row>
    <row r="1116" spans="1:4">
      <c r="A1116" s="21" t="s">
        <v>2173</v>
      </c>
      <c r="B1116" s="15" t="str">
        <f>IFERROR(VLOOKUP(A1116,#REF!,2,0)," ")</f>
        <v xml:space="preserve"> </v>
      </c>
      <c r="C1116" s="20">
        <f>IFERROR(VLOOKUP(A1116,#REF!,3,0),0)</f>
        <v>0</v>
      </c>
      <c r="D1116" s="20">
        <f>IFERROR(VLOOKUP(A1116,#REF!,4,0),0)</f>
        <v>0</v>
      </c>
    </row>
    <row r="1117" spans="1:4">
      <c r="A1117" s="21" t="s">
        <v>2174</v>
      </c>
      <c r="B1117" s="15" t="str">
        <f>IFERROR(VLOOKUP(A1117,#REF!,2,0)," ")</f>
        <v xml:space="preserve"> </v>
      </c>
      <c r="C1117" s="20">
        <f>IFERROR(VLOOKUP(A1117,#REF!,3,0),0)</f>
        <v>0</v>
      </c>
      <c r="D1117" s="20">
        <f>IFERROR(VLOOKUP(A1117,#REF!,4,0),0)</f>
        <v>0</v>
      </c>
    </row>
    <row r="1118" spans="1:4">
      <c r="A1118" s="21" t="s">
        <v>2175</v>
      </c>
      <c r="B1118" s="15" t="str">
        <f>IFERROR(VLOOKUP(A1118,#REF!,2,0)," ")</f>
        <v xml:space="preserve"> </v>
      </c>
      <c r="C1118" s="20">
        <f>IFERROR(VLOOKUP(A1118,#REF!,3,0),0)</f>
        <v>0</v>
      </c>
      <c r="D1118" s="20">
        <f>IFERROR(VLOOKUP(A1118,#REF!,4,0),0)</f>
        <v>0</v>
      </c>
    </row>
    <row r="1119" spans="1:4">
      <c r="A1119" s="21" t="s">
        <v>2176</v>
      </c>
      <c r="B1119" s="15" t="str">
        <f>IFERROR(VLOOKUP(A1119,#REF!,2,0)," ")</f>
        <v xml:space="preserve"> </v>
      </c>
      <c r="C1119" s="20">
        <f>IFERROR(VLOOKUP(A1119,#REF!,3,0),0)</f>
        <v>0</v>
      </c>
      <c r="D1119" s="20">
        <f>IFERROR(VLOOKUP(A1119,#REF!,4,0),0)</f>
        <v>0</v>
      </c>
    </row>
    <row r="1120" spans="1:4">
      <c r="A1120" s="21" t="s">
        <v>2177</v>
      </c>
      <c r="B1120" s="15" t="str">
        <f>IFERROR(VLOOKUP(A1120,#REF!,2,0)," ")</f>
        <v xml:space="preserve"> </v>
      </c>
      <c r="C1120" s="20">
        <f>IFERROR(VLOOKUP(A1120,#REF!,3,0),0)</f>
        <v>0</v>
      </c>
      <c r="D1120" s="20">
        <f>IFERROR(VLOOKUP(A1120,#REF!,4,0),0)</f>
        <v>0</v>
      </c>
    </row>
    <row r="1121" spans="1:4">
      <c r="A1121" s="21" t="s">
        <v>2178</v>
      </c>
      <c r="B1121" s="15" t="str">
        <f>IFERROR(VLOOKUP(A1121,#REF!,2,0)," ")</f>
        <v xml:space="preserve"> </v>
      </c>
      <c r="C1121" s="20">
        <f>IFERROR(VLOOKUP(A1121,#REF!,3,0),0)</f>
        <v>0</v>
      </c>
      <c r="D1121" s="20">
        <f>IFERROR(VLOOKUP(A1121,#REF!,4,0),0)</f>
        <v>0</v>
      </c>
    </row>
    <row r="1122" spans="1:4">
      <c r="A1122" s="21" t="s">
        <v>2179</v>
      </c>
      <c r="B1122" s="15" t="str">
        <f>IFERROR(VLOOKUP(A1122,#REF!,2,0)," ")</f>
        <v xml:space="preserve"> </v>
      </c>
      <c r="C1122" s="20">
        <f>IFERROR(VLOOKUP(A1122,#REF!,3,0),0)</f>
        <v>0</v>
      </c>
      <c r="D1122" s="20">
        <f>IFERROR(VLOOKUP(A1122,#REF!,4,0),0)</f>
        <v>0</v>
      </c>
    </row>
    <row r="1123" spans="1:4">
      <c r="A1123" s="21" t="s">
        <v>2180</v>
      </c>
      <c r="B1123" s="15" t="str">
        <f>IFERROR(VLOOKUP(A1123,#REF!,2,0)," ")</f>
        <v xml:space="preserve"> </v>
      </c>
      <c r="C1123" s="20">
        <f>IFERROR(VLOOKUP(A1123,#REF!,3,0),0)</f>
        <v>0</v>
      </c>
      <c r="D1123" s="20">
        <f>IFERROR(VLOOKUP(A1123,#REF!,4,0),0)</f>
        <v>0</v>
      </c>
    </row>
    <row r="1124" spans="1:4">
      <c r="A1124" s="21" t="s">
        <v>2181</v>
      </c>
      <c r="B1124" s="15" t="str">
        <f>IFERROR(VLOOKUP(A1124,#REF!,2,0)," ")</f>
        <v xml:space="preserve"> </v>
      </c>
      <c r="C1124" s="20">
        <f>IFERROR(VLOOKUP(A1124,#REF!,3,0),0)</f>
        <v>0</v>
      </c>
      <c r="D1124" s="20">
        <f>IFERROR(VLOOKUP(A1124,#REF!,4,0),0)</f>
        <v>0</v>
      </c>
    </row>
    <row r="1125" spans="1:4">
      <c r="A1125" s="21" t="s">
        <v>2182</v>
      </c>
      <c r="B1125" s="15" t="str">
        <f>IFERROR(VLOOKUP(A1125,#REF!,2,0)," ")</f>
        <v xml:space="preserve"> </v>
      </c>
      <c r="C1125" s="20">
        <f>IFERROR(VLOOKUP(A1125,#REF!,3,0),0)</f>
        <v>0</v>
      </c>
      <c r="D1125" s="20">
        <f>IFERROR(VLOOKUP(A1125,#REF!,4,0),0)</f>
        <v>0</v>
      </c>
    </row>
    <row r="1126" spans="1:4">
      <c r="A1126" s="21" t="s">
        <v>2183</v>
      </c>
      <c r="B1126" s="15" t="str">
        <f>IFERROR(VLOOKUP(A1126,#REF!,2,0)," ")</f>
        <v xml:space="preserve"> </v>
      </c>
      <c r="C1126" s="20">
        <f>IFERROR(VLOOKUP(A1126,#REF!,3,0),0)</f>
        <v>0</v>
      </c>
      <c r="D1126" s="20">
        <f>IFERROR(VLOOKUP(A1126,#REF!,4,0),0)</f>
        <v>0</v>
      </c>
    </row>
    <row r="1127" spans="1:4">
      <c r="A1127" s="21" t="s">
        <v>2184</v>
      </c>
      <c r="B1127" s="15" t="str">
        <f>IFERROR(VLOOKUP(A1127,#REF!,2,0)," ")</f>
        <v xml:space="preserve"> </v>
      </c>
      <c r="C1127" s="20">
        <f>IFERROR(VLOOKUP(A1127,#REF!,3,0),0)</f>
        <v>0</v>
      </c>
      <c r="D1127" s="20">
        <f>IFERROR(VLOOKUP(A1127,#REF!,4,0),0)</f>
        <v>0</v>
      </c>
    </row>
    <row r="1128" spans="1:4">
      <c r="A1128" s="21" t="s">
        <v>2185</v>
      </c>
      <c r="B1128" s="15" t="str">
        <f>IFERROR(VLOOKUP(A1128,#REF!,2,0)," ")</f>
        <v xml:space="preserve"> </v>
      </c>
      <c r="C1128" s="20">
        <f>IFERROR(VLOOKUP(A1128,#REF!,3,0),0)</f>
        <v>0</v>
      </c>
      <c r="D1128" s="20">
        <f>IFERROR(VLOOKUP(A1128,#REF!,4,0),0)</f>
        <v>0</v>
      </c>
    </row>
    <row r="1129" spans="1:4">
      <c r="A1129" s="21" t="s">
        <v>2186</v>
      </c>
      <c r="B1129" s="15" t="str">
        <f>IFERROR(VLOOKUP(A1129,#REF!,2,0)," ")</f>
        <v xml:space="preserve"> </v>
      </c>
      <c r="C1129" s="20">
        <f>IFERROR(VLOOKUP(A1129,#REF!,3,0),0)</f>
        <v>0</v>
      </c>
      <c r="D1129" s="20">
        <f>IFERROR(VLOOKUP(A1129,#REF!,4,0),0)</f>
        <v>0</v>
      </c>
    </row>
    <row r="1130" spans="1:4">
      <c r="A1130" s="21" t="s">
        <v>2187</v>
      </c>
      <c r="B1130" s="15" t="str">
        <f>IFERROR(VLOOKUP(A1130,#REF!,2,0)," ")</f>
        <v xml:space="preserve"> </v>
      </c>
      <c r="C1130" s="20">
        <f>IFERROR(VLOOKUP(A1130,#REF!,3,0),0)</f>
        <v>0</v>
      </c>
      <c r="D1130" s="20">
        <f>IFERROR(VLOOKUP(A1130,#REF!,4,0),0)</f>
        <v>0</v>
      </c>
    </row>
    <row r="1131" spans="1:4">
      <c r="A1131" s="21" t="s">
        <v>2188</v>
      </c>
      <c r="B1131" s="15" t="str">
        <f>IFERROR(VLOOKUP(A1131,#REF!,2,0)," ")</f>
        <v xml:space="preserve"> </v>
      </c>
      <c r="C1131" s="20">
        <f>IFERROR(VLOOKUP(A1131,#REF!,3,0),0)</f>
        <v>0</v>
      </c>
      <c r="D1131" s="20">
        <f>IFERROR(VLOOKUP(A1131,#REF!,4,0),0)</f>
        <v>0</v>
      </c>
    </row>
    <row r="1132" spans="1:4">
      <c r="A1132" s="21" t="s">
        <v>2189</v>
      </c>
      <c r="B1132" s="15" t="str">
        <f>IFERROR(VLOOKUP(A1132,#REF!,2,0)," ")</f>
        <v xml:space="preserve"> </v>
      </c>
      <c r="C1132" s="20">
        <f>IFERROR(VLOOKUP(A1132,#REF!,3,0),0)</f>
        <v>0</v>
      </c>
      <c r="D1132" s="20">
        <f>IFERROR(VLOOKUP(A1132,#REF!,4,0),0)</f>
        <v>0</v>
      </c>
    </row>
    <row r="1133" spans="1:4">
      <c r="A1133" s="21" t="s">
        <v>2190</v>
      </c>
      <c r="B1133" s="15" t="str">
        <f>IFERROR(VLOOKUP(A1133,#REF!,2,0)," ")</f>
        <v xml:space="preserve"> </v>
      </c>
      <c r="C1133" s="20">
        <f>IFERROR(VLOOKUP(A1133,#REF!,3,0),0)</f>
        <v>0</v>
      </c>
      <c r="D1133" s="20">
        <f>IFERROR(VLOOKUP(A1133,#REF!,4,0),0)</f>
        <v>0</v>
      </c>
    </row>
    <row r="1134" spans="1:4">
      <c r="A1134" s="21" t="s">
        <v>2191</v>
      </c>
      <c r="B1134" s="15" t="str">
        <f>IFERROR(VLOOKUP(A1134,#REF!,2,0)," ")</f>
        <v xml:space="preserve"> </v>
      </c>
      <c r="C1134" s="20">
        <f>IFERROR(VLOOKUP(A1134,#REF!,3,0),0)</f>
        <v>0</v>
      </c>
      <c r="D1134" s="20">
        <f>IFERROR(VLOOKUP(A1134,#REF!,4,0),0)</f>
        <v>0</v>
      </c>
    </row>
    <row r="1135" spans="1:4">
      <c r="A1135" s="21" t="s">
        <v>2192</v>
      </c>
      <c r="B1135" s="15" t="str">
        <f>IFERROR(VLOOKUP(A1135,#REF!,2,0)," ")</f>
        <v xml:space="preserve"> </v>
      </c>
      <c r="C1135" s="20">
        <f>IFERROR(VLOOKUP(A1135,#REF!,3,0),0)</f>
        <v>0</v>
      </c>
      <c r="D1135" s="20">
        <f>IFERROR(VLOOKUP(A1135,#REF!,4,0),0)</f>
        <v>0</v>
      </c>
    </row>
    <row r="1136" spans="1:4">
      <c r="A1136" s="21" t="s">
        <v>2193</v>
      </c>
      <c r="B1136" s="15" t="str">
        <f>IFERROR(VLOOKUP(A1136,#REF!,2,0)," ")</f>
        <v xml:space="preserve"> </v>
      </c>
      <c r="C1136" s="20">
        <f>IFERROR(VLOOKUP(A1136,#REF!,3,0),0)</f>
        <v>0</v>
      </c>
      <c r="D1136" s="20">
        <f>IFERROR(VLOOKUP(A1136,#REF!,4,0),0)</f>
        <v>0</v>
      </c>
    </row>
    <row r="1137" spans="1:4">
      <c r="A1137" s="21" t="s">
        <v>2194</v>
      </c>
      <c r="B1137" s="15" t="str">
        <f>IFERROR(VLOOKUP(A1137,#REF!,2,0)," ")</f>
        <v xml:space="preserve"> </v>
      </c>
      <c r="C1137" s="20">
        <f>IFERROR(VLOOKUP(A1137,#REF!,3,0),0)</f>
        <v>0</v>
      </c>
      <c r="D1137" s="20">
        <f>IFERROR(VLOOKUP(A1137,#REF!,4,0),0)</f>
        <v>0</v>
      </c>
    </row>
    <row r="1138" spans="1:4">
      <c r="A1138" s="21" t="s">
        <v>2195</v>
      </c>
      <c r="B1138" s="15" t="str">
        <f>IFERROR(VLOOKUP(A1138,#REF!,2,0)," ")</f>
        <v xml:space="preserve"> </v>
      </c>
      <c r="C1138" s="20">
        <f>IFERROR(VLOOKUP(A1138,#REF!,3,0),0)</f>
        <v>0</v>
      </c>
      <c r="D1138" s="20">
        <f>IFERROR(VLOOKUP(A1138,#REF!,4,0),0)</f>
        <v>0</v>
      </c>
    </row>
    <row r="1139" spans="1:4">
      <c r="A1139" s="21" t="s">
        <v>2196</v>
      </c>
      <c r="B1139" s="15" t="str">
        <f>IFERROR(VLOOKUP(A1139,#REF!,2,0)," ")</f>
        <v xml:space="preserve"> </v>
      </c>
      <c r="C1139" s="20">
        <f>IFERROR(VLOOKUP(A1139,#REF!,3,0),0)</f>
        <v>0</v>
      </c>
      <c r="D1139" s="20">
        <f>IFERROR(VLOOKUP(A1139,#REF!,4,0),0)</f>
        <v>0</v>
      </c>
    </row>
    <row r="1140" spans="1:4">
      <c r="A1140" s="21" t="s">
        <v>2197</v>
      </c>
      <c r="B1140" s="15" t="str">
        <f>IFERROR(VLOOKUP(A1140,#REF!,2,0)," ")</f>
        <v xml:space="preserve"> </v>
      </c>
      <c r="C1140" s="20">
        <f>IFERROR(VLOOKUP(A1140,#REF!,3,0),0)</f>
        <v>0</v>
      </c>
      <c r="D1140" s="20">
        <f>IFERROR(VLOOKUP(A1140,#REF!,4,0),0)</f>
        <v>0</v>
      </c>
    </row>
    <row r="1141" spans="1:4">
      <c r="A1141" s="21" t="s">
        <v>2198</v>
      </c>
      <c r="B1141" s="15" t="str">
        <f>IFERROR(VLOOKUP(A1141,#REF!,2,0)," ")</f>
        <v xml:space="preserve"> </v>
      </c>
      <c r="C1141" s="20">
        <f>IFERROR(VLOOKUP(A1141,#REF!,3,0),0)</f>
        <v>0</v>
      </c>
      <c r="D1141" s="20">
        <f>IFERROR(VLOOKUP(A1141,#REF!,4,0),0)</f>
        <v>0</v>
      </c>
    </row>
    <row r="1142" spans="1:4">
      <c r="A1142" s="21" t="s">
        <v>2199</v>
      </c>
      <c r="B1142" s="15" t="str">
        <f>IFERROR(VLOOKUP(A1142,#REF!,2,0)," ")</f>
        <v xml:space="preserve"> </v>
      </c>
      <c r="C1142" s="20">
        <f>IFERROR(VLOOKUP(A1142,#REF!,3,0),0)</f>
        <v>0</v>
      </c>
      <c r="D1142" s="20">
        <f>IFERROR(VLOOKUP(A1142,#REF!,4,0),0)</f>
        <v>0</v>
      </c>
    </row>
    <row r="1143" spans="1:4">
      <c r="A1143" s="21" t="s">
        <v>2200</v>
      </c>
      <c r="B1143" s="15" t="str">
        <f>IFERROR(VLOOKUP(A1143,#REF!,2,0)," ")</f>
        <v xml:space="preserve"> </v>
      </c>
      <c r="C1143" s="20">
        <f>IFERROR(VLOOKUP(A1143,#REF!,3,0),0)</f>
        <v>0</v>
      </c>
      <c r="D1143" s="20">
        <f>IFERROR(VLOOKUP(A1143,#REF!,4,0),0)</f>
        <v>0</v>
      </c>
    </row>
    <row r="1144" spans="1:4">
      <c r="A1144" s="21" t="s">
        <v>2201</v>
      </c>
      <c r="B1144" s="15" t="str">
        <f>IFERROR(VLOOKUP(A1144,#REF!,2,0)," ")</f>
        <v xml:space="preserve"> </v>
      </c>
      <c r="C1144" s="20">
        <f>IFERROR(VLOOKUP(A1144,#REF!,3,0),0)</f>
        <v>0</v>
      </c>
      <c r="D1144" s="20">
        <f>IFERROR(VLOOKUP(A1144,#REF!,4,0),0)</f>
        <v>0</v>
      </c>
    </row>
    <row r="1145" spans="1:4">
      <c r="A1145" s="21" t="s">
        <v>2202</v>
      </c>
      <c r="B1145" s="15" t="str">
        <f>IFERROR(VLOOKUP(A1145,#REF!,2,0)," ")</f>
        <v xml:space="preserve"> </v>
      </c>
      <c r="C1145" s="20">
        <f>IFERROR(VLOOKUP(A1145,#REF!,3,0),0)</f>
        <v>0</v>
      </c>
      <c r="D1145" s="20">
        <f>IFERROR(VLOOKUP(A1145,#REF!,4,0),0)</f>
        <v>0</v>
      </c>
    </row>
    <row r="1146" spans="1:4">
      <c r="A1146" s="21" t="s">
        <v>2203</v>
      </c>
      <c r="B1146" s="15" t="str">
        <f>IFERROR(VLOOKUP(A1146,#REF!,2,0)," ")</f>
        <v xml:space="preserve"> </v>
      </c>
      <c r="C1146" s="20">
        <f>IFERROR(VLOOKUP(A1146,#REF!,3,0),0)</f>
        <v>0</v>
      </c>
      <c r="D1146" s="20">
        <f>IFERROR(VLOOKUP(A1146,#REF!,4,0),0)</f>
        <v>0</v>
      </c>
    </row>
    <row r="1147" spans="1:4">
      <c r="A1147" s="21" t="s">
        <v>2204</v>
      </c>
      <c r="B1147" s="15" t="str">
        <f>IFERROR(VLOOKUP(A1147,#REF!,2,0)," ")</f>
        <v xml:space="preserve"> </v>
      </c>
      <c r="C1147" s="20">
        <f>IFERROR(VLOOKUP(A1147,#REF!,3,0),0)</f>
        <v>0</v>
      </c>
      <c r="D1147" s="20">
        <f>IFERROR(VLOOKUP(A1147,#REF!,4,0),0)</f>
        <v>0</v>
      </c>
    </row>
    <row r="1148" spans="1:4">
      <c r="A1148" s="21" t="s">
        <v>2205</v>
      </c>
      <c r="B1148" s="15" t="str">
        <f>IFERROR(VLOOKUP(A1148,#REF!,2,0)," ")</f>
        <v xml:space="preserve"> </v>
      </c>
      <c r="C1148" s="20">
        <f>IFERROR(VLOOKUP(A1148,#REF!,3,0),0)</f>
        <v>0</v>
      </c>
      <c r="D1148" s="20">
        <f>IFERROR(VLOOKUP(A1148,#REF!,4,0),0)</f>
        <v>0</v>
      </c>
    </row>
    <row r="1149" spans="1:4">
      <c r="A1149" s="21" t="s">
        <v>2206</v>
      </c>
      <c r="B1149" s="15" t="str">
        <f>IFERROR(VLOOKUP(A1149,#REF!,2,0)," ")</f>
        <v xml:space="preserve"> </v>
      </c>
      <c r="C1149" s="20">
        <f>IFERROR(VLOOKUP(A1149,#REF!,3,0),0)</f>
        <v>0</v>
      </c>
      <c r="D1149" s="20">
        <f>IFERROR(VLOOKUP(A1149,#REF!,4,0),0)</f>
        <v>0</v>
      </c>
    </row>
    <row r="1150" spans="1:4">
      <c r="A1150" s="21" t="s">
        <v>2207</v>
      </c>
      <c r="B1150" s="15" t="str">
        <f>IFERROR(VLOOKUP(A1150,#REF!,2,0)," ")</f>
        <v xml:space="preserve"> </v>
      </c>
      <c r="C1150" s="20">
        <f>IFERROR(VLOOKUP(A1150,#REF!,3,0),0)</f>
        <v>0</v>
      </c>
      <c r="D1150" s="20">
        <f>IFERROR(VLOOKUP(A1150,#REF!,4,0),0)</f>
        <v>0</v>
      </c>
    </row>
    <row r="1151" spans="1:4">
      <c r="A1151" s="21" t="s">
        <v>2208</v>
      </c>
      <c r="B1151" s="15" t="str">
        <f>IFERROR(VLOOKUP(A1151,#REF!,2,0)," ")</f>
        <v xml:space="preserve"> </v>
      </c>
      <c r="C1151" s="20">
        <f>IFERROR(VLOOKUP(A1151,#REF!,3,0),0)</f>
        <v>0</v>
      </c>
      <c r="D1151" s="20">
        <f>IFERROR(VLOOKUP(A1151,#REF!,4,0),0)</f>
        <v>0</v>
      </c>
    </row>
    <row r="1152" spans="1:4">
      <c r="A1152" s="21" t="s">
        <v>2209</v>
      </c>
      <c r="B1152" s="15" t="str">
        <f>IFERROR(VLOOKUP(A1152,#REF!,2,0)," ")</f>
        <v xml:space="preserve"> </v>
      </c>
      <c r="C1152" s="20">
        <f>IFERROR(VLOOKUP(A1152,#REF!,3,0),0)</f>
        <v>0</v>
      </c>
      <c r="D1152" s="20">
        <f>IFERROR(VLOOKUP(A1152,#REF!,4,0),0)</f>
        <v>0</v>
      </c>
    </row>
    <row r="1153" spans="1:4">
      <c r="A1153" s="21" t="s">
        <v>2210</v>
      </c>
      <c r="B1153" s="15" t="str">
        <f>IFERROR(VLOOKUP(A1153,#REF!,2,0)," ")</f>
        <v xml:space="preserve"> </v>
      </c>
      <c r="C1153" s="20">
        <f>IFERROR(VLOOKUP(A1153,#REF!,3,0),0)</f>
        <v>0</v>
      </c>
      <c r="D1153" s="20">
        <f>IFERROR(VLOOKUP(A1153,#REF!,4,0),0)</f>
        <v>0</v>
      </c>
    </row>
    <row r="1154" spans="1:4">
      <c r="A1154" s="21" t="s">
        <v>2211</v>
      </c>
      <c r="B1154" s="15" t="str">
        <f>IFERROR(VLOOKUP(A1154,#REF!,2,0)," ")</f>
        <v xml:space="preserve"> </v>
      </c>
      <c r="C1154" s="20">
        <f>IFERROR(VLOOKUP(A1154,#REF!,3,0),0)</f>
        <v>0</v>
      </c>
      <c r="D1154" s="20">
        <f>IFERROR(VLOOKUP(A1154,#REF!,4,0),0)</f>
        <v>0</v>
      </c>
    </row>
    <row r="1155" spans="1:4">
      <c r="A1155" s="21" t="s">
        <v>2212</v>
      </c>
      <c r="B1155" s="15" t="str">
        <f>IFERROR(VLOOKUP(A1155,#REF!,2,0)," ")</f>
        <v xml:space="preserve"> </v>
      </c>
      <c r="C1155" s="20">
        <f>IFERROR(VLOOKUP(A1155,#REF!,3,0),0)</f>
        <v>0</v>
      </c>
      <c r="D1155" s="20">
        <f>IFERROR(VLOOKUP(A1155,#REF!,4,0),0)</f>
        <v>0</v>
      </c>
    </row>
    <row r="1156" spans="1:4">
      <c r="A1156" s="21" t="s">
        <v>2213</v>
      </c>
      <c r="B1156" s="15" t="str">
        <f>IFERROR(VLOOKUP(A1156,#REF!,2,0)," ")</f>
        <v xml:space="preserve"> </v>
      </c>
      <c r="C1156" s="20">
        <f>IFERROR(VLOOKUP(A1156,#REF!,3,0),0)</f>
        <v>0</v>
      </c>
      <c r="D1156" s="20">
        <f>IFERROR(VLOOKUP(A1156,#REF!,4,0),0)</f>
        <v>0</v>
      </c>
    </row>
    <row r="1157" spans="1:4">
      <c r="A1157" s="21" t="s">
        <v>2214</v>
      </c>
      <c r="B1157" s="15" t="str">
        <f>IFERROR(VLOOKUP(A1157,#REF!,2,0)," ")</f>
        <v xml:space="preserve"> </v>
      </c>
      <c r="C1157" s="20">
        <f>IFERROR(VLOOKUP(A1157,#REF!,3,0),0)</f>
        <v>0</v>
      </c>
      <c r="D1157" s="20">
        <f>IFERROR(VLOOKUP(A1157,#REF!,4,0),0)</f>
        <v>0</v>
      </c>
    </row>
    <row r="1158" spans="1:4">
      <c r="A1158" s="21" t="s">
        <v>2215</v>
      </c>
      <c r="B1158" s="15" t="str">
        <f>IFERROR(VLOOKUP(A1158,#REF!,2,0)," ")</f>
        <v xml:space="preserve"> </v>
      </c>
      <c r="C1158" s="20">
        <f>IFERROR(VLOOKUP(A1158,#REF!,3,0),0)</f>
        <v>0</v>
      </c>
      <c r="D1158" s="20">
        <f>IFERROR(VLOOKUP(A1158,#REF!,4,0),0)</f>
        <v>0</v>
      </c>
    </row>
    <row r="1159" spans="1:4">
      <c r="A1159" s="21" t="s">
        <v>2216</v>
      </c>
      <c r="B1159" s="15" t="str">
        <f>IFERROR(VLOOKUP(A1159,#REF!,2,0)," ")</f>
        <v xml:space="preserve"> </v>
      </c>
      <c r="C1159" s="20">
        <f>IFERROR(VLOOKUP(A1159,#REF!,3,0),0)</f>
        <v>0</v>
      </c>
      <c r="D1159" s="20">
        <f>IFERROR(VLOOKUP(A1159,#REF!,4,0),0)</f>
        <v>0</v>
      </c>
    </row>
    <row r="1160" spans="1:4">
      <c r="A1160" s="21" t="s">
        <v>2217</v>
      </c>
      <c r="B1160" s="15" t="str">
        <f>IFERROR(VLOOKUP(A1160,#REF!,2,0)," ")</f>
        <v xml:space="preserve"> </v>
      </c>
      <c r="C1160" s="20">
        <f>IFERROR(VLOOKUP(A1160,#REF!,3,0),0)</f>
        <v>0</v>
      </c>
      <c r="D1160" s="20">
        <f>IFERROR(VLOOKUP(A1160,#REF!,4,0),0)</f>
        <v>0</v>
      </c>
    </row>
    <row r="1161" spans="1:4">
      <c r="A1161" s="21" t="s">
        <v>2218</v>
      </c>
      <c r="B1161" s="15" t="str">
        <f>IFERROR(VLOOKUP(A1161,#REF!,2,0)," ")</f>
        <v xml:space="preserve"> </v>
      </c>
      <c r="C1161" s="20">
        <f>IFERROR(VLOOKUP(A1161,#REF!,3,0),0)</f>
        <v>0</v>
      </c>
      <c r="D1161" s="20">
        <f>IFERROR(VLOOKUP(A1161,#REF!,4,0),0)</f>
        <v>0</v>
      </c>
    </row>
    <row r="1162" spans="1:4">
      <c r="A1162" s="21" t="s">
        <v>2219</v>
      </c>
      <c r="B1162" s="15" t="str">
        <f>IFERROR(VLOOKUP(A1162,#REF!,2,0)," ")</f>
        <v xml:space="preserve"> </v>
      </c>
      <c r="C1162" s="20">
        <f>IFERROR(VLOOKUP(A1162,#REF!,3,0),0)</f>
        <v>0</v>
      </c>
      <c r="D1162" s="20">
        <f>IFERROR(VLOOKUP(A1162,#REF!,4,0),0)</f>
        <v>0</v>
      </c>
    </row>
    <row r="1163" spans="1:4">
      <c r="A1163" s="21" t="s">
        <v>2220</v>
      </c>
      <c r="B1163" s="15" t="str">
        <f>IFERROR(VLOOKUP(A1163,#REF!,2,0)," ")</f>
        <v xml:space="preserve"> </v>
      </c>
      <c r="C1163" s="20">
        <f>IFERROR(VLOOKUP(A1163,#REF!,3,0),0)</f>
        <v>0</v>
      </c>
      <c r="D1163" s="20">
        <f>IFERROR(VLOOKUP(A1163,#REF!,4,0),0)</f>
        <v>0</v>
      </c>
    </row>
    <row r="1164" spans="1:4">
      <c r="A1164" s="21" t="s">
        <v>2221</v>
      </c>
      <c r="B1164" s="15" t="str">
        <f>IFERROR(VLOOKUP(A1164,#REF!,2,0)," ")</f>
        <v xml:space="preserve"> </v>
      </c>
      <c r="C1164" s="20">
        <f>IFERROR(VLOOKUP(A1164,#REF!,3,0),0)</f>
        <v>0</v>
      </c>
      <c r="D1164" s="20">
        <f>IFERROR(VLOOKUP(A1164,#REF!,4,0),0)</f>
        <v>0</v>
      </c>
    </row>
    <row r="1165" spans="1:4">
      <c r="A1165" s="21" t="s">
        <v>2222</v>
      </c>
      <c r="B1165" s="15" t="str">
        <f>IFERROR(VLOOKUP(A1165,#REF!,2,0)," ")</f>
        <v xml:space="preserve"> </v>
      </c>
      <c r="C1165" s="20">
        <f>IFERROR(VLOOKUP(A1165,#REF!,3,0),0)</f>
        <v>0</v>
      </c>
      <c r="D1165" s="20">
        <f>IFERROR(VLOOKUP(A1165,#REF!,4,0),0)</f>
        <v>0</v>
      </c>
    </row>
    <row r="1166" spans="1:4">
      <c r="A1166" s="21" t="s">
        <v>2223</v>
      </c>
      <c r="B1166" s="15" t="str">
        <f>IFERROR(VLOOKUP(A1166,#REF!,2,0)," ")</f>
        <v xml:space="preserve"> </v>
      </c>
      <c r="C1166" s="20">
        <f>IFERROR(VLOOKUP(A1166,#REF!,3,0),0)</f>
        <v>0</v>
      </c>
      <c r="D1166" s="20">
        <f>IFERROR(VLOOKUP(A1166,#REF!,4,0),0)</f>
        <v>0</v>
      </c>
    </row>
    <row r="1167" spans="1:4">
      <c r="A1167" s="21" t="s">
        <v>2224</v>
      </c>
      <c r="B1167" s="15" t="str">
        <f>IFERROR(VLOOKUP(A1167,#REF!,2,0)," ")</f>
        <v xml:space="preserve"> </v>
      </c>
      <c r="C1167" s="20">
        <f>IFERROR(VLOOKUP(A1167,#REF!,3,0),0)</f>
        <v>0</v>
      </c>
      <c r="D1167" s="20">
        <f>IFERROR(VLOOKUP(A1167,#REF!,4,0),0)</f>
        <v>0</v>
      </c>
    </row>
    <row r="1168" spans="1:4">
      <c r="A1168" s="21" t="s">
        <v>2225</v>
      </c>
      <c r="B1168" s="15" t="str">
        <f>IFERROR(VLOOKUP(A1168,#REF!,2,0)," ")</f>
        <v xml:space="preserve"> </v>
      </c>
      <c r="C1168" s="20">
        <f>IFERROR(VLOOKUP(A1168,#REF!,3,0),0)</f>
        <v>0</v>
      </c>
      <c r="D1168" s="20">
        <f>IFERROR(VLOOKUP(A1168,#REF!,4,0),0)</f>
        <v>0</v>
      </c>
    </row>
    <row r="1169" spans="1:4">
      <c r="A1169" s="21" t="s">
        <v>2226</v>
      </c>
      <c r="B1169" s="15" t="str">
        <f>IFERROR(VLOOKUP(A1169,#REF!,2,0)," ")</f>
        <v xml:space="preserve"> </v>
      </c>
      <c r="C1169" s="20">
        <f>IFERROR(VLOOKUP(A1169,#REF!,3,0),0)</f>
        <v>0</v>
      </c>
      <c r="D1169" s="20">
        <f>IFERROR(VLOOKUP(A1169,#REF!,4,0),0)</f>
        <v>0</v>
      </c>
    </row>
    <row r="1170" spans="1:4">
      <c r="A1170" s="21" t="s">
        <v>2227</v>
      </c>
      <c r="B1170" s="15" t="str">
        <f>IFERROR(VLOOKUP(A1170,#REF!,2,0)," ")</f>
        <v xml:space="preserve"> </v>
      </c>
      <c r="C1170" s="20">
        <f>IFERROR(VLOOKUP(A1170,#REF!,3,0),0)</f>
        <v>0</v>
      </c>
      <c r="D1170" s="20">
        <f>IFERROR(VLOOKUP(A1170,#REF!,4,0),0)</f>
        <v>0</v>
      </c>
    </row>
    <row r="1171" spans="1:4">
      <c r="A1171" s="21" t="s">
        <v>2228</v>
      </c>
      <c r="B1171" s="15" t="str">
        <f>IFERROR(VLOOKUP(A1171,#REF!,2,0)," ")</f>
        <v xml:space="preserve"> </v>
      </c>
      <c r="C1171" s="20">
        <f>IFERROR(VLOOKUP(A1171,#REF!,3,0),0)</f>
        <v>0</v>
      </c>
      <c r="D1171" s="20">
        <f>IFERROR(VLOOKUP(A1171,#REF!,4,0),0)</f>
        <v>0</v>
      </c>
    </row>
    <row r="1172" spans="1:4">
      <c r="A1172" s="21" t="s">
        <v>2229</v>
      </c>
      <c r="B1172" s="15" t="str">
        <f>IFERROR(VLOOKUP(A1172,#REF!,2,0)," ")</f>
        <v xml:space="preserve"> </v>
      </c>
      <c r="C1172" s="20">
        <f>IFERROR(VLOOKUP(A1172,#REF!,3,0),0)</f>
        <v>0</v>
      </c>
      <c r="D1172" s="20">
        <f>IFERROR(VLOOKUP(A1172,#REF!,4,0),0)</f>
        <v>0</v>
      </c>
    </row>
    <row r="1173" spans="1:4">
      <c r="A1173" s="21" t="s">
        <v>2230</v>
      </c>
      <c r="B1173" s="15" t="str">
        <f>IFERROR(VLOOKUP(A1173,#REF!,2,0)," ")</f>
        <v xml:space="preserve"> </v>
      </c>
      <c r="C1173" s="20">
        <f>IFERROR(VLOOKUP(A1173,#REF!,3,0),0)</f>
        <v>0</v>
      </c>
      <c r="D1173" s="20">
        <f>IFERROR(VLOOKUP(A1173,#REF!,4,0),0)</f>
        <v>0</v>
      </c>
    </row>
    <row r="1174" spans="1:4">
      <c r="A1174" s="21" t="s">
        <v>2231</v>
      </c>
      <c r="B1174" s="15" t="str">
        <f>IFERROR(VLOOKUP(A1174,#REF!,2,0)," ")</f>
        <v xml:space="preserve"> </v>
      </c>
      <c r="C1174" s="20">
        <f>IFERROR(VLOOKUP(A1174,#REF!,3,0),0)</f>
        <v>0</v>
      </c>
      <c r="D1174" s="20">
        <f>IFERROR(VLOOKUP(A1174,#REF!,4,0),0)</f>
        <v>0</v>
      </c>
    </row>
    <row r="1175" spans="1:4">
      <c r="A1175" s="21" t="s">
        <v>2232</v>
      </c>
      <c r="B1175" s="15" t="str">
        <f>IFERROR(VLOOKUP(A1175,#REF!,2,0)," ")</f>
        <v xml:space="preserve"> </v>
      </c>
      <c r="C1175" s="20">
        <f>IFERROR(VLOOKUP(A1175,#REF!,3,0),0)</f>
        <v>0</v>
      </c>
      <c r="D1175" s="20">
        <f>IFERROR(VLOOKUP(A1175,#REF!,4,0),0)</f>
        <v>0</v>
      </c>
    </row>
    <row r="1176" spans="1:4">
      <c r="A1176" s="21" t="s">
        <v>2233</v>
      </c>
      <c r="B1176" s="15" t="str">
        <f>IFERROR(VLOOKUP(A1176,#REF!,2,0)," ")</f>
        <v xml:space="preserve"> </v>
      </c>
      <c r="C1176" s="20">
        <f>IFERROR(VLOOKUP(A1176,#REF!,3,0),0)</f>
        <v>0</v>
      </c>
      <c r="D1176" s="20">
        <f>IFERROR(VLOOKUP(A1176,#REF!,4,0),0)</f>
        <v>0</v>
      </c>
    </row>
    <row r="1177" spans="1:4">
      <c r="A1177" s="21" t="s">
        <v>2234</v>
      </c>
      <c r="B1177" s="15" t="str">
        <f>IFERROR(VLOOKUP(A1177,#REF!,2,0)," ")</f>
        <v xml:space="preserve"> </v>
      </c>
      <c r="C1177" s="20">
        <f>IFERROR(VLOOKUP(A1177,#REF!,3,0),0)</f>
        <v>0</v>
      </c>
      <c r="D1177" s="20">
        <f>IFERROR(VLOOKUP(A1177,#REF!,4,0),0)</f>
        <v>0</v>
      </c>
    </row>
    <row r="1178" spans="1:4">
      <c r="A1178" s="21" t="s">
        <v>2235</v>
      </c>
      <c r="B1178" s="15" t="str">
        <f>IFERROR(VLOOKUP(A1178,#REF!,2,0)," ")</f>
        <v xml:space="preserve"> </v>
      </c>
      <c r="C1178" s="20">
        <f>IFERROR(VLOOKUP(A1178,#REF!,3,0),0)</f>
        <v>0</v>
      </c>
      <c r="D1178" s="20">
        <f>IFERROR(VLOOKUP(A1178,#REF!,4,0),0)</f>
        <v>0</v>
      </c>
    </row>
    <row r="1179" spans="1:4">
      <c r="A1179" s="21" t="s">
        <v>2236</v>
      </c>
      <c r="B1179" s="15" t="str">
        <f>IFERROR(VLOOKUP(A1179,#REF!,2,0)," ")</f>
        <v xml:space="preserve"> </v>
      </c>
      <c r="C1179" s="20">
        <f>IFERROR(VLOOKUP(A1179,#REF!,3,0),0)</f>
        <v>0</v>
      </c>
      <c r="D1179" s="20">
        <f>IFERROR(VLOOKUP(A1179,#REF!,4,0),0)</f>
        <v>0</v>
      </c>
    </row>
    <row r="1180" spans="1:4">
      <c r="A1180" s="21" t="s">
        <v>2237</v>
      </c>
      <c r="B1180" s="15" t="str">
        <f>IFERROR(VLOOKUP(A1180,#REF!,2,0)," ")</f>
        <v xml:space="preserve"> </v>
      </c>
      <c r="C1180" s="20">
        <f>IFERROR(VLOOKUP(A1180,#REF!,3,0),0)</f>
        <v>0</v>
      </c>
      <c r="D1180" s="20">
        <f>IFERROR(VLOOKUP(A1180,#REF!,4,0),0)</f>
        <v>0</v>
      </c>
    </row>
    <row r="1181" spans="1:4">
      <c r="A1181" s="21" t="s">
        <v>2238</v>
      </c>
      <c r="B1181" s="15" t="str">
        <f>IFERROR(VLOOKUP(A1181,#REF!,2,0)," ")</f>
        <v xml:space="preserve"> </v>
      </c>
      <c r="C1181" s="20">
        <f>IFERROR(VLOOKUP(A1181,#REF!,3,0),0)</f>
        <v>0</v>
      </c>
      <c r="D1181" s="20">
        <f>IFERROR(VLOOKUP(A1181,#REF!,4,0),0)</f>
        <v>0</v>
      </c>
    </row>
    <row r="1182" spans="1:4">
      <c r="A1182" s="21" t="s">
        <v>2239</v>
      </c>
      <c r="B1182" s="15" t="str">
        <f>IFERROR(VLOOKUP(A1182,#REF!,2,0)," ")</f>
        <v xml:space="preserve"> </v>
      </c>
      <c r="C1182" s="20">
        <f>IFERROR(VLOOKUP(A1182,#REF!,3,0),0)</f>
        <v>0</v>
      </c>
      <c r="D1182" s="20">
        <f>IFERROR(VLOOKUP(A1182,#REF!,4,0),0)</f>
        <v>0</v>
      </c>
    </row>
    <row r="1183" spans="1:4">
      <c r="A1183" s="21" t="s">
        <v>2240</v>
      </c>
      <c r="B1183" s="15" t="str">
        <f>IFERROR(VLOOKUP(A1183,#REF!,2,0)," ")</f>
        <v xml:space="preserve"> </v>
      </c>
      <c r="C1183" s="20">
        <f>IFERROR(VLOOKUP(A1183,#REF!,3,0),0)</f>
        <v>0</v>
      </c>
      <c r="D1183" s="20">
        <f>IFERROR(VLOOKUP(A1183,#REF!,4,0),0)</f>
        <v>0</v>
      </c>
    </row>
    <row r="1184" spans="1:4">
      <c r="A1184" s="21" t="s">
        <v>2241</v>
      </c>
      <c r="B1184" s="15" t="str">
        <f>IFERROR(VLOOKUP(A1184,#REF!,2,0)," ")</f>
        <v xml:space="preserve"> </v>
      </c>
      <c r="C1184" s="20">
        <f>IFERROR(VLOOKUP(A1184,#REF!,3,0),0)</f>
        <v>0</v>
      </c>
      <c r="D1184" s="20">
        <f>IFERROR(VLOOKUP(A1184,#REF!,4,0),0)</f>
        <v>0</v>
      </c>
    </row>
    <row r="1185" spans="1:4">
      <c r="A1185" s="21" t="s">
        <v>2242</v>
      </c>
      <c r="B1185" s="15" t="str">
        <f>IFERROR(VLOOKUP(A1185,#REF!,2,0)," ")</f>
        <v xml:space="preserve"> </v>
      </c>
      <c r="C1185" s="20">
        <f>IFERROR(VLOOKUP(A1185,#REF!,3,0),0)</f>
        <v>0</v>
      </c>
      <c r="D1185" s="20">
        <f>IFERROR(VLOOKUP(A1185,#REF!,4,0),0)</f>
        <v>0</v>
      </c>
    </row>
    <row r="1186" spans="1:4">
      <c r="A1186" s="21" t="s">
        <v>2243</v>
      </c>
      <c r="B1186" s="15" t="str">
        <f>IFERROR(VLOOKUP(A1186,#REF!,2,0)," ")</f>
        <v xml:space="preserve"> </v>
      </c>
      <c r="C1186" s="20">
        <f>IFERROR(VLOOKUP(A1186,#REF!,3,0),0)</f>
        <v>0</v>
      </c>
      <c r="D1186" s="20">
        <f>IFERROR(VLOOKUP(A1186,#REF!,4,0),0)</f>
        <v>0</v>
      </c>
    </row>
    <row r="1187" spans="1:4">
      <c r="A1187" s="21" t="s">
        <v>2244</v>
      </c>
      <c r="B1187" s="15" t="str">
        <f>IFERROR(VLOOKUP(A1187,#REF!,2,0)," ")</f>
        <v xml:space="preserve"> </v>
      </c>
      <c r="C1187" s="20">
        <f>IFERROR(VLOOKUP(A1187,#REF!,3,0),0)</f>
        <v>0</v>
      </c>
      <c r="D1187" s="20">
        <f>IFERROR(VLOOKUP(A1187,#REF!,4,0),0)</f>
        <v>0</v>
      </c>
    </row>
    <row r="1188" spans="1:4">
      <c r="A1188" s="21" t="s">
        <v>2245</v>
      </c>
      <c r="B1188" s="15" t="str">
        <f>IFERROR(VLOOKUP(A1188,#REF!,2,0)," ")</f>
        <v xml:space="preserve"> </v>
      </c>
      <c r="C1188" s="20">
        <f>IFERROR(VLOOKUP(A1188,#REF!,3,0),0)</f>
        <v>0</v>
      </c>
      <c r="D1188" s="20">
        <f>IFERROR(VLOOKUP(A1188,#REF!,4,0),0)</f>
        <v>0</v>
      </c>
    </row>
    <row r="1189" spans="1:4">
      <c r="A1189" s="21" t="s">
        <v>2246</v>
      </c>
      <c r="B1189" s="15" t="str">
        <f>IFERROR(VLOOKUP(A1189,#REF!,2,0)," ")</f>
        <v xml:space="preserve"> </v>
      </c>
      <c r="C1189" s="20">
        <f>IFERROR(VLOOKUP(A1189,#REF!,3,0),0)</f>
        <v>0</v>
      </c>
      <c r="D1189" s="20">
        <f>IFERROR(VLOOKUP(A1189,#REF!,4,0),0)</f>
        <v>0</v>
      </c>
    </row>
    <row r="1190" spans="1:4">
      <c r="A1190" s="21" t="s">
        <v>2247</v>
      </c>
      <c r="B1190" s="15" t="str">
        <f>IFERROR(VLOOKUP(A1190,#REF!,2,0)," ")</f>
        <v xml:space="preserve"> </v>
      </c>
      <c r="C1190" s="20">
        <f>IFERROR(VLOOKUP(A1190,#REF!,3,0),0)</f>
        <v>0</v>
      </c>
      <c r="D1190" s="20">
        <f>IFERROR(VLOOKUP(A1190,#REF!,4,0),0)</f>
        <v>0</v>
      </c>
    </row>
    <row r="1191" spans="1:4">
      <c r="A1191" s="21" t="s">
        <v>2248</v>
      </c>
      <c r="B1191" s="15" t="str">
        <f>IFERROR(VLOOKUP(A1191,#REF!,2,0)," ")</f>
        <v xml:space="preserve"> </v>
      </c>
      <c r="C1191" s="20">
        <f>IFERROR(VLOOKUP(A1191,#REF!,3,0),0)</f>
        <v>0</v>
      </c>
      <c r="D1191" s="20">
        <f>IFERROR(VLOOKUP(A1191,#REF!,4,0),0)</f>
        <v>0</v>
      </c>
    </row>
    <row r="1192" spans="1:4">
      <c r="A1192" s="21" t="s">
        <v>2249</v>
      </c>
      <c r="B1192" s="15" t="str">
        <f>IFERROR(VLOOKUP(A1192,#REF!,2,0)," ")</f>
        <v xml:space="preserve"> </v>
      </c>
      <c r="C1192" s="20">
        <f>IFERROR(VLOOKUP(A1192,#REF!,3,0),0)</f>
        <v>0</v>
      </c>
      <c r="D1192" s="20">
        <f>IFERROR(VLOOKUP(A1192,#REF!,4,0),0)</f>
        <v>0</v>
      </c>
    </row>
    <row r="1193" spans="1:4">
      <c r="A1193" s="21" t="s">
        <v>2250</v>
      </c>
      <c r="B1193" s="15" t="str">
        <f>IFERROR(VLOOKUP(A1193,#REF!,2,0)," ")</f>
        <v xml:space="preserve"> </v>
      </c>
      <c r="C1193" s="20">
        <f>IFERROR(VLOOKUP(A1193,#REF!,3,0),0)</f>
        <v>0</v>
      </c>
      <c r="D1193" s="20">
        <f>IFERROR(VLOOKUP(A1193,#REF!,4,0),0)</f>
        <v>0</v>
      </c>
    </row>
    <row r="1194" spans="1:4">
      <c r="A1194" s="21" t="s">
        <v>2251</v>
      </c>
      <c r="B1194" s="15" t="str">
        <f>IFERROR(VLOOKUP(A1194,#REF!,2,0)," ")</f>
        <v xml:space="preserve"> </v>
      </c>
      <c r="C1194" s="20">
        <f>IFERROR(VLOOKUP(A1194,#REF!,3,0),0)</f>
        <v>0</v>
      </c>
      <c r="D1194" s="20">
        <f>IFERROR(VLOOKUP(A1194,#REF!,4,0),0)</f>
        <v>0</v>
      </c>
    </row>
    <row r="1195" spans="1:4">
      <c r="A1195" s="21" t="s">
        <v>2252</v>
      </c>
      <c r="B1195" s="15" t="str">
        <f>IFERROR(VLOOKUP(A1195,#REF!,2,0)," ")</f>
        <v xml:space="preserve"> </v>
      </c>
      <c r="C1195" s="20">
        <f>IFERROR(VLOOKUP(A1195,#REF!,3,0),0)</f>
        <v>0</v>
      </c>
      <c r="D1195" s="20">
        <f>IFERROR(VLOOKUP(A1195,#REF!,4,0),0)</f>
        <v>0</v>
      </c>
    </row>
    <row r="1196" spans="1:4">
      <c r="A1196" s="21" t="s">
        <v>2253</v>
      </c>
      <c r="B1196" s="15" t="str">
        <f>IFERROR(VLOOKUP(A1196,#REF!,2,0)," ")</f>
        <v xml:space="preserve"> </v>
      </c>
      <c r="C1196" s="20">
        <f>IFERROR(VLOOKUP(A1196,#REF!,3,0),0)</f>
        <v>0</v>
      </c>
      <c r="D1196" s="20">
        <f>IFERROR(VLOOKUP(A1196,#REF!,4,0),0)</f>
        <v>0</v>
      </c>
    </row>
    <row r="1197" spans="1:4">
      <c r="A1197" s="21" t="s">
        <v>2254</v>
      </c>
      <c r="B1197" s="15" t="str">
        <f>IFERROR(VLOOKUP(A1197,#REF!,2,0)," ")</f>
        <v xml:space="preserve"> </v>
      </c>
      <c r="C1197" s="20">
        <f>IFERROR(VLOOKUP(A1197,#REF!,3,0),0)</f>
        <v>0</v>
      </c>
      <c r="D1197" s="20">
        <f>IFERROR(VLOOKUP(A1197,#REF!,4,0),0)</f>
        <v>0</v>
      </c>
    </row>
    <row r="1198" spans="1:4">
      <c r="A1198" s="21" t="s">
        <v>2255</v>
      </c>
      <c r="B1198" s="15" t="str">
        <f>IFERROR(VLOOKUP(A1198,#REF!,2,0)," ")</f>
        <v xml:space="preserve"> </v>
      </c>
      <c r="C1198" s="20">
        <f>IFERROR(VLOOKUP(A1198,#REF!,3,0),0)</f>
        <v>0</v>
      </c>
      <c r="D1198" s="20">
        <f>IFERROR(VLOOKUP(A1198,#REF!,4,0),0)</f>
        <v>0</v>
      </c>
    </row>
    <row r="1199" spans="1:4">
      <c r="A1199" s="21" t="s">
        <v>2256</v>
      </c>
      <c r="B1199" s="15" t="str">
        <f>IFERROR(VLOOKUP(A1199,#REF!,2,0)," ")</f>
        <v xml:space="preserve"> </v>
      </c>
      <c r="C1199" s="20">
        <f>IFERROR(VLOOKUP(A1199,#REF!,3,0),0)</f>
        <v>0</v>
      </c>
      <c r="D1199" s="20">
        <f>IFERROR(VLOOKUP(A1199,#REF!,4,0),0)</f>
        <v>0</v>
      </c>
    </row>
    <row r="1200" spans="1:4">
      <c r="A1200" s="21" t="s">
        <v>2257</v>
      </c>
      <c r="B1200" s="15" t="str">
        <f>IFERROR(VLOOKUP(A1200,#REF!,2,0)," ")</f>
        <v xml:space="preserve"> </v>
      </c>
      <c r="C1200" s="20">
        <f>IFERROR(VLOOKUP(A1200,#REF!,3,0),0)</f>
        <v>0</v>
      </c>
      <c r="D1200" s="20">
        <f>IFERROR(VLOOKUP(A1200,#REF!,4,0),0)</f>
        <v>0</v>
      </c>
    </row>
    <row r="1201" spans="1:4">
      <c r="A1201" s="21" t="s">
        <v>2258</v>
      </c>
      <c r="B1201" s="15" t="str">
        <f>IFERROR(VLOOKUP(A1201,#REF!,2,0)," ")</f>
        <v xml:space="preserve"> </v>
      </c>
      <c r="C1201" s="20">
        <f>IFERROR(VLOOKUP(A1201,#REF!,3,0),0)</f>
        <v>0</v>
      </c>
      <c r="D1201" s="20">
        <f>IFERROR(VLOOKUP(A1201,#REF!,4,0),0)</f>
        <v>0</v>
      </c>
    </row>
    <row r="1202" spans="1:4">
      <c r="A1202" s="21" t="s">
        <v>2259</v>
      </c>
      <c r="B1202" s="15" t="str">
        <f>IFERROR(VLOOKUP(A1202,#REF!,2,0)," ")</f>
        <v xml:space="preserve"> </v>
      </c>
      <c r="C1202" s="20">
        <f>IFERROR(VLOOKUP(A1202,#REF!,3,0),0)</f>
        <v>0</v>
      </c>
      <c r="D1202" s="20">
        <f>IFERROR(VLOOKUP(A1202,#REF!,4,0),0)</f>
        <v>0</v>
      </c>
    </row>
    <row r="1203" spans="1:4">
      <c r="A1203" s="21" t="s">
        <v>2260</v>
      </c>
      <c r="B1203" s="15" t="str">
        <f>IFERROR(VLOOKUP(A1203,#REF!,2,0)," ")</f>
        <v xml:space="preserve"> </v>
      </c>
      <c r="C1203" s="20">
        <f>IFERROR(VLOOKUP(A1203,#REF!,3,0),0)</f>
        <v>0</v>
      </c>
      <c r="D1203" s="20">
        <f>IFERROR(VLOOKUP(A1203,#REF!,4,0),0)</f>
        <v>0</v>
      </c>
    </row>
    <row r="1204" spans="1:4">
      <c r="A1204" s="21" t="s">
        <v>2261</v>
      </c>
      <c r="B1204" s="15" t="str">
        <f>IFERROR(VLOOKUP(A1204,#REF!,2,0)," ")</f>
        <v xml:space="preserve"> </v>
      </c>
      <c r="C1204" s="20">
        <f>IFERROR(VLOOKUP(A1204,#REF!,3,0),0)</f>
        <v>0</v>
      </c>
      <c r="D1204" s="20">
        <f>IFERROR(VLOOKUP(A1204,#REF!,4,0),0)</f>
        <v>0</v>
      </c>
    </row>
    <row r="1205" spans="1:4">
      <c r="A1205" s="21" t="s">
        <v>2262</v>
      </c>
      <c r="B1205" s="15" t="str">
        <f>IFERROR(VLOOKUP(A1205,#REF!,2,0)," ")</f>
        <v xml:space="preserve"> </v>
      </c>
      <c r="C1205" s="20">
        <f>IFERROR(VLOOKUP(A1205,#REF!,3,0),0)</f>
        <v>0</v>
      </c>
      <c r="D1205" s="20">
        <f>IFERROR(VLOOKUP(A1205,#REF!,4,0),0)</f>
        <v>0</v>
      </c>
    </row>
    <row r="1206" spans="1:4">
      <c r="A1206" s="21" t="s">
        <v>2263</v>
      </c>
      <c r="B1206" s="15" t="str">
        <f>IFERROR(VLOOKUP(A1206,#REF!,2,0)," ")</f>
        <v xml:space="preserve"> </v>
      </c>
      <c r="C1206" s="20">
        <f>IFERROR(VLOOKUP(A1206,#REF!,3,0),0)</f>
        <v>0</v>
      </c>
      <c r="D1206" s="20">
        <f>IFERROR(VLOOKUP(A1206,#REF!,4,0),0)</f>
        <v>0</v>
      </c>
    </row>
    <row r="1207" spans="1:4">
      <c r="A1207" s="21" t="s">
        <v>2264</v>
      </c>
      <c r="B1207" s="15" t="str">
        <f>IFERROR(VLOOKUP(A1207,#REF!,2,0)," ")</f>
        <v xml:space="preserve"> </v>
      </c>
      <c r="C1207" s="20">
        <f>IFERROR(VLOOKUP(A1207,#REF!,3,0),0)</f>
        <v>0</v>
      </c>
      <c r="D1207" s="20">
        <f>IFERROR(VLOOKUP(A1207,#REF!,4,0),0)</f>
        <v>0</v>
      </c>
    </row>
    <row r="1208" spans="1:4">
      <c r="A1208" s="21" t="s">
        <v>2265</v>
      </c>
      <c r="B1208" s="15" t="str">
        <f>IFERROR(VLOOKUP(A1208,#REF!,2,0)," ")</f>
        <v xml:space="preserve"> </v>
      </c>
      <c r="C1208" s="20">
        <f>IFERROR(VLOOKUP(A1208,#REF!,3,0),0)</f>
        <v>0</v>
      </c>
      <c r="D1208" s="20">
        <f>IFERROR(VLOOKUP(A1208,#REF!,4,0),0)</f>
        <v>0</v>
      </c>
    </row>
    <row r="1209" spans="1:4">
      <c r="A1209" s="21" t="s">
        <v>2266</v>
      </c>
      <c r="B1209" s="15" t="str">
        <f>IFERROR(VLOOKUP(A1209,#REF!,2,0)," ")</f>
        <v xml:space="preserve"> </v>
      </c>
      <c r="C1209" s="20">
        <f>IFERROR(VLOOKUP(A1209,#REF!,3,0),0)</f>
        <v>0</v>
      </c>
      <c r="D1209" s="20">
        <f>IFERROR(VLOOKUP(A1209,#REF!,4,0),0)</f>
        <v>0</v>
      </c>
    </row>
    <row r="1210" spans="1:4">
      <c r="A1210" s="21" t="s">
        <v>2267</v>
      </c>
      <c r="B1210" s="15" t="str">
        <f>IFERROR(VLOOKUP(A1210,#REF!,2,0)," ")</f>
        <v xml:space="preserve"> </v>
      </c>
      <c r="C1210" s="20">
        <f>IFERROR(VLOOKUP(A1210,#REF!,3,0),0)</f>
        <v>0</v>
      </c>
      <c r="D1210" s="20">
        <f>IFERROR(VLOOKUP(A1210,#REF!,4,0),0)</f>
        <v>0</v>
      </c>
    </row>
    <row r="1211" spans="1:4">
      <c r="A1211" s="21" t="s">
        <v>2268</v>
      </c>
      <c r="B1211" s="15" t="str">
        <f>IFERROR(VLOOKUP(A1211,#REF!,2,0)," ")</f>
        <v xml:space="preserve"> </v>
      </c>
      <c r="C1211" s="20">
        <f>IFERROR(VLOOKUP(A1211,#REF!,3,0),0)</f>
        <v>0</v>
      </c>
      <c r="D1211" s="20">
        <f>IFERROR(VLOOKUP(A1211,#REF!,4,0),0)</f>
        <v>0</v>
      </c>
    </row>
    <row r="1212" spans="1:4">
      <c r="A1212" s="21" t="s">
        <v>2269</v>
      </c>
      <c r="B1212" s="15" t="str">
        <f>IFERROR(VLOOKUP(A1212,#REF!,2,0)," ")</f>
        <v xml:space="preserve"> </v>
      </c>
      <c r="C1212" s="20">
        <f>IFERROR(VLOOKUP(A1212,#REF!,3,0),0)</f>
        <v>0</v>
      </c>
      <c r="D1212" s="20">
        <f>IFERROR(VLOOKUP(A1212,#REF!,4,0),0)</f>
        <v>0</v>
      </c>
    </row>
    <row r="1213" spans="1:4">
      <c r="A1213" s="21" t="s">
        <v>2270</v>
      </c>
      <c r="B1213" s="15" t="str">
        <f>IFERROR(VLOOKUP(A1213,#REF!,2,0)," ")</f>
        <v xml:space="preserve"> </v>
      </c>
      <c r="C1213" s="20">
        <f>IFERROR(VLOOKUP(A1213,#REF!,3,0),0)</f>
        <v>0</v>
      </c>
      <c r="D1213" s="20">
        <f>IFERROR(VLOOKUP(A1213,#REF!,4,0),0)</f>
        <v>0</v>
      </c>
    </row>
  </sheetData>
  <mergeCells count="25">
    <mergeCell ref="A1093:C1093"/>
    <mergeCell ref="D1093:D1094"/>
    <mergeCell ref="D1063:D1064"/>
    <mergeCell ref="D620:D621"/>
    <mergeCell ref="D753:D754"/>
    <mergeCell ref="D893:D894"/>
    <mergeCell ref="D1021:D1022"/>
    <mergeCell ref="D1043:D1044"/>
    <mergeCell ref="A1063:C1063"/>
    <mergeCell ref="A620:C620"/>
    <mergeCell ref="A1021:C1021"/>
    <mergeCell ref="A1043:C1043"/>
    <mergeCell ref="A893:C893"/>
    <mergeCell ref="A753:C753"/>
    <mergeCell ref="A1:D1"/>
    <mergeCell ref="A488:C488"/>
    <mergeCell ref="A2:C2"/>
    <mergeCell ref="A120:C120"/>
    <mergeCell ref="A148:C148"/>
    <mergeCell ref="A445:C445"/>
    <mergeCell ref="D2:D3"/>
    <mergeCell ref="D120:D121"/>
    <mergeCell ref="D148:D149"/>
    <mergeCell ref="D445:D446"/>
    <mergeCell ref="D488:D489"/>
  </mergeCells>
  <phoneticPr fontId="9" type="noConversion"/>
  <conditionalFormatting sqref="A972">
    <cfRule type="duplicateValues" dxfId="4" priority="1" stopIfTrue="1"/>
    <cfRule type="duplicateValues" dxfId="3" priority="2" stopIfTrue="1"/>
    <cfRule type="duplicateValues" dxfId="2" priority="3" stopIfTrue="1"/>
  </conditionalFormatting>
  <pageMargins left="0.23622047244094491" right="0.23622047244094491" top="0.31496062992125984" bottom="0.31496062992125984" header="0" footer="0"/>
  <pageSetup paperSize="9" scale="8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H3359"/>
  <sheetViews>
    <sheetView tabSelected="1" topLeftCell="A1430" zoomScale="90" zoomScaleNormal="90" workbookViewId="0">
      <selection activeCell="A768" sqref="A768"/>
    </sheetView>
  </sheetViews>
  <sheetFormatPr baseColWidth="10" defaultColWidth="20" defaultRowHeight="24.75" customHeight="1"/>
  <cols>
    <col min="1" max="1" width="12.42578125" style="24" customWidth="1"/>
    <col min="2" max="2" width="78.85546875" style="24" customWidth="1"/>
    <col min="3" max="3" width="23.85546875" style="24" customWidth="1"/>
    <col min="4" max="4" width="27.42578125" style="24" customWidth="1"/>
    <col min="5" max="5" width="16" style="24" customWidth="1"/>
    <col min="6" max="6" width="17.85546875" style="22" customWidth="1"/>
    <col min="7" max="7" width="11" style="48" customWidth="1"/>
    <col min="8" max="8" width="16" style="23" customWidth="1"/>
    <col min="9" max="16384" width="20" style="23"/>
  </cols>
  <sheetData>
    <row r="1" spans="1:8" ht="24.75" customHeight="1">
      <c r="A1" s="39" t="s">
        <v>6671</v>
      </c>
      <c r="B1" s="40"/>
      <c r="C1" s="49" t="s">
        <v>6859</v>
      </c>
      <c r="D1" s="49" t="s">
        <v>6859</v>
      </c>
      <c r="E1" s="49" t="s">
        <v>6859</v>
      </c>
      <c r="F1" s="65" t="s">
        <v>6979</v>
      </c>
      <c r="G1" s="66"/>
      <c r="H1" s="66"/>
    </row>
    <row r="2" spans="1:8" s="43" customFormat="1" ht="52.5" customHeight="1">
      <c r="A2" s="41" t="s">
        <v>370</v>
      </c>
      <c r="B2" s="41" t="s">
        <v>565</v>
      </c>
      <c r="C2" s="41" t="s">
        <v>6899</v>
      </c>
      <c r="D2" s="41" t="s">
        <v>6900</v>
      </c>
      <c r="E2" s="41" t="s">
        <v>6835</v>
      </c>
      <c r="F2" s="38" t="s">
        <v>6902</v>
      </c>
      <c r="G2" s="38" t="s">
        <v>6901</v>
      </c>
      <c r="H2" s="42" t="s">
        <v>6999</v>
      </c>
    </row>
    <row r="3" spans="1:8" s="43" customFormat="1" ht="24.75" customHeight="1">
      <c r="A3" s="44" t="s">
        <v>2573</v>
      </c>
      <c r="B3" s="45" t="s">
        <v>3214</v>
      </c>
      <c r="C3" s="45" t="s">
        <v>6672</v>
      </c>
      <c r="D3" s="45" t="s">
        <v>6673</v>
      </c>
      <c r="E3" s="44" t="s">
        <v>6846</v>
      </c>
      <c r="F3" s="37">
        <v>1</v>
      </c>
      <c r="G3" s="37" t="s">
        <v>6864</v>
      </c>
      <c r="H3" s="64">
        <v>46160.4</v>
      </c>
    </row>
    <row r="4" spans="1:8" ht="24.75" customHeight="1">
      <c r="A4" s="44" t="s">
        <v>2574</v>
      </c>
      <c r="B4" s="45" t="s">
        <v>3215</v>
      </c>
      <c r="C4" s="45" t="s">
        <v>6672</v>
      </c>
      <c r="D4" s="45" t="s">
        <v>6673</v>
      </c>
      <c r="E4" s="44" t="s">
        <v>6846</v>
      </c>
      <c r="F4" s="37">
        <v>1</v>
      </c>
      <c r="G4" s="37" t="s">
        <v>6864</v>
      </c>
      <c r="H4" s="63">
        <v>43286.1</v>
      </c>
    </row>
    <row r="5" spans="1:8" ht="24.75" customHeight="1">
      <c r="A5" s="44" t="s">
        <v>2569</v>
      </c>
      <c r="B5" s="45" t="s">
        <v>3210</v>
      </c>
      <c r="C5" s="45" t="s">
        <v>6672</v>
      </c>
      <c r="D5" s="45" t="s">
        <v>6673</v>
      </c>
      <c r="E5" s="44" t="s">
        <v>6846</v>
      </c>
      <c r="F5" s="37">
        <v>1</v>
      </c>
      <c r="G5" s="37" t="s">
        <v>6864</v>
      </c>
      <c r="H5" s="63">
        <v>40383.199999999997</v>
      </c>
    </row>
    <row r="6" spans="1:8" ht="24.75" customHeight="1">
      <c r="A6" s="44" t="s">
        <v>2570</v>
      </c>
      <c r="B6" s="45" t="s">
        <v>3211</v>
      </c>
      <c r="C6" s="45" t="s">
        <v>6672</v>
      </c>
      <c r="D6" s="45" t="s">
        <v>6673</v>
      </c>
      <c r="E6" s="44" t="s">
        <v>6846</v>
      </c>
      <c r="F6" s="37">
        <v>1</v>
      </c>
      <c r="G6" s="37" t="s">
        <v>6864</v>
      </c>
      <c r="H6" s="63">
        <v>37508.9</v>
      </c>
    </row>
    <row r="7" spans="1:8" ht="24.75" customHeight="1">
      <c r="A7" s="44" t="s">
        <v>2572</v>
      </c>
      <c r="B7" s="45" t="s">
        <v>3213</v>
      </c>
      <c r="C7" s="45" t="s">
        <v>6672</v>
      </c>
      <c r="D7" s="45" t="s">
        <v>6673</v>
      </c>
      <c r="E7" s="44" t="s">
        <v>6846</v>
      </c>
      <c r="F7" s="37">
        <v>1</v>
      </c>
      <c r="G7" s="37" t="s">
        <v>6864</v>
      </c>
      <c r="H7" s="63">
        <v>43286.1</v>
      </c>
    </row>
    <row r="8" spans="1:8" ht="24.75" customHeight="1">
      <c r="A8" s="44" t="s">
        <v>2571</v>
      </c>
      <c r="B8" s="45" t="s">
        <v>3212</v>
      </c>
      <c r="C8" s="45" t="s">
        <v>6672</v>
      </c>
      <c r="D8" s="45" t="s">
        <v>6673</v>
      </c>
      <c r="E8" s="44" t="s">
        <v>6846</v>
      </c>
      <c r="F8" s="37">
        <v>1</v>
      </c>
      <c r="G8" s="37" t="s">
        <v>6864</v>
      </c>
      <c r="H8" s="63">
        <v>46160.4</v>
      </c>
    </row>
    <row r="9" spans="1:8" ht="24.75" customHeight="1">
      <c r="A9" s="44" t="s">
        <v>669</v>
      </c>
      <c r="B9" s="45" t="s">
        <v>3299</v>
      </c>
      <c r="C9" s="45" t="s">
        <v>6672</v>
      </c>
      <c r="D9" s="45" t="s">
        <v>6673</v>
      </c>
      <c r="E9" s="44" t="s">
        <v>956</v>
      </c>
      <c r="F9" s="37">
        <v>1</v>
      </c>
      <c r="G9" s="37" t="s">
        <v>6864</v>
      </c>
      <c r="H9" s="63">
        <v>11554.4</v>
      </c>
    </row>
    <row r="10" spans="1:8" ht="24.75" customHeight="1">
      <c r="A10" s="44" t="s">
        <v>1385</v>
      </c>
      <c r="B10" s="45" t="s">
        <v>3305</v>
      </c>
      <c r="C10" s="45" t="s">
        <v>6672</v>
      </c>
      <c r="D10" s="45" t="s">
        <v>6673</v>
      </c>
      <c r="E10" s="44" t="s">
        <v>956</v>
      </c>
      <c r="F10" s="37">
        <v>1</v>
      </c>
      <c r="G10" s="37" t="s">
        <v>6864</v>
      </c>
      <c r="H10" s="63">
        <v>14800.5</v>
      </c>
    </row>
    <row r="11" spans="1:8" ht="24.75" customHeight="1">
      <c r="A11" s="44" t="s">
        <v>671</v>
      </c>
      <c r="B11" s="45" t="s">
        <v>3301</v>
      </c>
      <c r="C11" s="45" t="s">
        <v>6672</v>
      </c>
      <c r="D11" s="45" t="s">
        <v>6673</v>
      </c>
      <c r="E11" s="44" t="s">
        <v>956</v>
      </c>
      <c r="F11" s="37">
        <v>1</v>
      </c>
      <c r="G11" s="37" t="s">
        <v>6864</v>
      </c>
      <c r="H11" s="63">
        <v>8065.2</v>
      </c>
    </row>
    <row r="12" spans="1:8" ht="24.75" customHeight="1">
      <c r="A12" s="44" t="s">
        <v>1384</v>
      </c>
      <c r="B12" s="45" t="s">
        <v>3304</v>
      </c>
      <c r="C12" s="45" t="s">
        <v>6672</v>
      </c>
      <c r="D12" s="45" t="s">
        <v>6673</v>
      </c>
      <c r="E12" s="44" t="s">
        <v>956</v>
      </c>
      <c r="F12" s="37">
        <v>1</v>
      </c>
      <c r="G12" s="37" t="s">
        <v>6864</v>
      </c>
      <c r="H12" s="63">
        <v>14800.5</v>
      </c>
    </row>
    <row r="13" spans="1:8" ht="24.75" customHeight="1">
      <c r="A13" s="44" t="s">
        <v>670</v>
      </c>
      <c r="B13" s="45" t="s">
        <v>3300</v>
      </c>
      <c r="C13" s="45" t="s">
        <v>6672</v>
      </c>
      <c r="D13" s="45" t="s">
        <v>6673</v>
      </c>
      <c r="E13" s="44" t="s">
        <v>956</v>
      </c>
      <c r="F13" s="37">
        <v>1</v>
      </c>
      <c r="G13" s="37" t="s">
        <v>6864</v>
      </c>
      <c r="H13" s="63">
        <v>11554.4</v>
      </c>
    </row>
    <row r="14" spans="1:8" ht="24.75" customHeight="1">
      <c r="A14" s="44" t="s">
        <v>668</v>
      </c>
      <c r="B14" s="45" t="s">
        <v>3298</v>
      </c>
      <c r="C14" s="45" t="s">
        <v>6672</v>
      </c>
      <c r="D14" s="45" t="s">
        <v>6673</v>
      </c>
      <c r="E14" s="44" t="s">
        <v>956</v>
      </c>
      <c r="F14" s="37">
        <v>1</v>
      </c>
      <c r="G14" s="37" t="s">
        <v>6864</v>
      </c>
      <c r="H14" s="63">
        <v>11554.4</v>
      </c>
    </row>
    <row r="15" spans="1:8" ht="24.75" customHeight="1">
      <c r="A15" s="44" t="s">
        <v>667</v>
      </c>
      <c r="B15" s="45" t="s">
        <v>3297</v>
      </c>
      <c r="C15" s="45" t="s">
        <v>6672</v>
      </c>
      <c r="D15" s="45" t="s">
        <v>6673</v>
      </c>
      <c r="E15" s="44" t="s">
        <v>956</v>
      </c>
      <c r="F15" s="37">
        <v>1</v>
      </c>
      <c r="G15" s="37" t="s">
        <v>6864</v>
      </c>
      <c r="H15" s="63">
        <v>11554.4</v>
      </c>
    </row>
    <row r="16" spans="1:8" ht="24.75" customHeight="1">
      <c r="A16" s="44" t="s">
        <v>672</v>
      </c>
      <c r="B16" s="45" t="s">
        <v>3302</v>
      </c>
      <c r="C16" s="45" t="s">
        <v>6672</v>
      </c>
      <c r="D16" s="45" t="s">
        <v>6673</v>
      </c>
      <c r="E16" s="44" t="s">
        <v>956</v>
      </c>
      <c r="F16" s="37">
        <v>1</v>
      </c>
      <c r="G16" s="37" t="s">
        <v>6864</v>
      </c>
      <c r="H16" s="63">
        <v>8065.2</v>
      </c>
    </row>
    <row r="17" spans="1:8" ht="24.75" customHeight="1">
      <c r="A17" s="44" t="s">
        <v>673</v>
      </c>
      <c r="B17" s="45" t="s">
        <v>3303</v>
      </c>
      <c r="C17" s="45" t="s">
        <v>6672</v>
      </c>
      <c r="D17" s="45" t="s">
        <v>6673</v>
      </c>
      <c r="E17" s="44" t="s">
        <v>956</v>
      </c>
      <c r="F17" s="37">
        <v>1</v>
      </c>
      <c r="G17" s="37" t="s">
        <v>6864</v>
      </c>
      <c r="H17" s="63">
        <v>8065.2</v>
      </c>
    </row>
    <row r="18" spans="1:8" ht="24.75" customHeight="1">
      <c r="A18" s="44" t="s">
        <v>2956</v>
      </c>
      <c r="B18" s="45" t="s">
        <v>3354</v>
      </c>
      <c r="C18" s="45" t="s">
        <v>6672</v>
      </c>
      <c r="D18" s="45" t="s">
        <v>6674</v>
      </c>
      <c r="E18" s="44" t="s">
        <v>956</v>
      </c>
      <c r="F18" s="37">
        <v>1</v>
      </c>
      <c r="G18" s="37" t="s">
        <v>6864</v>
      </c>
      <c r="H18" s="63">
        <v>43457.7</v>
      </c>
    </row>
    <row r="19" spans="1:8" ht="24.75" customHeight="1">
      <c r="A19" s="44" t="s">
        <v>1148</v>
      </c>
      <c r="B19" s="45" t="s">
        <v>3355</v>
      </c>
      <c r="C19" s="45" t="s">
        <v>6672</v>
      </c>
      <c r="D19" s="45" t="s">
        <v>6674</v>
      </c>
      <c r="E19" s="44" t="s">
        <v>956</v>
      </c>
      <c r="F19" s="37">
        <v>1</v>
      </c>
      <c r="G19" s="37" t="s">
        <v>6864</v>
      </c>
      <c r="H19" s="63">
        <v>93722.2</v>
      </c>
    </row>
    <row r="20" spans="1:8" ht="24.75" customHeight="1">
      <c r="A20" s="44" t="s">
        <v>2660</v>
      </c>
      <c r="B20" s="45" t="s">
        <v>5343</v>
      </c>
      <c r="C20" s="45" t="s">
        <v>6672</v>
      </c>
      <c r="D20" s="45" t="s">
        <v>6675</v>
      </c>
      <c r="E20" s="44" t="s">
        <v>6839</v>
      </c>
      <c r="F20" s="37">
        <v>1</v>
      </c>
      <c r="G20" s="37" t="s">
        <v>6864</v>
      </c>
      <c r="H20" s="63">
        <v>7121.4</v>
      </c>
    </row>
    <row r="21" spans="1:8" ht="24.75" customHeight="1">
      <c r="A21" s="44" t="s">
        <v>3133</v>
      </c>
      <c r="B21" s="45" t="s">
        <v>3216</v>
      </c>
      <c r="C21" s="45" t="s">
        <v>6672</v>
      </c>
      <c r="D21" s="45" t="s">
        <v>6676</v>
      </c>
      <c r="E21" s="44" t="s">
        <v>956</v>
      </c>
      <c r="F21" s="37">
        <v>1</v>
      </c>
      <c r="G21" s="37" t="s">
        <v>6864</v>
      </c>
      <c r="H21" s="63">
        <v>9223.5</v>
      </c>
    </row>
    <row r="22" spans="1:8" ht="24.75" customHeight="1">
      <c r="A22" s="44" t="s">
        <v>2862</v>
      </c>
      <c r="B22" s="45" t="s">
        <v>4055</v>
      </c>
      <c r="C22" s="45" t="s">
        <v>6672</v>
      </c>
      <c r="D22" s="45" t="s">
        <v>6676</v>
      </c>
      <c r="E22" s="44" t="s">
        <v>6840</v>
      </c>
      <c r="F22" s="37">
        <v>1</v>
      </c>
      <c r="G22" s="37" t="s">
        <v>6864</v>
      </c>
      <c r="H22" s="63">
        <v>16259.1</v>
      </c>
    </row>
    <row r="23" spans="1:8" ht="24.75" customHeight="1">
      <c r="A23" s="44" t="s">
        <v>17</v>
      </c>
      <c r="B23" s="45" t="s">
        <v>3275</v>
      </c>
      <c r="C23" s="45" t="s">
        <v>6672</v>
      </c>
      <c r="D23" s="45" t="s">
        <v>6677</v>
      </c>
      <c r="E23" s="44"/>
      <c r="F23" s="37">
        <v>1</v>
      </c>
      <c r="G23" s="37" t="s">
        <v>6864</v>
      </c>
      <c r="H23" s="63">
        <v>44973.5</v>
      </c>
    </row>
    <row r="24" spans="1:8" ht="24.75" customHeight="1">
      <c r="A24" s="44" t="s">
        <v>16</v>
      </c>
      <c r="B24" s="45" t="s">
        <v>3274</v>
      </c>
      <c r="C24" s="45" t="s">
        <v>6672</v>
      </c>
      <c r="D24" s="45" t="s">
        <v>6677</v>
      </c>
      <c r="E24" s="44"/>
      <c r="F24" s="37">
        <v>1</v>
      </c>
      <c r="G24" s="37" t="s">
        <v>6864</v>
      </c>
      <c r="H24" s="63">
        <v>39768.300000000003</v>
      </c>
    </row>
    <row r="25" spans="1:8" ht="24.75" customHeight="1">
      <c r="A25" s="44" t="s">
        <v>18</v>
      </c>
      <c r="B25" s="45" t="s">
        <v>3276</v>
      </c>
      <c r="C25" s="45" t="s">
        <v>6672</v>
      </c>
      <c r="D25" s="45" t="s">
        <v>6677</v>
      </c>
      <c r="E25" s="44"/>
      <c r="F25" s="37">
        <v>1</v>
      </c>
      <c r="G25" s="37" t="s">
        <v>6864</v>
      </c>
      <c r="H25" s="63">
        <v>46975.5</v>
      </c>
    </row>
    <row r="26" spans="1:8" ht="24.75" customHeight="1">
      <c r="A26" s="44" t="s">
        <v>14</v>
      </c>
      <c r="B26" s="45" t="s">
        <v>3272</v>
      </c>
      <c r="C26" s="45" t="s">
        <v>6672</v>
      </c>
      <c r="D26" s="45" t="s">
        <v>6677</v>
      </c>
      <c r="E26" s="44"/>
      <c r="F26" s="37">
        <v>1</v>
      </c>
      <c r="G26" s="37" t="s">
        <v>6864</v>
      </c>
      <c r="H26" s="63">
        <v>29172</v>
      </c>
    </row>
    <row r="27" spans="1:8" ht="24.75" customHeight="1">
      <c r="A27" s="44" t="s">
        <v>13</v>
      </c>
      <c r="B27" s="45" t="s">
        <v>3271</v>
      </c>
      <c r="C27" s="45" t="s">
        <v>6672</v>
      </c>
      <c r="D27" s="45" t="s">
        <v>6677</v>
      </c>
      <c r="E27" s="44"/>
      <c r="F27" s="37">
        <v>1</v>
      </c>
      <c r="G27" s="37" t="s">
        <v>6864</v>
      </c>
      <c r="H27" s="63">
        <v>25868.7</v>
      </c>
    </row>
    <row r="28" spans="1:8" ht="24.75" customHeight="1">
      <c r="A28" s="44" t="s">
        <v>12</v>
      </c>
      <c r="B28" s="45" t="s">
        <v>3270</v>
      </c>
      <c r="C28" s="45" t="s">
        <v>6672</v>
      </c>
      <c r="D28" s="45" t="s">
        <v>6677</v>
      </c>
      <c r="E28" s="44"/>
      <c r="F28" s="37">
        <v>1</v>
      </c>
      <c r="G28" s="37" t="s">
        <v>6864</v>
      </c>
      <c r="H28" s="63">
        <v>25053.599999999999</v>
      </c>
    </row>
    <row r="29" spans="1:8" ht="24.75" customHeight="1">
      <c r="A29" s="44" t="s">
        <v>15</v>
      </c>
      <c r="B29" s="45" t="s">
        <v>3273</v>
      </c>
      <c r="C29" s="45" t="s">
        <v>6672</v>
      </c>
      <c r="D29" s="45" t="s">
        <v>6677</v>
      </c>
      <c r="E29" s="44"/>
      <c r="F29" s="37">
        <v>1</v>
      </c>
      <c r="G29" s="37" t="s">
        <v>6864</v>
      </c>
      <c r="H29" s="63">
        <v>30473.3</v>
      </c>
    </row>
    <row r="30" spans="1:8" ht="24.75" customHeight="1">
      <c r="A30" s="44" t="s">
        <v>2546</v>
      </c>
      <c r="B30" s="45" t="s">
        <v>3220</v>
      </c>
      <c r="C30" s="45" t="s">
        <v>6672</v>
      </c>
      <c r="D30" s="45" t="s">
        <v>6678</v>
      </c>
      <c r="E30" s="44" t="s">
        <v>6846</v>
      </c>
      <c r="F30" s="37">
        <v>1</v>
      </c>
      <c r="G30" s="37" t="s">
        <v>6865</v>
      </c>
      <c r="H30" s="63">
        <v>28113.8</v>
      </c>
    </row>
    <row r="31" spans="1:8" ht="24.75" customHeight="1">
      <c r="A31" s="44" t="s">
        <v>2545</v>
      </c>
      <c r="B31" s="45" t="s">
        <v>3217</v>
      </c>
      <c r="C31" s="45" t="s">
        <v>6672</v>
      </c>
      <c r="D31" s="45" t="s">
        <v>6678</v>
      </c>
      <c r="E31" s="44" t="s">
        <v>6846</v>
      </c>
      <c r="F31" s="37">
        <v>1</v>
      </c>
      <c r="G31" s="37" t="s">
        <v>6865</v>
      </c>
      <c r="H31" s="63">
        <v>28113.8</v>
      </c>
    </row>
    <row r="32" spans="1:8" ht="24.75" customHeight="1">
      <c r="A32" s="44" t="s">
        <v>2547</v>
      </c>
      <c r="B32" s="45" t="s">
        <v>3223</v>
      </c>
      <c r="C32" s="45" t="s">
        <v>6672</v>
      </c>
      <c r="D32" s="45" t="s">
        <v>6678</v>
      </c>
      <c r="E32" s="44" t="s">
        <v>6846</v>
      </c>
      <c r="F32" s="37">
        <v>1</v>
      </c>
      <c r="G32" s="37" t="s">
        <v>6865</v>
      </c>
      <c r="H32" s="63">
        <v>28113.8</v>
      </c>
    </row>
    <row r="33" spans="1:8" ht="24.75" customHeight="1">
      <c r="A33" s="44" t="s">
        <v>2548</v>
      </c>
      <c r="B33" s="45" t="s">
        <v>3226</v>
      </c>
      <c r="C33" s="45" t="s">
        <v>6672</v>
      </c>
      <c r="D33" s="45" t="s">
        <v>6678</v>
      </c>
      <c r="E33" s="44" t="s">
        <v>6846</v>
      </c>
      <c r="F33" s="37">
        <v>1</v>
      </c>
      <c r="G33" s="37" t="s">
        <v>6865</v>
      </c>
      <c r="H33" s="63">
        <v>28113.8</v>
      </c>
    </row>
    <row r="34" spans="1:8" ht="24.75" customHeight="1">
      <c r="A34" s="44" t="s">
        <v>2542</v>
      </c>
      <c r="B34" s="45" t="s">
        <v>3222</v>
      </c>
      <c r="C34" s="45" t="s">
        <v>6672</v>
      </c>
      <c r="D34" s="45" t="s">
        <v>6678</v>
      </c>
      <c r="E34" s="44" t="s">
        <v>6846</v>
      </c>
      <c r="F34" s="37">
        <v>1</v>
      </c>
      <c r="G34" s="37" t="s">
        <v>6865</v>
      </c>
      <c r="H34" s="63">
        <v>28113.8</v>
      </c>
    </row>
    <row r="35" spans="1:8" ht="24.75" customHeight="1">
      <c r="A35" s="44" t="s">
        <v>2541</v>
      </c>
      <c r="B35" s="45" t="s">
        <v>3219</v>
      </c>
      <c r="C35" s="45" t="s">
        <v>6672</v>
      </c>
      <c r="D35" s="45" t="s">
        <v>6678</v>
      </c>
      <c r="E35" s="44" t="s">
        <v>6846</v>
      </c>
      <c r="F35" s="37">
        <v>1</v>
      </c>
      <c r="G35" s="37" t="s">
        <v>6865</v>
      </c>
      <c r="H35" s="63">
        <v>28113.8</v>
      </c>
    </row>
    <row r="36" spans="1:8" ht="24.75" customHeight="1">
      <c r="A36" s="44" t="s">
        <v>2543</v>
      </c>
      <c r="B36" s="45" t="s">
        <v>3225</v>
      </c>
      <c r="C36" s="45" t="s">
        <v>6672</v>
      </c>
      <c r="D36" s="45" t="s">
        <v>6678</v>
      </c>
      <c r="E36" s="44" t="s">
        <v>6846</v>
      </c>
      <c r="F36" s="37">
        <v>1</v>
      </c>
      <c r="G36" s="37" t="s">
        <v>6865</v>
      </c>
      <c r="H36" s="63">
        <v>28113.8</v>
      </c>
    </row>
    <row r="37" spans="1:8" ht="24.75" customHeight="1">
      <c r="A37" s="44" t="s">
        <v>2544</v>
      </c>
      <c r="B37" s="45" t="s">
        <v>3228</v>
      </c>
      <c r="C37" s="45" t="s">
        <v>6672</v>
      </c>
      <c r="D37" s="45" t="s">
        <v>6678</v>
      </c>
      <c r="E37" s="44" t="s">
        <v>6846</v>
      </c>
      <c r="F37" s="37">
        <v>1</v>
      </c>
      <c r="G37" s="37" t="s">
        <v>6865</v>
      </c>
      <c r="H37" s="63">
        <v>28113.8</v>
      </c>
    </row>
    <row r="38" spans="1:8" ht="24.75" customHeight="1">
      <c r="A38" s="44" t="s">
        <v>2550</v>
      </c>
      <c r="B38" s="45" t="s">
        <v>3221</v>
      </c>
      <c r="C38" s="45" t="s">
        <v>6672</v>
      </c>
      <c r="D38" s="45" t="s">
        <v>6678</v>
      </c>
      <c r="E38" s="44" t="s">
        <v>6846</v>
      </c>
      <c r="F38" s="37">
        <v>1</v>
      </c>
      <c r="G38" s="37" t="s">
        <v>6865</v>
      </c>
      <c r="H38" s="63">
        <v>28113.8</v>
      </c>
    </row>
    <row r="39" spans="1:8" ht="24.75" customHeight="1">
      <c r="A39" s="44" t="s">
        <v>2549</v>
      </c>
      <c r="B39" s="45" t="s">
        <v>3218</v>
      </c>
      <c r="C39" s="45" t="s">
        <v>6672</v>
      </c>
      <c r="D39" s="45" t="s">
        <v>6678</v>
      </c>
      <c r="E39" s="44" t="s">
        <v>6846</v>
      </c>
      <c r="F39" s="37">
        <v>1</v>
      </c>
      <c r="G39" s="37" t="s">
        <v>6865</v>
      </c>
      <c r="H39" s="63">
        <v>28113.8</v>
      </c>
    </row>
    <row r="40" spans="1:8" ht="24.75" customHeight="1">
      <c r="A40" s="44" t="s">
        <v>2551</v>
      </c>
      <c r="B40" s="45" t="s">
        <v>3224</v>
      </c>
      <c r="C40" s="45" t="s">
        <v>6672</v>
      </c>
      <c r="D40" s="45" t="s">
        <v>6678</v>
      </c>
      <c r="E40" s="44" t="s">
        <v>6846</v>
      </c>
      <c r="F40" s="37">
        <v>1</v>
      </c>
      <c r="G40" s="37" t="s">
        <v>6865</v>
      </c>
      <c r="H40" s="63">
        <v>28113.8</v>
      </c>
    </row>
    <row r="41" spans="1:8" ht="24.75" customHeight="1">
      <c r="A41" s="44" t="s">
        <v>2552</v>
      </c>
      <c r="B41" s="45" t="s">
        <v>3227</v>
      </c>
      <c r="C41" s="45" t="s">
        <v>6672</v>
      </c>
      <c r="D41" s="45" t="s">
        <v>6678</v>
      </c>
      <c r="E41" s="44" t="s">
        <v>6846</v>
      </c>
      <c r="F41" s="37">
        <v>1</v>
      </c>
      <c r="G41" s="37" t="s">
        <v>6865</v>
      </c>
      <c r="H41" s="63">
        <v>28113.8</v>
      </c>
    </row>
    <row r="42" spans="1:8" ht="24.75" customHeight="1">
      <c r="A42" s="44" t="s">
        <v>2530</v>
      </c>
      <c r="B42" s="45" t="s">
        <v>3232</v>
      </c>
      <c r="C42" s="45" t="s">
        <v>6672</v>
      </c>
      <c r="D42" s="45" t="s">
        <v>6678</v>
      </c>
      <c r="E42" s="44" t="s">
        <v>6846</v>
      </c>
      <c r="F42" s="37">
        <v>1</v>
      </c>
      <c r="G42" s="37" t="s">
        <v>6865</v>
      </c>
      <c r="H42" s="63">
        <v>22050.6</v>
      </c>
    </row>
    <row r="43" spans="1:8" ht="24.75" customHeight="1">
      <c r="A43" s="44" t="s">
        <v>2529</v>
      </c>
      <c r="B43" s="45" t="s">
        <v>3229</v>
      </c>
      <c r="C43" s="45" t="s">
        <v>6672</v>
      </c>
      <c r="D43" s="45" t="s">
        <v>6678</v>
      </c>
      <c r="E43" s="44" t="s">
        <v>6846</v>
      </c>
      <c r="F43" s="37">
        <v>1</v>
      </c>
      <c r="G43" s="37" t="s">
        <v>6865</v>
      </c>
      <c r="H43" s="63">
        <v>22050.6</v>
      </c>
    </row>
    <row r="44" spans="1:8" ht="24.75" customHeight="1">
      <c r="A44" s="44" t="s">
        <v>2531</v>
      </c>
      <c r="B44" s="45" t="s">
        <v>3235</v>
      </c>
      <c r="C44" s="45" t="s">
        <v>6672</v>
      </c>
      <c r="D44" s="45" t="s">
        <v>6678</v>
      </c>
      <c r="E44" s="44" t="s">
        <v>6846</v>
      </c>
      <c r="F44" s="37">
        <v>1</v>
      </c>
      <c r="G44" s="37" t="s">
        <v>6865</v>
      </c>
      <c r="H44" s="63">
        <v>22050.6</v>
      </c>
    </row>
    <row r="45" spans="1:8" ht="24.75" customHeight="1">
      <c r="A45" s="44" t="s">
        <v>2532</v>
      </c>
      <c r="B45" s="45" t="s">
        <v>3238</v>
      </c>
      <c r="C45" s="45" t="s">
        <v>6672</v>
      </c>
      <c r="D45" s="45" t="s">
        <v>6678</v>
      </c>
      <c r="E45" s="44" t="s">
        <v>6846</v>
      </c>
      <c r="F45" s="37">
        <v>1</v>
      </c>
      <c r="G45" s="37" t="s">
        <v>6865</v>
      </c>
      <c r="H45" s="63">
        <v>22050.6</v>
      </c>
    </row>
    <row r="46" spans="1:8" ht="24.75" customHeight="1">
      <c r="A46" s="44" t="s">
        <v>2534</v>
      </c>
      <c r="B46" s="45" t="s">
        <v>3234</v>
      </c>
      <c r="C46" s="45" t="s">
        <v>6672</v>
      </c>
      <c r="D46" s="45" t="s">
        <v>6678</v>
      </c>
      <c r="E46" s="44" t="s">
        <v>6846</v>
      </c>
      <c r="F46" s="37">
        <v>1</v>
      </c>
      <c r="G46" s="37" t="s">
        <v>6865</v>
      </c>
      <c r="H46" s="63">
        <v>22050.6</v>
      </c>
    </row>
    <row r="47" spans="1:8" ht="24.75" customHeight="1">
      <c r="A47" s="44" t="s">
        <v>2533</v>
      </c>
      <c r="B47" s="45" t="s">
        <v>3231</v>
      </c>
      <c r="C47" s="45" t="s">
        <v>6672</v>
      </c>
      <c r="D47" s="45" t="s">
        <v>6678</v>
      </c>
      <c r="E47" s="44" t="s">
        <v>6846</v>
      </c>
      <c r="F47" s="37">
        <v>1</v>
      </c>
      <c r="G47" s="37" t="s">
        <v>6865</v>
      </c>
      <c r="H47" s="63">
        <v>22050.6</v>
      </c>
    </row>
    <row r="48" spans="1:8" ht="24.75" customHeight="1">
      <c r="A48" s="44" t="s">
        <v>2535</v>
      </c>
      <c r="B48" s="45" t="s">
        <v>3237</v>
      </c>
      <c r="C48" s="45" t="s">
        <v>6672</v>
      </c>
      <c r="D48" s="45" t="s">
        <v>6678</v>
      </c>
      <c r="E48" s="44" t="s">
        <v>6846</v>
      </c>
      <c r="F48" s="37">
        <v>1</v>
      </c>
      <c r="G48" s="37" t="s">
        <v>6865</v>
      </c>
      <c r="H48" s="63">
        <v>22050.6</v>
      </c>
    </row>
    <row r="49" spans="1:8" ht="24.75" customHeight="1">
      <c r="A49" s="44" t="s">
        <v>2536</v>
      </c>
      <c r="B49" s="45" t="s">
        <v>3240</v>
      </c>
      <c r="C49" s="45" t="s">
        <v>6672</v>
      </c>
      <c r="D49" s="45" t="s">
        <v>6678</v>
      </c>
      <c r="E49" s="44" t="s">
        <v>6846</v>
      </c>
      <c r="F49" s="37">
        <v>1</v>
      </c>
      <c r="G49" s="37" t="s">
        <v>6865</v>
      </c>
      <c r="H49" s="63">
        <v>22050.6</v>
      </c>
    </row>
    <row r="50" spans="1:8" ht="24.75" customHeight="1">
      <c r="A50" s="44" t="s">
        <v>2538</v>
      </c>
      <c r="B50" s="45" t="s">
        <v>3233</v>
      </c>
      <c r="C50" s="45" t="s">
        <v>6672</v>
      </c>
      <c r="D50" s="45" t="s">
        <v>6678</v>
      </c>
      <c r="E50" s="44" t="s">
        <v>6846</v>
      </c>
      <c r="F50" s="37">
        <v>1</v>
      </c>
      <c r="G50" s="37" t="s">
        <v>6865</v>
      </c>
      <c r="H50" s="63">
        <v>22050.6</v>
      </c>
    </row>
    <row r="51" spans="1:8" ht="24.75" customHeight="1">
      <c r="A51" s="44" t="s">
        <v>2537</v>
      </c>
      <c r="B51" s="45" t="s">
        <v>3230</v>
      </c>
      <c r="C51" s="45" t="s">
        <v>6672</v>
      </c>
      <c r="D51" s="45" t="s">
        <v>6678</v>
      </c>
      <c r="E51" s="44" t="s">
        <v>6846</v>
      </c>
      <c r="F51" s="37">
        <v>1</v>
      </c>
      <c r="G51" s="37" t="s">
        <v>6865</v>
      </c>
      <c r="H51" s="63">
        <v>22050.6</v>
      </c>
    </row>
    <row r="52" spans="1:8" ht="24.75" customHeight="1">
      <c r="A52" s="44" t="s">
        <v>2539</v>
      </c>
      <c r="B52" s="45" t="s">
        <v>3236</v>
      </c>
      <c r="C52" s="45" t="s">
        <v>6672</v>
      </c>
      <c r="D52" s="45" t="s">
        <v>6678</v>
      </c>
      <c r="E52" s="44" t="s">
        <v>6846</v>
      </c>
      <c r="F52" s="37">
        <v>1</v>
      </c>
      <c r="G52" s="37" t="s">
        <v>6865</v>
      </c>
      <c r="H52" s="63">
        <v>22050.6</v>
      </c>
    </row>
    <row r="53" spans="1:8" ht="24.75" customHeight="1">
      <c r="A53" s="44" t="s">
        <v>2540</v>
      </c>
      <c r="B53" s="45" t="s">
        <v>3239</v>
      </c>
      <c r="C53" s="45" t="s">
        <v>6672</v>
      </c>
      <c r="D53" s="45" t="s">
        <v>6678</v>
      </c>
      <c r="E53" s="44" t="s">
        <v>6846</v>
      </c>
      <c r="F53" s="37">
        <v>1</v>
      </c>
      <c r="G53" s="37" t="s">
        <v>6865</v>
      </c>
      <c r="H53" s="63">
        <v>22050.6</v>
      </c>
    </row>
    <row r="54" spans="1:8" ht="24.75" customHeight="1">
      <c r="A54" s="44" t="s">
        <v>2984</v>
      </c>
      <c r="B54" s="45" t="s">
        <v>3242</v>
      </c>
      <c r="C54" s="45" t="s">
        <v>6672</v>
      </c>
      <c r="D54" s="45" t="s">
        <v>6678</v>
      </c>
      <c r="E54" s="44" t="s">
        <v>6846</v>
      </c>
      <c r="F54" s="37">
        <v>1</v>
      </c>
      <c r="G54" s="37" t="s">
        <v>6865</v>
      </c>
      <c r="H54" s="63">
        <v>14428.7</v>
      </c>
    </row>
    <row r="55" spans="1:8" ht="24.75" customHeight="1">
      <c r="A55" s="44" t="s">
        <v>2983</v>
      </c>
      <c r="B55" s="45" t="s">
        <v>3241</v>
      </c>
      <c r="C55" s="45" t="s">
        <v>6672</v>
      </c>
      <c r="D55" s="45" t="s">
        <v>6678</v>
      </c>
      <c r="E55" s="44" t="s">
        <v>6846</v>
      </c>
      <c r="F55" s="37">
        <v>1</v>
      </c>
      <c r="G55" s="37" t="s">
        <v>6865</v>
      </c>
      <c r="H55" s="63">
        <v>14428.7</v>
      </c>
    </row>
    <row r="56" spans="1:8" ht="24.75" customHeight="1">
      <c r="A56" s="44" t="s">
        <v>2985</v>
      </c>
      <c r="B56" s="45" t="s">
        <v>3243</v>
      </c>
      <c r="C56" s="45" t="s">
        <v>6672</v>
      </c>
      <c r="D56" s="45" t="s">
        <v>6678</v>
      </c>
      <c r="E56" s="44" t="s">
        <v>6846</v>
      </c>
      <c r="F56" s="37">
        <v>1</v>
      </c>
      <c r="G56" s="37" t="s">
        <v>6865</v>
      </c>
      <c r="H56" s="63">
        <v>14428.7</v>
      </c>
    </row>
    <row r="57" spans="1:8" ht="24.75" customHeight="1">
      <c r="A57" s="44" t="s">
        <v>2986</v>
      </c>
      <c r="B57" s="45" t="s">
        <v>3244</v>
      </c>
      <c r="C57" s="45" t="s">
        <v>6672</v>
      </c>
      <c r="D57" s="45" t="s">
        <v>6678</v>
      </c>
      <c r="E57" s="44" t="s">
        <v>6846</v>
      </c>
      <c r="F57" s="37">
        <v>1</v>
      </c>
      <c r="G57" s="37" t="s">
        <v>6865</v>
      </c>
      <c r="H57" s="63">
        <v>14428.7</v>
      </c>
    </row>
    <row r="58" spans="1:8" ht="24.75" customHeight="1">
      <c r="A58" s="44" t="s">
        <v>2562</v>
      </c>
      <c r="B58" s="45" t="s">
        <v>3251</v>
      </c>
      <c r="C58" s="45" t="s">
        <v>6672</v>
      </c>
      <c r="D58" s="45" t="s">
        <v>6678</v>
      </c>
      <c r="E58" s="44" t="s">
        <v>6846</v>
      </c>
      <c r="F58" s="37">
        <v>1</v>
      </c>
      <c r="G58" s="37" t="s">
        <v>6865</v>
      </c>
      <c r="H58" s="63">
        <v>25597</v>
      </c>
    </row>
    <row r="59" spans="1:8" ht="24.75" customHeight="1">
      <c r="A59" s="44" t="s">
        <v>2561</v>
      </c>
      <c r="B59" s="45" t="s">
        <v>3247</v>
      </c>
      <c r="C59" s="45" t="s">
        <v>6672</v>
      </c>
      <c r="D59" s="45" t="s">
        <v>6678</v>
      </c>
      <c r="E59" s="44" t="s">
        <v>6846</v>
      </c>
      <c r="F59" s="37">
        <v>1</v>
      </c>
      <c r="G59" s="37" t="s">
        <v>6865</v>
      </c>
      <c r="H59" s="63">
        <v>25597</v>
      </c>
    </row>
    <row r="60" spans="1:8" ht="24.75" customHeight="1">
      <c r="A60" s="44" t="s">
        <v>2563</v>
      </c>
      <c r="B60" s="45" t="s">
        <v>3254</v>
      </c>
      <c r="C60" s="45" t="s">
        <v>6672</v>
      </c>
      <c r="D60" s="45" t="s">
        <v>6678</v>
      </c>
      <c r="E60" s="44" t="s">
        <v>6846</v>
      </c>
      <c r="F60" s="37">
        <v>1</v>
      </c>
      <c r="G60" s="37" t="s">
        <v>6865</v>
      </c>
      <c r="H60" s="63">
        <v>25597</v>
      </c>
    </row>
    <row r="61" spans="1:8" ht="24.75" customHeight="1">
      <c r="A61" s="44" t="s">
        <v>2564</v>
      </c>
      <c r="B61" s="45" t="s">
        <v>3256</v>
      </c>
      <c r="C61" s="45" t="s">
        <v>6672</v>
      </c>
      <c r="D61" s="45" t="s">
        <v>6678</v>
      </c>
      <c r="E61" s="44" t="s">
        <v>6846</v>
      </c>
      <c r="F61" s="37">
        <v>1</v>
      </c>
      <c r="G61" s="37" t="s">
        <v>6865</v>
      </c>
      <c r="H61" s="63">
        <v>25597</v>
      </c>
    </row>
    <row r="62" spans="1:8" ht="24.75" customHeight="1">
      <c r="A62" s="44" t="s">
        <v>2558</v>
      </c>
      <c r="B62" s="45" t="s">
        <v>3249</v>
      </c>
      <c r="C62" s="45" t="s">
        <v>6672</v>
      </c>
      <c r="D62" s="45" t="s">
        <v>6678</v>
      </c>
      <c r="E62" s="44" t="s">
        <v>6846</v>
      </c>
      <c r="F62" s="37">
        <v>1</v>
      </c>
      <c r="G62" s="37" t="s">
        <v>6865</v>
      </c>
      <c r="H62" s="63">
        <v>25597</v>
      </c>
    </row>
    <row r="63" spans="1:8" ht="24.75" customHeight="1">
      <c r="A63" s="44" t="s">
        <v>2557</v>
      </c>
      <c r="B63" s="45" t="s">
        <v>3246</v>
      </c>
      <c r="C63" s="45" t="s">
        <v>6672</v>
      </c>
      <c r="D63" s="45" t="s">
        <v>6678</v>
      </c>
      <c r="E63" s="44" t="s">
        <v>6846</v>
      </c>
      <c r="F63" s="37">
        <v>1</v>
      </c>
      <c r="G63" s="37" t="s">
        <v>6865</v>
      </c>
      <c r="H63" s="63">
        <v>25597</v>
      </c>
    </row>
    <row r="64" spans="1:8" ht="24.75" customHeight="1">
      <c r="A64" s="44" t="s">
        <v>2559</v>
      </c>
      <c r="B64" s="45" t="s">
        <v>3253</v>
      </c>
      <c r="C64" s="45" t="s">
        <v>6672</v>
      </c>
      <c r="D64" s="45" t="s">
        <v>6678</v>
      </c>
      <c r="E64" s="44" t="s">
        <v>6846</v>
      </c>
      <c r="F64" s="37">
        <v>1</v>
      </c>
      <c r="G64" s="37" t="s">
        <v>6865</v>
      </c>
      <c r="H64" s="63">
        <v>25597</v>
      </c>
    </row>
    <row r="65" spans="1:8" ht="24.75" customHeight="1">
      <c r="A65" s="44" t="s">
        <v>2560</v>
      </c>
      <c r="B65" s="45" t="s">
        <v>3250</v>
      </c>
      <c r="C65" s="45" t="s">
        <v>6672</v>
      </c>
      <c r="D65" s="45" t="s">
        <v>6678</v>
      </c>
      <c r="E65" s="44" t="s">
        <v>6846</v>
      </c>
      <c r="F65" s="37">
        <v>1</v>
      </c>
      <c r="G65" s="37" t="s">
        <v>6865</v>
      </c>
      <c r="H65" s="63">
        <v>25597</v>
      </c>
    </row>
    <row r="66" spans="1:8" ht="24.75" customHeight="1">
      <c r="A66" s="44" t="s">
        <v>2554</v>
      </c>
      <c r="B66" s="45" t="s">
        <v>3248</v>
      </c>
      <c r="C66" s="45" t="s">
        <v>6672</v>
      </c>
      <c r="D66" s="45" t="s">
        <v>6678</v>
      </c>
      <c r="E66" s="44" t="s">
        <v>6846</v>
      </c>
      <c r="F66" s="37">
        <v>1</v>
      </c>
      <c r="G66" s="37" t="s">
        <v>6865</v>
      </c>
      <c r="H66" s="63">
        <v>25597</v>
      </c>
    </row>
    <row r="67" spans="1:8" ht="24.75" customHeight="1">
      <c r="A67" s="44" t="s">
        <v>2553</v>
      </c>
      <c r="B67" s="45" t="s">
        <v>3245</v>
      </c>
      <c r="C67" s="45" t="s">
        <v>6672</v>
      </c>
      <c r="D67" s="45" t="s">
        <v>6678</v>
      </c>
      <c r="E67" s="44" t="s">
        <v>6846</v>
      </c>
      <c r="F67" s="37">
        <v>1</v>
      </c>
      <c r="G67" s="37" t="s">
        <v>6865</v>
      </c>
      <c r="H67" s="63">
        <v>25597</v>
      </c>
    </row>
    <row r="68" spans="1:8" ht="24.75" customHeight="1">
      <c r="A68" s="44" t="s">
        <v>2555</v>
      </c>
      <c r="B68" s="45" t="s">
        <v>3252</v>
      </c>
      <c r="C68" s="45" t="s">
        <v>6672</v>
      </c>
      <c r="D68" s="45" t="s">
        <v>6678</v>
      </c>
      <c r="E68" s="44" t="s">
        <v>6846</v>
      </c>
      <c r="F68" s="37">
        <v>1</v>
      </c>
      <c r="G68" s="37" t="s">
        <v>6865</v>
      </c>
      <c r="H68" s="63">
        <v>25597</v>
      </c>
    </row>
    <row r="69" spans="1:8" ht="24.75" customHeight="1">
      <c r="A69" s="44" t="s">
        <v>2556</v>
      </c>
      <c r="B69" s="45" t="s">
        <v>3255</v>
      </c>
      <c r="C69" s="45" t="s">
        <v>6672</v>
      </c>
      <c r="D69" s="45" t="s">
        <v>6678</v>
      </c>
      <c r="E69" s="44" t="s">
        <v>6846</v>
      </c>
      <c r="F69" s="37">
        <v>1</v>
      </c>
      <c r="G69" s="37" t="s">
        <v>6865</v>
      </c>
      <c r="H69" s="63">
        <v>25597</v>
      </c>
    </row>
    <row r="70" spans="1:8" ht="24.75" customHeight="1">
      <c r="A70" s="44" t="s">
        <v>2526</v>
      </c>
      <c r="B70" s="45" t="s">
        <v>3258</v>
      </c>
      <c r="C70" s="45" t="s">
        <v>6672</v>
      </c>
      <c r="D70" s="45" t="s">
        <v>6678</v>
      </c>
      <c r="E70" s="44" t="s">
        <v>6846</v>
      </c>
      <c r="F70" s="37">
        <v>1</v>
      </c>
      <c r="G70" s="37" t="s">
        <v>6865</v>
      </c>
      <c r="H70" s="63">
        <v>21164</v>
      </c>
    </row>
    <row r="71" spans="1:8" ht="24.75" customHeight="1">
      <c r="A71" s="44" t="s">
        <v>2525</v>
      </c>
      <c r="B71" s="45" t="s">
        <v>3257</v>
      </c>
      <c r="C71" s="45" t="s">
        <v>6672</v>
      </c>
      <c r="D71" s="45" t="s">
        <v>6678</v>
      </c>
      <c r="E71" s="44" t="s">
        <v>6846</v>
      </c>
      <c r="F71" s="37">
        <v>1</v>
      </c>
      <c r="G71" s="37" t="s">
        <v>6865</v>
      </c>
      <c r="H71" s="63">
        <v>21164</v>
      </c>
    </row>
    <row r="72" spans="1:8" ht="24.75" customHeight="1">
      <c r="A72" s="44" t="s">
        <v>2527</v>
      </c>
      <c r="B72" s="45" t="s">
        <v>3259</v>
      </c>
      <c r="C72" s="45" t="s">
        <v>6672</v>
      </c>
      <c r="D72" s="45" t="s">
        <v>6678</v>
      </c>
      <c r="E72" s="44" t="s">
        <v>6846</v>
      </c>
      <c r="F72" s="37">
        <v>1</v>
      </c>
      <c r="G72" s="37" t="s">
        <v>6865</v>
      </c>
      <c r="H72" s="63">
        <v>21164</v>
      </c>
    </row>
    <row r="73" spans="1:8" ht="24.75" customHeight="1">
      <c r="A73" s="44" t="s">
        <v>2528</v>
      </c>
      <c r="B73" s="45" t="s">
        <v>3260</v>
      </c>
      <c r="C73" s="45" t="s">
        <v>6672</v>
      </c>
      <c r="D73" s="45" t="s">
        <v>6678</v>
      </c>
      <c r="E73" s="44" t="s">
        <v>6846</v>
      </c>
      <c r="F73" s="37">
        <v>1</v>
      </c>
      <c r="G73" s="37" t="s">
        <v>6865</v>
      </c>
      <c r="H73" s="63">
        <v>21164</v>
      </c>
    </row>
    <row r="74" spans="1:8" ht="24.75" customHeight="1">
      <c r="A74" s="44" t="s">
        <v>2735</v>
      </c>
      <c r="B74" s="45" t="s">
        <v>3262</v>
      </c>
      <c r="C74" s="45" t="s">
        <v>6672</v>
      </c>
      <c r="D74" s="45" t="s">
        <v>6678</v>
      </c>
      <c r="E74" s="44" t="s">
        <v>6846</v>
      </c>
      <c r="F74" s="37">
        <v>1</v>
      </c>
      <c r="G74" s="37" t="s">
        <v>6865</v>
      </c>
      <c r="H74" s="63">
        <v>37294.400000000001</v>
      </c>
    </row>
    <row r="75" spans="1:8" ht="24.75" customHeight="1">
      <c r="A75" s="44" t="s">
        <v>2734</v>
      </c>
      <c r="B75" s="45" t="s">
        <v>3261</v>
      </c>
      <c r="C75" s="45" t="s">
        <v>6672</v>
      </c>
      <c r="D75" s="45" t="s">
        <v>6678</v>
      </c>
      <c r="E75" s="44" t="s">
        <v>6846</v>
      </c>
      <c r="F75" s="37">
        <v>1</v>
      </c>
      <c r="G75" s="37" t="s">
        <v>6865</v>
      </c>
      <c r="H75" s="63">
        <v>37294.400000000001</v>
      </c>
    </row>
    <row r="76" spans="1:8" ht="24.75" customHeight="1">
      <c r="A76" s="44" t="s">
        <v>2736</v>
      </c>
      <c r="B76" s="45" t="s">
        <v>3263</v>
      </c>
      <c r="C76" s="45" t="s">
        <v>6672</v>
      </c>
      <c r="D76" s="45" t="s">
        <v>6678</v>
      </c>
      <c r="E76" s="44" t="s">
        <v>6846</v>
      </c>
      <c r="F76" s="37">
        <v>1</v>
      </c>
      <c r="G76" s="37" t="s">
        <v>6865</v>
      </c>
      <c r="H76" s="63">
        <v>37294.400000000001</v>
      </c>
    </row>
    <row r="77" spans="1:8" ht="24.75" customHeight="1">
      <c r="A77" s="44" t="s">
        <v>2737</v>
      </c>
      <c r="B77" s="45" t="s">
        <v>3264</v>
      </c>
      <c r="C77" s="45" t="s">
        <v>6672</v>
      </c>
      <c r="D77" s="45" t="s">
        <v>6678</v>
      </c>
      <c r="E77" s="44" t="s">
        <v>6846</v>
      </c>
      <c r="F77" s="37">
        <v>1</v>
      </c>
      <c r="G77" s="37" t="s">
        <v>6865</v>
      </c>
      <c r="H77" s="63">
        <v>37294.400000000001</v>
      </c>
    </row>
    <row r="78" spans="1:8" ht="24.75" customHeight="1">
      <c r="A78" s="44" t="s">
        <v>1831</v>
      </c>
      <c r="B78" s="45" t="s">
        <v>3721</v>
      </c>
      <c r="C78" s="45" t="s">
        <v>6672</v>
      </c>
      <c r="D78" s="45" t="s">
        <v>6678</v>
      </c>
      <c r="E78" s="44" t="s">
        <v>956</v>
      </c>
      <c r="F78" s="37">
        <v>1</v>
      </c>
      <c r="G78" s="37" t="s">
        <v>2568</v>
      </c>
      <c r="H78" s="63">
        <v>48620</v>
      </c>
    </row>
    <row r="79" spans="1:8" ht="24.75" customHeight="1">
      <c r="A79" s="44" t="s">
        <v>200</v>
      </c>
      <c r="B79" s="45" t="s">
        <v>3720</v>
      </c>
      <c r="C79" s="45" t="s">
        <v>6672</v>
      </c>
      <c r="D79" s="45" t="s">
        <v>6678</v>
      </c>
      <c r="E79" s="44" t="s">
        <v>956</v>
      </c>
      <c r="F79" s="37">
        <v>1</v>
      </c>
      <c r="G79" s="37" t="s">
        <v>2568</v>
      </c>
      <c r="H79" s="63">
        <v>48620</v>
      </c>
    </row>
    <row r="80" spans="1:8" ht="24.75" customHeight="1">
      <c r="A80" s="44" t="s">
        <v>199</v>
      </c>
      <c r="B80" s="45" t="s">
        <v>3719</v>
      </c>
      <c r="C80" s="45" t="s">
        <v>6672</v>
      </c>
      <c r="D80" s="45" t="s">
        <v>6678</v>
      </c>
      <c r="E80" s="44" t="s">
        <v>956</v>
      </c>
      <c r="F80" s="37">
        <v>1</v>
      </c>
      <c r="G80" s="37" t="s">
        <v>2568</v>
      </c>
      <c r="H80" s="63">
        <v>48620</v>
      </c>
    </row>
    <row r="81" spans="1:8" ht="24.75" customHeight="1">
      <c r="A81" s="44" t="s">
        <v>198</v>
      </c>
      <c r="B81" s="45" t="s">
        <v>3718</v>
      </c>
      <c r="C81" s="45" t="s">
        <v>6672</v>
      </c>
      <c r="D81" s="45" t="s">
        <v>6678</v>
      </c>
      <c r="E81" s="44" t="s">
        <v>956</v>
      </c>
      <c r="F81" s="37">
        <v>1</v>
      </c>
      <c r="G81" s="37" t="s">
        <v>2568</v>
      </c>
      <c r="H81" s="63">
        <v>48620</v>
      </c>
    </row>
    <row r="82" spans="1:8" ht="24.75" customHeight="1">
      <c r="A82" s="44" t="s">
        <v>201</v>
      </c>
      <c r="B82" s="45" t="s">
        <v>3722</v>
      </c>
      <c r="C82" s="45" t="s">
        <v>6672</v>
      </c>
      <c r="D82" s="45" t="s">
        <v>6678</v>
      </c>
      <c r="E82" s="44" t="s">
        <v>956</v>
      </c>
      <c r="F82" s="37">
        <v>1</v>
      </c>
      <c r="G82" s="37" t="s">
        <v>2568</v>
      </c>
      <c r="H82" s="63">
        <v>48620</v>
      </c>
    </row>
    <row r="83" spans="1:8" ht="24.75" customHeight="1">
      <c r="A83" s="44" t="s">
        <v>2112</v>
      </c>
      <c r="B83" s="45" t="s">
        <v>3715</v>
      </c>
      <c r="C83" s="45" t="s">
        <v>6672</v>
      </c>
      <c r="D83" s="45" t="s">
        <v>6678</v>
      </c>
      <c r="E83" s="44" t="s">
        <v>6848</v>
      </c>
      <c r="F83" s="37">
        <v>1</v>
      </c>
      <c r="G83" s="37" t="s">
        <v>2568</v>
      </c>
      <c r="H83" s="63">
        <v>61118.2</v>
      </c>
    </row>
    <row r="84" spans="1:8" ht="24.75" customHeight="1">
      <c r="A84" s="44" t="s">
        <v>2111</v>
      </c>
      <c r="B84" s="45" t="s">
        <v>3714</v>
      </c>
      <c r="C84" s="45" t="s">
        <v>6672</v>
      </c>
      <c r="D84" s="45" t="s">
        <v>6678</v>
      </c>
      <c r="E84" s="44" t="s">
        <v>6848</v>
      </c>
      <c r="F84" s="37">
        <v>1</v>
      </c>
      <c r="G84" s="37" t="s">
        <v>2568</v>
      </c>
      <c r="H84" s="63">
        <v>61118.2</v>
      </c>
    </row>
    <row r="85" spans="1:8" ht="24.75" customHeight="1">
      <c r="A85" s="44" t="s">
        <v>2110</v>
      </c>
      <c r="B85" s="45" t="s">
        <v>3713</v>
      </c>
      <c r="C85" s="45" t="s">
        <v>6672</v>
      </c>
      <c r="D85" s="45" t="s">
        <v>6678</v>
      </c>
      <c r="E85" s="44" t="s">
        <v>6848</v>
      </c>
      <c r="F85" s="37">
        <v>1</v>
      </c>
      <c r="G85" s="37" t="s">
        <v>2568</v>
      </c>
      <c r="H85" s="63">
        <v>61118.2</v>
      </c>
    </row>
    <row r="86" spans="1:8" ht="24.75" customHeight="1">
      <c r="A86" s="44" t="s">
        <v>2113</v>
      </c>
      <c r="B86" s="45" t="s">
        <v>3716</v>
      </c>
      <c r="C86" s="45" t="s">
        <v>6672</v>
      </c>
      <c r="D86" s="45" t="s">
        <v>6678</v>
      </c>
      <c r="E86" s="44" t="s">
        <v>6848</v>
      </c>
      <c r="F86" s="37">
        <v>1</v>
      </c>
      <c r="G86" s="37" t="s">
        <v>2568</v>
      </c>
      <c r="H86" s="63">
        <v>61118.2</v>
      </c>
    </row>
    <row r="87" spans="1:8" ht="24.75" customHeight="1">
      <c r="A87" s="44" t="s">
        <v>2114</v>
      </c>
      <c r="B87" s="45" t="s">
        <v>3717</v>
      </c>
      <c r="C87" s="45" t="s">
        <v>6672</v>
      </c>
      <c r="D87" s="45" t="s">
        <v>6678</v>
      </c>
      <c r="E87" s="44" t="s">
        <v>6848</v>
      </c>
      <c r="F87" s="37">
        <v>1</v>
      </c>
      <c r="G87" s="37" t="s">
        <v>2568</v>
      </c>
      <c r="H87" s="63">
        <v>61118.2</v>
      </c>
    </row>
    <row r="88" spans="1:8" ht="24.75" customHeight="1">
      <c r="A88" s="44" t="s">
        <v>2107</v>
      </c>
      <c r="B88" s="45" t="s">
        <v>3710</v>
      </c>
      <c r="C88" s="45" t="s">
        <v>6672</v>
      </c>
      <c r="D88" s="45" t="s">
        <v>6678</v>
      </c>
      <c r="E88" s="44" t="s">
        <v>6848</v>
      </c>
      <c r="F88" s="37">
        <v>1</v>
      </c>
      <c r="G88" s="37" t="s">
        <v>2568</v>
      </c>
      <c r="H88" s="63">
        <v>61118.2</v>
      </c>
    </row>
    <row r="89" spans="1:8" ht="24.75" customHeight="1">
      <c r="A89" s="44" t="s">
        <v>2106</v>
      </c>
      <c r="B89" s="45" t="s">
        <v>3709</v>
      </c>
      <c r="C89" s="45" t="s">
        <v>6672</v>
      </c>
      <c r="D89" s="45" t="s">
        <v>6678</v>
      </c>
      <c r="E89" s="44" t="s">
        <v>6848</v>
      </c>
      <c r="F89" s="37">
        <v>1</v>
      </c>
      <c r="G89" s="37" t="s">
        <v>2568</v>
      </c>
      <c r="H89" s="63">
        <v>61118.2</v>
      </c>
    </row>
    <row r="90" spans="1:8" ht="24.75" customHeight="1">
      <c r="A90" s="44" t="s">
        <v>2105</v>
      </c>
      <c r="B90" s="45" t="s">
        <v>3708</v>
      </c>
      <c r="C90" s="45" t="s">
        <v>6672</v>
      </c>
      <c r="D90" s="45" t="s">
        <v>6678</v>
      </c>
      <c r="E90" s="44" t="s">
        <v>6848</v>
      </c>
      <c r="F90" s="37">
        <v>1</v>
      </c>
      <c r="G90" s="37" t="s">
        <v>2568</v>
      </c>
      <c r="H90" s="63">
        <v>61118.2</v>
      </c>
    </row>
    <row r="91" spans="1:8" ht="24.75" customHeight="1">
      <c r="A91" s="44" t="s">
        <v>2108</v>
      </c>
      <c r="B91" s="45" t="s">
        <v>3711</v>
      </c>
      <c r="C91" s="45" t="s">
        <v>6672</v>
      </c>
      <c r="D91" s="45" t="s">
        <v>6678</v>
      </c>
      <c r="E91" s="44" t="s">
        <v>6848</v>
      </c>
      <c r="F91" s="37">
        <v>1</v>
      </c>
      <c r="G91" s="37" t="s">
        <v>2568</v>
      </c>
      <c r="H91" s="63">
        <v>61118.2</v>
      </c>
    </row>
    <row r="92" spans="1:8" ht="24.75" customHeight="1">
      <c r="A92" s="44" t="s">
        <v>2109</v>
      </c>
      <c r="B92" s="45" t="s">
        <v>3712</v>
      </c>
      <c r="C92" s="45" t="s">
        <v>6672</v>
      </c>
      <c r="D92" s="45" t="s">
        <v>6678</v>
      </c>
      <c r="E92" s="44" t="s">
        <v>6848</v>
      </c>
      <c r="F92" s="37">
        <v>1</v>
      </c>
      <c r="G92" s="37" t="s">
        <v>2568</v>
      </c>
      <c r="H92" s="63">
        <v>61118.2</v>
      </c>
    </row>
    <row r="93" spans="1:8" ht="24.75" customHeight="1">
      <c r="A93" s="44" t="s">
        <v>2961</v>
      </c>
      <c r="B93" s="45" t="s">
        <v>4115</v>
      </c>
      <c r="C93" s="45" t="s">
        <v>6672</v>
      </c>
      <c r="D93" s="45" t="s">
        <v>6679</v>
      </c>
      <c r="E93" s="44" t="s">
        <v>6854</v>
      </c>
      <c r="F93" s="37">
        <v>1</v>
      </c>
      <c r="G93" s="37" t="s">
        <v>6864</v>
      </c>
      <c r="H93" s="63">
        <v>11139.7</v>
      </c>
    </row>
    <row r="94" spans="1:8" ht="24.75" customHeight="1">
      <c r="A94" s="44" t="s">
        <v>2962</v>
      </c>
      <c r="B94" s="45" t="s">
        <v>4112</v>
      </c>
      <c r="C94" s="45" t="s">
        <v>6672</v>
      </c>
      <c r="D94" s="45" t="s">
        <v>6679</v>
      </c>
      <c r="E94" s="44" t="s">
        <v>6854</v>
      </c>
      <c r="F94" s="37">
        <v>1</v>
      </c>
      <c r="G94" s="37" t="s">
        <v>6864</v>
      </c>
      <c r="H94" s="63">
        <v>7107.1</v>
      </c>
    </row>
    <row r="95" spans="1:8" ht="24.75" customHeight="1">
      <c r="A95" s="44" t="s">
        <v>2964</v>
      </c>
      <c r="B95" s="45" t="s">
        <v>4114</v>
      </c>
      <c r="C95" s="45" t="s">
        <v>6672</v>
      </c>
      <c r="D95" s="45" t="s">
        <v>6679</v>
      </c>
      <c r="E95" s="44" t="s">
        <v>6854</v>
      </c>
      <c r="F95" s="37">
        <v>1</v>
      </c>
      <c r="G95" s="37" t="s">
        <v>6864</v>
      </c>
      <c r="H95" s="63">
        <v>14943.5</v>
      </c>
    </row>
    <row r="96" spans="1:8" ht="24.75" customHeight="1">
      <c r="A96" s="44" t="s">
        <v>2963</v>
      </c>
      <c r="B96" s="45" t="s">
        <v>4113</v>
      </c>
      <c r="C96" s="45" t="s">
        <v>6672</v>
      </c>
      <c r="D96" s="45" t="s">
        <v>6679</v>
      </c>
      <c r="E96" s="44" t="s">
        <v>6854</v>
      </c>
      <c r="F96" s="37">
        <v>1</v>
      </c>
      <c r="G96" s="37" t="s">
        <v>6864</v>
      </c>
      <c r="H96" s="63">
        <v>20792.2</v>
      </c>
    </row>
    <row r="97" spans="1:8" ht="27.75" customHeight="1">
      <c r="A97" s="44" t="s">
        <v>653</v>
      </c>
      <c r="B97" s="45" t="s">
        <v>4101</v>
      </c>
      <c r="C97" s="45" t="s">
        <v>6672</v>
      </c>
      <c r="D97" s="45" t="s">
        <v>6679</v>
      </c>
      <c r="E97" s="44" t="s">
        <v>6854</v>
      </c>
      <c r="F97" s="37">
        <v>1</v>
      </c>
      <c r="G97" s="37" t="s">
        <v>6864</v>
      </c>
      <c r="H97" s="63">
        <v>17160</v>
      </c>
    </row>
    <row r="98" spans="1:8" ht="30.75" customHeight="1">
      <c r="A98" s="44" t="s">
        <v>1021</v>
      </c>
      <c r="B98" s="45" t="s">
        <v>4105</v>
      </c>
      <c r="C98" s="45" t="s">
        <v>6672</v>
      </c>
      <c r="D98" s="45" t="s">
        <v>6679</v>
      </c>
      <c r="E98" s="44" t="s">
        <v>6854</v>
      </c>
      <c r="F98" s="37">
        <v>1</v>
      </c>
      <c r="G98" s="37" t="s">
        <v>6864</v>
      </c>
      <c r="H98" s="63">
        <v>22665.5</v>
      </c>
    </row>
    <row r="99" spans="1:8" ht="24.75" customHeight="1">
      <c r="A99" s="44" t="s">
        <v>1023</v>
      </c>
      <c r="B99" s="45" t="s">
        <v>4107</v>
      </c>
      <c r="C99" s="45" t="s">
        <v>6672</v>
      </c>
      <c r="D99" s="45" t="s">
        <v>6679</v>
      </c>
      <c r="E99" s="44" t="s">
        <v>6854</v>
      </c>
      <c r="F99" s="37">
        <v>1</v>
      </c>
      <c r="G99" s="37" t="s">
        <v>6864</v>
      </c>
      <c r="H99" s="63">
        <v>14314.3</v>
      </c>
    </row>
    <row r="100" spans="1:8" ht="24.75" customHeight="1">
      <c r="A100" s="44" t="s">
        <v>2121</v>
      </c>
      <c r="B100" s="45" t="s">
        <v>4109</v>
      </c>
      <c r="C100" s="45" t="s">
        <v>6672</v>
      </c>
      <c r="D100" s="45" t="s">
        <v>6679</v>
      </c>
      <c r="E100" s="44" t="s">
        <v>6854</v>
      </c>
      <c r="F100" s="37">
        <v>1</v>
      </c>
      <c r="G100" s="37" t="s">
        <v>6864</v>
      </c>
      <c r="H100" s="63">
        <v>17660.5</v>
      </c>
    </row>
    <row r="101" spans="1:8" ht="24.75" customHeight="1">
      <c r="A101" s="44" t="s">
        <v>652</v>
      </c>
      <c r="B101" s="45" t="s">
        <v>4100</v>
      </c>
      <c r="C101" s="45" t="s">
        <v>6672</v>
      </c>
      <c r="D101" s="45" t="s">
        <v>6679</v>
      </c>
      <c r="E101" s="44" t="s">
        <v>6854</v>
      </c>
      <c r="F101" s="37">
        <v>1</v>
      </c>
      <c r="G101" s="37" t="s">
        <v>6864</v>
      </c>
      <c r="H101" s="63">
        <v>18861.7</v>
      </c>
    </row>
    <row r="102" spans="1:8" ht="24.75" customHeight="1">
      <c r="A102" s="44" t="s">
        <v>563</v>
      </c>
      <c r="B102" s="45" t="s">
        <v>4104</v>
      </c>
      <c r="C102" s="45" t="s">
        <v>6672</v>
      </c>
      <c r="D102" s="45" t="s">
        <v>6679</v>
      </c>
      <c r="E102" s="44" t="s">
        <v>6854</v>
      </c>
      <c r="F102" s="37">
        <v>1</v>
      </c>
      <c r="G102" s="37" t="s">
        <v>6864</v>
      </c>
      <c r="H102" s="63">
        <v>26869.7</v>
      </c>
    </row>
    <row r="103" spans="1:8" ht="24.75" customHeight="1">
      <c r="A103" s="44" t="s">
        <v>1022</v>
      </c>
      <c r="B103" s="45" t="s">
        <v>4106</v>
      </c>
      <c r="C103" s="45" t="s">
        <v>6672</v>
      </c>
      <c r="D103" s="45" t="s">
        <v>6679</v>
      </c>
      <c r="E103" s="44" t="s">
        <v>6854</v>
      </c>
      <c r="F103" s="37">
        <v>1</v>
      </c>
      <c r="G103" s="37" t="s">
        <v>6864</v>
      </c>
      <c r="H103" s="63">
        <v>30501.9</v>
      </c>
    </row>
    <row r="104" spans="1:8" ht="24.75" customHeight="1">
      <c r="A104" s="44" t="s">
        <v>2120</v>
      </c>
      <c r="B104" s="45" t="s">
        <v>4110</v>
      </c>
      <c r="C104" s="45" t="s">
        <v>6672</v>
      </c>
      <c r="D104" s="45" t="s">
        <v>6679</v>
      </c>
      <c r="E104" s="44" t="s">
        <v>6854</v>
      </c>
      <c r="F104" s="37">
        <v>1</v>
      </c>
      <c r="G104" s="37" t="s">
        <v>6864</v>
      </c>
      <c r="H104" s="63">
        <v>34534.5</v>
      </c>
    </row>
    <row r="105" spans="1:8" ht="24.75" customHeight="1">
      <c r="A105" s="44" t="s">
        <v>562</v>
      </c>
      <c r="B105" s="45" t="s">
        <v>4103</v>
      </c>
      <c r="C105" s="45" t="s">
        <v>6672</v>
      </c>
      <c r="D105" s="45" t="s">
        <v>6679</v>
      </c>
      <c r="E105" s="44" t="s">
        <v>6854</v>
      </c>
      <c r="F105" s="37">
        <v>1</v>
      </c>
      <c r="G105" s="37" t="s">
        <v>6864</v>
      </c>
      <c r="H105" s="63">
        <v>14371.5</v>
      </c>
    </row>
    <row r="106" spans="1:8" ht="24.75" customHeight="1">
      <c r="A106" s="44" t="s">
        <v>561</v>
      </c>
      <c r="B106" s="45" t="s">
        <v>4102</v>
      </c>
      <c r="C106" s="45" t="s">
        <v>6672</v>
      </c>
      <c r="D106" s="45" t="s">
        <v>6679</v>
      </c>
      <c r="E106" s="44" t="s">
        <v>6854</v>
      </c>
      <c r="F106" s="37">
        <v>1</v>
      </c>
      <c r="G106" s="37" t="s">
        <v>6864</v>
      </c>
      <c r="H106" s="63">
        <v>17832.099999999999</v>
      </c>
    </row>
    <row r="107" spans="1:8" ht="24.75" customHeight="1">
      <c r="A107" s="44" t="s">
        <v>651</v>
      </c>
      <c r="B107" s="45" t="s">
        <v>4099</v>
      </c>
      <c r="C107" s="45" t="s">
        <v>6672</v>
      </c>
      <c r="D107" s="45" t="s">
        <v>6679</v>
      </c>
      <c r="E107" s="44" t="s">
        <v>6854</v>
      </c>
      <c r="F107" s="37">
        <v>1</v>
      </c>
      <c r="G107" s="37" t="s">
        <v>6864</v>
      </c>
      <c r="H107" s="63">
        <v>14829.1</v>
      </c>
    </row>
    <row r="108" spans="1:8" ht="24.75" customHeight="1">
      <c r="A108" s="44" t="s">
        <v>2122</v>
      </c>
      <c r="B108" s="45" t="s">
        <v>4111</v>
      </c>
      <c r="C108" s="45" t="s">
        <v>6672</v>
      </c>
      <c r="D108" s="45" t="s">
        <v>6679</v>
      </c>
      <c r="E108" s="44" t="s">
        <v>6854</v>
      </c>
      <c r="F108" s="37">
        <v>1</v>
      </c>
      <c r="G108" s="37" t="s">
        <v>6864</v>
      </c>
      <c r="H108" s="63">
        <v>24767.599999999999</v>
      </c>
    </row>
    <row r="109" spans="1:8" ht="24.75" customHeight="1">
      <c r="A109" s="44" t="s">
        <v>1024</v>
      </c>
      <c r="B109" s="45" t="s">
        <v>4108</v>
      </c>
      <c r="C109" s="45" t="s">
        <v>6672</v>
      </c>
      <c r="D109" s="45" t="s">
        <v>6679</v>
      </c>
      <c r="E109" s="44" t="s">
        <v>6854</v>
      </c>
      <c r="F109" s="37">
        <v>1</v>
      </c>
      <c r="G109" s="37" t="s">
        <v>6864</v>
      </c>
      <c r="H109" s="63">
        <v>15386.8</v>
      </c>
    </row>
    <row r="110" spans="1:8" ht="24.75" customHeight="1">
      <c r="A110" s="44" t="s">
        <v>2577</v>
      </c>
      <c r="B110" s="45" t="s">
        <v>6372</v>
      </c>
      <c r="C110" s="45" t="s">
        <v>6672</v>
      </c>
      <c r="D110" s="45" t="s">
        <v>6684</v>
      </c>
      <c r="E110" s="44" t="s">
        <v>6846</v>
      </c>
      <c r="F110" s="37">
        <v>1</v>
      </c>
      <c r="G110" s="37" t="s">
        <v>6864</v>
      </c>
      <c r="H110" s="63">
        <v>54583.1</v>
      </c>
    </row>
    <row r="111" spans="1:8" ht="24.75" customHeight="1">
      <c r="A111" s="44" t="s">
        <v>2579</v>
      </c>
      <c r="B111" s="45" t="s">
        <v>3268</v>
      </c>
      <c r="C111" s="45" t="s">
        <v>6672</v>
      </c>
      <c r="D111" s="45" t="s">
        <v>6684</v>
      </c>
      <c r="E111" s="44" t="s">
        <v>6846</v>
      </c>
      <c r="F111" s="37">
        <v>1</v>
      </c>
      <c r="G111" s="37" t="s">
        <v>6864</v>
      </c>
      <c r="H111" s="63">
        <v>54583.1</v>
      </c>
    </row>
    <row r="112" spans="1:8" ht="24.75" customHeight="1">
      <c r="A112" s="44" t="s">
        <v>2580</v>
      </c>
      <c r="B112" s="45" t="s">
        <v>3269</v>
      </c>
      <c r="C112" s="45" t="s">
        <v>6672</v>
      </c>
      <c r="D112" s="45" t="s">
        <v>6684</v>
      </c>
      <c r="E112" s="44" t="s">
        <v>6846</v>
      </c>
      <c r="F112" s="37">
        <v>1</v>
      </c>
      <c r="G112" s="37" t="s">
        <v>6864</v>
      </c>
      <c r="H112" s="63">
        <v>51179.7</v>
      </c>
    </row>
    <row r="113" spans="1:8" ht="24.75" customHeight="1">
      <c r="A113" s="44" t="s">
        <v>2575</v>
      </c>
      <c r="B113" s="45" t="s">
        <v>3265</v>
      </c>
      <c r="C113" s="45" t="s">
        <v>6672</v>
      </c>
      <c r="D113" s="45" t="s">
        <v>6684</v>
      </c>
      <c r="E113" s="44" t="s">
        <v>6846</v>
      </c>
      <c r="F113" s="37">
        <v>1</v>
      </c>
      <c r="G113" s="37" t="s">
        <v>6864</v>
      </c>
      <c r="H113" s="63">
        <v>54583.1</v>
      </c>
    </row>
    <row r="114" spans="1:8" ht="24.75" customHeight="1">
      <c r="A114" s="44" t="s">
        <v>2576</v>
      </c>
      <c r="B114" s="45" t="s">
        <v>3266</v>
      </c>
      <c r="C114" s="45" t="s">
        <v>6672</v>
      </c>
      <c r="D114" s="45" t="s">
        <v>6684</v>
      </c>
      <c r="E114" s="44" t="s">
        <v>6846</v>
      </c>
      <c r="F114" s="37">
        <v>1</v>
      </c>
      <c r="G114" s="37" t="s">
        <v>6864</v>
      </c>
      <c r="H114" s="63">
        <v>51179.7</v>
      </c>
    </row>
    <row r="115" spans="1:8" ht="24.75" customHeight="1">
      <c r="A115" s="44" t="s">
        <v>2578</v>
      </c>
      <c r="B115" s="45" t="s">
        <v>3267</v>
      </c>
      <c r="C115" s="45" t="s">
        <v>6672</v>
      </c>
      <c r="D115" s="45" t="s">
        <v>6684</v>
      </c>
      <c r="E115" s="44" t="s">
        <v>6846</v>
      </c>
      <c r="F115" s="37">
        <v>1</v>
      </c>
      <c r="G115" s="37" t="s">
        <v>6864</v>
      </c>
      <c r="H115" s="63">
        <v>51179.7</v>
      </c>
    </row>
    <row r="116" spans="1:8" ht="24.75" customHeight="1">
      <c r="A116" s="44" t="s">
        <v>3161</v>
      </c>
      <c r="B116" s="45" t="s">
        <v>3277</v>
      </c>
      <c r="C116" s="45" t="s">
        <v>6672</v>
      </c>
      <c r="D116" s="45" t="s">
        <v>6685</v>
      </c>
      <c r="E116" s="44"/>
      <c r="F116" s="37">
        <v>1</v>
      </c>
      <c r="G116" s="37" t="s">
        <v>6864</v>
      </c>
      <c r="H116" s="63">
        <v>5119.3999999999996</v>
      </c>
    </row>
    <row r="117" spans="1:8" ht="24.75" customHeight="1">
      <c r="A117" s="44" t="s">
        <v>6645</v>
      </c>
      <c r="B117" s="45" t="s">
        <v>6646</v>
      </c>
      <c r="C117" s="45" t="s">
        <v>6982</v>
      </c>
      <c r="D117" s="45" t="s">
        <v>6686</v>
      </c>
      <c r="E117" s="44" t="s">
        <v>6984</v>
      </c>
      <c r="F117" s="37">
        <v>1</v>
      </c>
      <c r="G117" s="37" t="s">
        <v>6864</v>
      </c>
      <c r="H117" s="63">
        <v>51665.9</v>
      </c>
    </row>
    <row r="118" spans="1:8" ht="24.75" customHeight="1">
      <c r="A118" s="44" t="s">
        <v>6647</v>
      </c>
      <c r="B118" s="45" t="s">
        <v>6648</v>
      </c>
      <c r="C118" s="45" t="s">
        <v>6982</v>
      </c>
      <c r="D118" s="45" t="s">
        <v>6686</v>
      </c>
      <c r="E118" s="44" t="s">
        <v>6984</v>
      </c>
      <c r="F118" s="37">
        <v>1</v>
      </c>
      <c r="G118" s="37" t="s">
        <v>6864</v>
      </c>
      <c r="H118" s="63">
        <v>51665.9</v>
      </c>
    </row>
    <row r="119" spans="1:8" ht="24.75" customHeight="1">
      <c r="A119" s="44" t="s">
        <v>6649</v>
      </c>
      <c r="B119" s="45" t="s">
        <v>6650</v>
      </c>
      <c r="C119" s="45" t="s">
        <v>6982</v>
      </c>
      <c r="D119" s="45" t="s">
        <v>6686</v>
      </c>
      <c r="E119" s="44" t="s">
        <v>6984</v>
      </c>
      <c r="F119" s="37">
        <v>1</v>
      </c>
      <c r="G119" s="37" t="s">
        <v>6864</v>
      </c>
      <c r="H119" s="63">
        <v>51665.9</v>
      </c>
    </row>
    <row r="120" spans="1:8" ht="24.75" customHeight="1">
      <c r="A120" s="44" t="s">
        <v>6651</v>
      </c>
      <c r="B120" s="45" t="s">
        <v>6652</v>
      </c>
      <c r="C120" s="45" t="s">
        <v>6982</v>
      </c>
      <c r="D120" s="45" t="s">
        <v>6686</v>
      </c>
      <c r="E120" s="44" t="s">
        <v>6984</v>
      </c>
      <c r="F120" s="37">
        <v>1</v>
      </c>
      <c r="G120" s="37" t="s">
        <v>6864</v>
      </c>
      <c r="H120" s="63">
        <v>51665.9</v>
      </c>
    </row>
    <row r="121" spans="1:8" ht="24.75" customHeight="1">
      <c r="A121" s="44" t="s">
        <v>6653</v>
      </c>
      <c r="B121" s="45" t="s">
        <v>6654</v>
      </c>
      <c r="C121" s="45" t="s">
        <v>6982</v>
      </c>
      <c r="D121" s="45" t="s">
        <v>6686</v>
      </c>
      <c r="E121" s="44" t="s">
        <v>6984</v>
      </c>
      <c r="F121" s="37">
        <v>1</v>
      </c>
      <c r="G121" s="37" t="s">
        <v>6864</v>
      </c>
      <c r="H121" s="63">
        <v>51665.9</v>
      </c>
    </row>
    <row r="122" spans="1:8" ht="24.75" customHeight="1">
      <c r="A122" s="44" t="s">
        <v>6655</v>
      </c>
      <c r="B122" s="45" t="s">
        <v>6656</v>
      </c>
      <c r="C122" s="45" t="s">
        <v>6982</v>
      </c>
      <c r="D122" s="45" t="s">
        <v>6686</v>
      </c>
      <c r="E122" s="44" t="s">
        <v>6984</v>
      </c>
      <c r="F122" s="37">
        <v>1</v>
      </c>
      <c r="G122" s="37" t="s">
        <v>6864</v>
      </c>
      <c r="H122" s="63">
        <v>51665.9</v>
      </c>
    </row>
    <row r="123" spans="1:8" ht="24.75" customHeight="1">
      <c r="A123" s="44" t="s">
        <v>6657</v>
      </c>
      <c r="B123" s="45" t="s">
        <v>6658</v>
      </c>
      <c r="C123" s="45" t="s">
        <v>6982</v>
      </c>
      <c r="D123" s="45" t="s">
        <v>6686</v>
      </c>
      <c r="E123" s="44" t="s">
        <v>6984</v>
      </c>
      <c r="F123" s="37">
        <v>1</v>
      </c>
      <c r="G123" s="37" t="s">
        <v>6864</v>
      </c>
      <c r="H123" s="63">
        <v>51665.9</v>
      </c>
    </row>
    <row r="124" spans="1:8" ht="24.75" customHeight="1">
      <c r="A124" s="44" t="s">
        <v>6659</v>
      </c>
      <c r="B124" s="45" t="s">
        <v>6660</v>
      </c>
      <c r="C124" s="45" t="s">
        <v>6982</v>
      </c>
      <c r="D124" s="45" t="s">
        <v>6686</v>
      </c>
      <c r="E124" s="44" t="s">
        <v>6984</v>
      </c>
      <c r="F124" s="37">
        <v>1</v>
      </c>
      <c r="G124" s="37" t="s">
        <v>6864</v>
      </c>
      <c r="H124" s="63">
        <v>51665.9</v>
      </c>
    </row>
    <row r="125" spans="1:8" ht="24.75" customHeight="1">
      <c r="A125" s="44" t="s">
        <v>6661</v>
      </c>
      <c r="B125" s="45" t="s">
        <v>6662</v>
      </c>
      <c r="C125" s="45" t="s">
        <v>6982</v>
      </c>
      <c r="D125" s="45" t="s">
        <v>6686</v>
      </c>
      <c r="E125" s="44" t="s">
        <v>6984</v>
      </c>
      <c r="F125" s="37">
        <v>1</v>
      </c>
      <c r="G125" s="37" t="s">
        <v>6864</v>
      </c>
      <c r="H125" s="63">
        <v>51665.9</v>
      </c>
    </row>
    <row r="126" spans="1:8" ht="24.75" customHeight="1">
      <c r="A126" s="44" t="s">
        <v>6663</v>
      </c>
      <c r="B126" s="45" t="s">
        <v>6664</v>
      </c>
      <c r="C126" s="45" t="s">
        <v>6982</v>
      </c>
      <c r="D126" s="45" t="s">
        <v>6686</v>
      </c>
      <c r="E126" s="44" t="s">
        <v>6984</v>
      </c>
      <c r="F126" s="37">
        <v>1</v>
      </c>
      <c r="G126" s="37" t="s">
        <v>6864</v>
      </c>
      <c r="H126" s="63">
        <v>51665.9</v>
      </c>
    </row>
    <row r="127" spans="1:8" ht="24.75" customHeight="1">
      <c r="A127" s="44" t="s">
        <v>6665</v>
      </c>
      <c r="B127" s="45" t="s">
        <v>6666</v>
      </c>
      <c r="C127" s="45" t="s">
        <v>6982</v>
      </c>
      <c r="D127" s="45" t="s">
        <v>6686</v>
      </c>
      <c r="E127" s="44" t="s">
        <v>6984</v>
      </c>
      <c r="F127" s="37">
        <v>1</v>
      </c>
      <c r="G127" s="37" t="s">
        <v>6864</v>
      </c>
      <c r="H127" s="63">
        <v>51665.9</v>
      </c>
    </row>
    <row r="128" spans="1:8" ht="24.75" customHeight="1">
      <c r="A128" s="44" t="s">
        <v>6667</v>
      </c>
      <c r="B128" s="45" t="s">
        <v>6668</v>
      </c>
      <c r="C128" s="45" t="s">
        <v>6982</v>
      </c>
      <c r="D128" s="45" t="s">
        <v>6686</v>
      </c>
      <c r="E128" s="44" t="s">
        <v>6984</v>
      </c>
      <c r="F128" s="37">
        <v>1</v>
      </c>
      <c r="G128" s="37" t="s">
        <v>6864</v>
      </c>
      <c r="H128" s="63">
        <v>51665.9</v>
      </c>
    </row>
    <row r="129" spans="1:8" ht="24.75" customHeight="1">
      <c r="A129" s="44" t="s">
        <v>134</v>
      </c>
      <c r="B129" s="45" t="s">
        <v>6146</v>
      </c>
      <c r="C129" s="45" t="s">
        <v>6982</v>
      </c>
      <c r="D129" s="45" t="s">
        <v>6686</v>
      </c>
      <c r="E129" s="44" t="s">
        <v>6845</v>
      </c>
      <c r="F129" s="37">
        <v>1</v>
      </c>
      <c r="G129" s="37" t="s">
        <v>6864</v>
      </c>
      <c r="H129" s="63">
        <v>11421</v>
      </c>
    </row>
    <row r="130" spans="1:8" ht="24.75" customHeight="1">
      <c r="A130" s="44" t="s">
        <v>2938</v>
      </c>
      <c r="B130" s="45" t="s">
        <v>6210</v>
      </c>
      <c r="C130" s="45" t="s">
        <v>6982</v>
      </c>
      <c r="D130" s="45" t="s">
        <v>6686</v>
      </c>
      <c r="E130" s="44" t="s">
        <v>6845</v>
      </c>
      <c r="F130" s="37">
        <v>1</v>
      </c>
      <c r="G130" s="37" t="s">
        <v>6864</v>
      </c>
      <c r="H130" s="63">
        <v>18700</v>
      </c>
    </row>
    <row r="131" spans="1:8" ht="24.75" customHeight="1">
      <c r="A131" s="44" t="s">
        <v>2939</v>
      </c>
      <c r="B131" s="45" t="s">
        <v>6211</v>
      </c>
      <c r="C131" s="45" t="s">
        <v>6982</v>
      </c>
      <c r="D131" s="45" t="s">
        <v>6686</v>
      </c>
      <c r="E131" s="44" t="s">
        <v>6845</v>
      </c>
      <c r="F131" s="37">
        <v>1</v>
      </c>
      <c r="G131" s="37" t="s">
        <v>6864</v>
      </c>
      <c r="H131" s="63">
        <v>18700</v>
      </c>
    </row>
    <row r="132" spans="1:8" ht="24.75" customHeight="1">
      <c r="A132" s="44" t="s">
        <v>6467</v>
      </c>
      <c r="B132" s="45" t="s">
        <v>6469</v>
      </c>
      <c r="C132" s="45" t="s">
        <v>6982</v>
      </c>
      <c r="D132" s="45" t="s">
        <v>6686</v>
      </c>
      <c r="E132" s="44" t="s">
        <v>6846</v>
      </c>
      <c r="F132" s="37">
        <v>1</v>
      </c>
      <c r="G132" s="37" t="s">
        <v>6864</v>
      </c>
      <c r="H132" s="63">
        <v>67050</v>
      </c>
    </row>
    <row r="133" spans="1:8" ht="24.75" customHeight="1">
      <c r="A133" s="44" t="s">
        <v>6468</v>
      </c>
      <c r="B133" s="45" t="s">
        <v>6470</v>
      </c>
      <c r="C133" s="45" t="s">
        <v>6982</v>
      </c>
      <c r="D133" s="45" t="s">
        <v>6686</v>
      </c>
      <c r="E133" s="44" t="s">
        <v>6846</v>
      </c>
      <c r="F133" s="37">
        <v>1</v>
      </c>
      <c r="G133" s="37" t="s">
        <v>6864</v>
      </c>
      <c r="H133" s="63">
        <v>67050</v>
      </c>
    </row>
    <row r="134" spans="1:8" ht="24.75" customHeight="1">
      <c r="A134" s="44" t="s">
        <v>2859</v>
      </c>
      <c r="B134" s="45" t="s">
        <v>6208</v>
      </c>
      <c r="C134" s="45" t="s">
        <v>6982</v>
      </c>
      <c r="D134" s="45" t="s">
        <v>6686</v>
      </c>
      <c r="E134" s="44" t="s">
        <v>6846</v>
      </c>
      <c r="F134" s="37">
        <v>1</v>
      </c>
      <c r="G134" s="37" t="s">
        <v>6864</v>
      </c>
      <c r="H134" s="63">
        <v>64008</v>
      </c>
    </row>
    <row r="135" spans="1:8" ht="24.75" customHeight="1">
      <c r="A135" s="44" t="s">
        <v>2858</v>
      </c>
      <c r="B135" s="45" t="s">
        <v>6207</v>
      </c>
      <c r="C135" s="45" t="s">
        <v>6982</v>
      </c>
      <c r="D135" s="45" t="s">
        <v>6686</v>
      </c>
      <c r="E135" s="44" t="s">
        <v>6846</v>
      </c>
      <c r="F135" s="37">
        <v>1</v>
      </c>
      <c r="G135" s="37" t="s">
        <v>6864</v>
      </c>
      <c r="H135" s="63">
        <v>64008</v>
      </c>
    </row>
    <row r="136" spans="1:8" ht="24.75" customHeight="1">
      <c r="A136" s="44" t="s">
        <v>2857</v>
      </c>
      <c r="B136" s="45" t="s">
        <v>6206</v>
      </c>
      <c r="C136" s="45" t="s">
        <v>6982</v>
      </c>
      <c r="D136" s="45" t="s">
        <v>6686</v>
      </c>
      <c r="E136" s="44" t="s">
        <v>6846</v>
      </c>
      <c r="F136" s="37">
        <v>1</v>
      </c>
      <c r="G136" s="37" t="s">
        <v>6864</v>
      </c>
      <c r="H136" s="63">
        <v>64008</v>
      </c>
    </row>
    <row r="137" spans="1:8" ht="24.75" customHeight="1">
      <c r="A137" s="44" t="s">
        <v>2860</v>
      </c>
      <c r="B137" s="45" t="s">
        <v>6209</v>
      </c>
      <c r="C137" s="45" t="s">
        <v>6982</v>
      </c>
      <c r="D137" s="45" t="s">
        <v>6686</v>
      </c>
      <c r="E137" s="44" t="s">
        <v>6846</v>
      </c>
      <c r="F137" s="37">
        <v>1</v>
      </c>
      <c r="G137" s="37" t="s">
        <v>6864</v>
      </c>
      <c r="H137" s="63">
        <v>64008</v>
      </c>
    </row>
    <row r="138" spans="1:8" ht="24.75" customHeight="1">
      <c r="A138" s="44" t="s">
        <v>2139</v>
      </c>
      <c r="B138" s="45" t="s">
        <v>6222</v>
      </c>
      <c r="C138" s="45" t="s">
        <v>6982</v>
      </c>
      <c r="D138" s="45" t="s">
        <v>6686</v>
      </c>
      <c r="E138" s="44" t="s">
        <v>6846</v>
      </c>
      <c r="F138" s="37">
        <v>1</v>
      </c>
      <c r="G138" s="37" t="s">
        <v>6864</v>
      </c>
      <c r="H138" s="63">
        <v>64008</v>
      </c>
    </row>
    <row r="139" spans="1:8" ht="24.75" customHeight="1">
      <c r="A139" s="44" t="s">
        <v>2138</v>
      </c>
      <c r="B139" s="45" t="s">
        <v>6221</v>
      </c>
      <c r="C139" s="45" t="s">
        <v>6982</v>
      </c>
      <c r="D139" s="45" t="s">
        <v>6686</v>
      </c>
      <c r="E139" s="44" t="s">
        <v>6846</v>
      </c>
      <c r="F139" s="37">
        <v>1</v>
      </c>
      <c r="G139" s="37" t="s">
        <v>6864</v>
      </c>
      <c r="H139" s="63">
        <v>64008</v>
      </c>
    </row>
    <row r="140" spans="1:8" ht="24.75" customHeight="1">
      <c r="A140" s="44" t="s">
        <v>2137</v>
      </c>
      <c r="B140" s="45" t="s">
        <v>6220</v>
      </c>
      <c r="C140" s="45" t="s">
        <v>6982</v>
      </c>
      <c r="D140" s="45" t="s">
        <v>6686</v>
      </c>
      <c r="E140" s="44" t="s">
        <v>6846</v>
      </c>
      <c r="F140" s="37">
        <v>1</v>
      </c>
      <c r="G140" s="37" t="s">
        <v>6864</v>
      </c>
      <c r="H140" s="63">
        <v>64008</v>
      </c>
    </row>
    <row r="141" spans="1:8" ht="24.75" customHeight="1">
      <c r="A141" s="44" t="s">
        <v>2140</v>
      </c>
      <c r="B141" s="45" t="s">
        <v>6223</v>
      </c>
      <c r="C141" s="45" t="s">
        <v>6982</v>
      </c>
      <c r="D141" s="45" t="s">
        <v>6686</v>
      </c>
      <c r="E141" s="44" t="s">
        <v>6846</v>
      </c>
      <c r="F141" s="37">
        <v>1</v>
      </c>
      <c r="G141" s="37" t="s">
        <v>6864</v>
      </c>
      <c r="H141" s="63">
        <v>64008</v>
      </c>
    </row>
    <row r="142" spans="1:8" ht="24.75" customHeight="1">
      <c r="A142" s="44" t="s">
        <v>2732</v>
      </c>
      <c r="B142" s="45" t="s">
        <v>6273</v>
      </c>
      <c r="C142" s="45" t="s">
        <v>6982</v>
      </c>
      <c r="D142" s="45" t="s">
        <v>6686</v>
      </c>
      <c r="E142" s="44" t="s">
        <v>6846</v>
      </c>
      <c r="F142" s="37">
        <v>1</v>
      </c>
      <c r="G142" s="37" t="s">
        <v>6864</v>
      </c>
      <c r="H142" s="63">
        <v>67050</v>
      </c>
    </row>
    <row r="143" spans="1:8" ht="24.75" customHeight="1">
      <c r="A143" s="44" t="s">
        <v>2733</v>
      </c>
      <c r="B143" s="45" t="s">
        <v>6274</v>
      </c>
      <c r="C143" s="45" t="s">
        <v>6982</v>
      </c>
      <c r="D143" s="45" t="s">
        <v>6686</v>
      </c>
      <c r="E143" s="44" t="s">
        <v>6846</v>
      </c>
      <c r="F143" s="37">
        <v>1</v>
      </c>
      <c r="G143" s="37" t="s">
        <v>6864</v>
      </c>
      <c r="H143" s="63">
        <v>67050</v>
      </c>
    </row>
    <row r="144" spans="1:8" ht="24.75" customHeight="1">
      <c r="A144" s="44" t="s">
        <v>2301</v>
      </c>
      <c r="B144" s="45" t="s">
        <v>6214</v>
      </c>
      <c r="C144" s="45" t="s">
        <v>6982</v>
      </c>
      <c r="D144" s="45" t="s">
        <v>6686</v>
      </c>
      <c r="E144" s="44" t="s">
        <v>6846</v>
      </c>
      <c r="F144" s="37">
        <v>1</v>
      </c>
      <c r="G144" s="37" t="s">
        <v>6864</v>
      </c>
      <c r="H144" s="63">
        <v>67050</v>
      </c>
    </row>
    <row r="145" spans="1:8" ht="24.75" customHeight="1">
      <c r="A145" s="44" t="s">
        <v>2300</v>
      </c>
      <c r="B145" s="45" t="s">
        <v>6213</v>
      </c>
      <c r="C145" s="45" t="s">
        <v>6982</v>
      </c>
      <c r="D145" s="45" t="s">
        <v>6686</v>
      </c>
      <c r="E145" s="44" t="s">
        <v>6846</v>
      </c>
      <c r="F145" s="37">
        <v>1</v>
      </c>
      <c r="G145" s="37" t="s">
        <v>6864</v>
      </c>
      <c r="H145" s="63">
        <v>67050</v>
      </c>
    </row>
    <row r="146" spans="1:8" ht="24.75" customHeight="1">
      <c r="A146" s="44" t="s">
        <v>2299</v>
      </c>
      <c r="B146" s="45" t="s">
        <v>6212</v>
      </c>
      <c r="C146" s="45" t="s">
        <v>6982</v>
      </c>
      <c r="D146" s="45" t="s">
        <v>6686</v>
      </c>
      <c r="E146" s="44" t="s">
        <v>6846</v>
      </c>
      <c r="F146" s="37">
        <v>1</v>
      </c>
      <c r="G146" s="37" t="s">
        <v>6864</v>
      </c>
      <c r="H146" s="63">
        <v>67050</v>
      </c>
    </row>
    <row r="147" spans="1:8" ht="24.75" customHeight="1">
      <c r="A147" s="44" t="s">
        <v>2302</v>
      </c>
      <c r="B147" s="45" t="s">
        <v>6215</v>
      </c>
      <c r="C147" s="45" t="s">
        <v>6982</v>
      </c>
      <c r="D147" s="45" t="s">
        <v>6686</v>
      </c>
      <c r="E147" s="44" t="s">
        <v>6846</v>
      </c>
      <c r="F147" s="37">
        <v>1</v>
      </c>
      <c r="G147" s="37" t="s">
        <v>6864</v>
      </c>
      <c r="H147" s="63">
        <v>67050</v>
      </c>
    </row>
    <row r="148" spans="1:8" ht="24.75" customHeight="1">
      <c r="A148" s="44" t="s">
        <v>6474</v>
      </c>
      <c r="B148" s="45" t="s">
        <v>6479</v>
      </c>
      <c r="C148" s="45" t="s">
        <v>6982</v>
      </c>
      <c r="D148" s="45" t="s">
        <v>6686</v>
      </c>
      <c r="E148" s="44" t="s">
        <v>6846</v>
      </c>
      <c r="F148" s="37">
        <v>1</v>
      </c>
      <c r="G148" s="37" t="s">
        <v>6864</v>
      </c>
      <c r="H148" s="63">
        <v>67050</v>
      </c>
    </row>
    <row r="149" spans="1:8" ht="24.75" customHeight="1">
      <c r="A149" s="44" t="s">
        <v>6475</v>
      </c>
      <c r="B149" s="45" t="s">
        <v>6480</v>
      </c>
      <c r="C149" s="45" t="s">
        <v>6982</v>
      </c>
      <c r="D149" s="45" t="s">
        <v>6686</v>
      </c>
      <c r="E149" s="44" t="s">
        <v>6846</v>
      </c>
      <c r="F149" s="37">
        <v>1</v>
      </c>
      <c r="G149" s="37" t="s">
        <v>6864</v>
      </c>
      <c r="H149" s="63">
        <v>67050</v>
      </c>
    </row>
    <row r="150" spans="1:8" ht="24.75" customHeight="1">
      <c r="A150" s="44" t="s">
        <v>6471</v>
      </c>
      <c r="B150" s="45" t="s">
        <v>6476</v>
      </c>
      <c r="C150" s="45" t="s">
        <v>6982</v>
      </c>
      <c r="D150" s="45" t="s">
        <v>6686</v>
      </c>
      <c r="E150" s="44" t="s">
        <v>6846</v>
      </c>
      <c r="F150" s="37">
        <v>1</v>
      </c>
      <c r="G150" s="37" t="s">
        <v>6864</v>
      </c>
      <c r="H150" s="63">
        <v>67050</v>
      </c>
    </row>
    <row r="151" spans="1:8" ht="24.75" customHeight="1">
      <c r="A151" s="44" t="s">
        <v>6472</v>
      </c>
      <c r="B151" s="45" t="s">
        <v>6477</v>
      </c>
      <c r="C151" s="45" t="s">
        <v>6982</v>
      </c>
      <c r="D151" s="45" t="s">
        <v>6686</v>
      </c>
      <c r="E151" s="44" t="s">
        <v>6846</v>
      </c>
      <c r="F151" s="37">
        <v>1</v>
      </c>
      <c r="G151" s="37" t="s">
        <v>6864</v>
      </c>
      <c r="H151" s="63">
        <v>67050</v>
      </c>
    </row>
    <row r="152" spans="1:8" ht="24.75" customHeight="1">
      <c r="A152" s="44" t="s">
        <v>6473</v>
      </c>
      <c r="B152" s="45" t="s">
        <v>6478</v>
      </c>
      <c r="C152" s="45" t="s">
        <v>6982</v>
      </c>
      <c r="D152" s="45" t="s">
        <v>6686</v>
      </c>
      <c r="E152" s="44" t="s">
        <v>6846</v>
      </c>
      <c r="F152" s="37">
        <v>1</v>
      </c>
      <c r="G152" s="37" t="s">
        <v>6864</v>
      </c>
      <c r="H152" s="63">
        <v>67050</v>
      </c>
    </row>
    <row r="153" spans="1:8" ht="24.75" customHeight="1">
      <c r="A153" s="44" t="s">
        <v>2297</v>
      </c>
      <c r="B153" s="45" t="s">
        <v>6218</v>
      </c>
      <c r="C153" s="45" t="s">
        <v>6982</v>
      </c>
      <c r="D153" s="45" t="s">
        <v>6686</v>
      </c>
      <c r="E153" s="44" t="s">
        <v>6846</v>
      </c>
      <c r="F153" s="37">
        <v>1</v>
      </c>
      <c r="G153" s="37" t="s">
        <v>6864</v>
      </c>
      <c r="H153" s="63">
        <v>67050</v>
      </c>
    </row>
    <row r="154" spans="1:8" ht="24.75" customHeight="1">
      <c r="A154" s="44" t="s">
        <v>2296</v>
      </c>
      <c r="B154" s="45" t="s">
        <v>6217</v>
      </c>
      <c r="C154" s="45" t="s">
        <v>6982</v>
      </c>
      <c r="D154" s="45" t="s">
        <v>6686</v>
      </c>
      <c r="E154" s="44" t="s">
        <v>6846</v>
      </c>
      <c r="F154" s="37">
        <v>1</v>
      </c>
      <c r="G154" s="37" t="s">
        <v>6864</v>
      </c>
      <c r="H154" s="63">
        <v>67050</v>
      </c>
    </row>
    <row r="155" spans="1:8" ht="24.75" customHeight="1">
      <c r="A155" s="44" t="s">
        <v>2295</v>
      </c>
      <c r="B155" s="45" t="s">
        <v>6216</v>
      </c>
      <c r="C155" s="45" t="s">
        <v>6982</v>
      </c>
      <c r="D155" s="45" t="s">
        <v>6686</v>
      </c>
      <c r="E155" s="44" t="s">
        <v>6846</v>
      </c>
      <c r="F155" s="37">
        <v>1</v>
      </c>
      <c r="G155" s="37" t="s">
        <v>6864</v>
      </c>
      <c r="H155" s="63">
        <v>67050</v>
      </c>
    </row>
    <row r="156" spans="1:8" ht="24.75" customHeight="1">
      <c r="A156" s="44" t="s">
        <v>2298</v>
      </c>
      <c r="B156" s="45" t="s">
        <v>6219</v>
      </c>
      <c r="C156" s="45" t="s">
        <v>6982</v>
      </c>
      <c r="D156" s="45" t="s">
        <v>6686</v>
      </c>
      <c r="E156" s="44" t="s">
        <v>6846</v>
      </c>
      <c r="F156" s="37">
        <v>1</v>
      </c>
      <c r="G156" s="37" t="s">
        <v>6864</v>
      </c>
      <c r="H156" s="63">
        <v>67050</v>
      </c>
    </row>
    <row r="157" spans="1:8" ht="24.75" customHeight="1">
      <c r="A157" s="44" t="s">
        <v>6501</v>
      </c>
      <c r="B157" s="45" t="s">
        <v>6502</v>
      </c>
      <c r="C157" s="45" t="s">
        <v>6982</v>
      </c>
      <c r="D157" s="45" t="s">
        <v>6686</v>
      </c>
      <c r="E157" s="44" t="s">
        <v>6846</v>
      </c>
      <c r="F157" s="37">
        <v>1</v>
      </c>
      <c r="G157" s="37" t="s">
        <v>6864</v>
      </c>
      <c r="H157" s="63">
        <v>62328</v>
      </c>
    </row>
    <row r="158" spans="1:8" ht="24.75" customHeight="1">
      <c r="A158" s="44" t="s">
        <v>3049</v>
      </c>
      <c r="B158" s="45" t="s">
        <v>6281</v>
      </c>
      <c r="C158" s="45" t="s">
        <v>6982</v>
      </c>
      <c r="D158" s="45" t="s">
        <v>6686</v>
      </c>
      <c r="E158" s="44" t="s">
        <v>6850</v>
      </c>
      <c r="F158" s="37">
        <v>1</v>
      </c>
      <c r="G158" s="37" t="s">
        <v>6864</v>
      </c>
      <c r="H158" s="63">
        <v>74766</v>
      </c>
    </row>
    <row r="159" spans="1:8" ht="24.75" customHeight="1">
      <c r="A159" s="44" t="s">
        <v>3048</v>
      </c>
      <c r="B159" s="45" t="s">
        <v>6280</v>
      </c>
      <c r="C159" s="45" t="s">
        <v>6982</v>
      </c>
      <c r="D159" s="45" t="s">
        <v>6686</v>
      </c>
      <c r="E159" s="44" t="s">
        <v>6850</v>
      </c>
      <c r="F159" s="37">
        <v>1</v>
      </c>
      <c r="G159" s="37" t="s">
        <v>6864</v>
      </c>
      <c r="H159" s="63">
        <v>74766</v>
      </c>
    </row>
    <row r="160" spans="1:8" ht="24.75" customHeight="1">
      <c r="A160" s="44" t="s">
        <v>3047</v>
      </c>
      <c r="B160" s="45" t="s">
        <v>6279</v>
      </c>
      <c r="C160" s="45" t="s">
        <v>6982</v>
      </c>
      <c r="D160" s="45" t="s">
        <v>6686</v>
      </c>
      <c r="E160" s="44" t="s">
        <v>6850</v>
      </c>
      <c r="F160" s="37">
        <v>1</v>
      </c>
      <c r="G160" s="37" t="s">
        <v>6864</v>
      </c>
      <c r="H160" s="63">
        <v>74766</v>
      </c>
    </row>
    <row r="161" spans="1:8" ht="24.75" customHeight="1">
      <c r="A161" s="44" t="s">
        <v>3050</v>
      </c>
      <c r="B161" s="45" t="s">
        <v>6282</v>
      </c>
      <c r="C161" s="45" t="s">
        <v>6982</v>
      </c>
      <c r="D161" s="45" t="s">
        <v>6686</v>
      </c>
      <c r="E161" s="44" t="s">
        <v>6850</v>
      </c>
      <c r="F161" s="37">
        <v>1</v>
      </c>
      <c r="G161" s="37" t="s">
        <v>6864</v>
      </c>
      <c r="H161" s="63">
        <v>74766</v>
      </c>
    </row>
    <row r="162" spans="1:8" ht="24.75" customHeight="1">
      <c r="A162" s="44" t="s">
        <v>3045</v>
      </c>
      <c r="B162" s="45" t="s">
        <v>6277</v>
      </c>
      <c r="C162" s="45" t="s">
        <v>6982</v>
      </c>
      <c r="D162" s="45" t="s">
        <v>6686</v>
      </c>
      <c r="E162" s="44" t="s">
        <v>6850</v>
      </c>
      <c r="F162" s="37">
        <v>1</v>
      </c>
      <c r="G162" s="37" t="s">
        <v>6864</v>
      </c>
      <c r="H162" s="63">
        <v>74766</v>
      </c>
    </row>
    <row r="163" spans="1:8" ht="24.75" customHeight="1">
      <c r="A163" s="44" t="s">
        <v>3044</v>
      </c>
      <c r="B163" s="45" t="s">
        <v>6276</v>
      </c>
      <c r="C163" s="45" t="s">
        <v>6982</v>
      </c>
      <c r="D163" s="45" t="s">
        <v>6686</v>
      </c>
      <c r="E163" s="44" t="s">
        <v>6850</v>
      </c>
      <c r="F163" s="37">
        <v>1</v>
      </c>
      <c r="G163" s="37" t="s">
        <v>6864</v>
      </c>
      <c r="H163" s="63">
        <v>74766</v>
      </c>
    </row>
    <row r="164" spans="1:8" ht="24.75" customHeight="1">
      <c r="A164" s="44" t="s">
        <v>3043</v>
      </c>
      <c r="B164" s="45" t="s">
        <v>6275</v>
      </c>
      <c r="C164" s="45" t="s">
        <v>6982</v>
      </c>
      <c r="D164" s="45" t="s">
        <v>6686</v>
      </c>
      <c r="E164" s="44" t="s">
        <v>6850</v>
      </c>
      <c r="F164" s="37">
        <v>1</v>
      </c>
      <c r="G164" s="37" t="s">
        <v>6864</v>
      </c>
      <c r="H164" s="63">
        <v>74766</v>
      </c>
    </row>
    <row r="165" spans="1:8" ht="24.75" customHeight="1">
      <c r="A165" s="44" t="s">
        <v>3046</v>
      </c>
      <c r="B165" s="45" t="s">
        <v>6278</v>
      </c>
      <c r="C165" s="45" t="s">
        <v>6982</v>
      </c>
      <c r="D165" s="45" t="s">
        <v>6686</v>
      </c>
      <c r="E165" s="44" t="s">
        <v>6850</v>
      </c>
      <c r="F165" s="37">
        <v>1</v>
      </c>
      <c r="G165" s="37" t="s">
        <v>6864</v>
      </c>
      <c r="H165" s="63">
        <v>74766</v>
      </c>
    </row>
    <row r="166" spans="1:8" ht="24.75" customHeight="1">
      <c r="A166" s="44" t="s">
        <v>3060</v>
      </c>
      <c r="B166" s="45" t="s">
        <v>6292</v>
      </c>
      <c r="C166" s="45" t="s">
        <v>6982</v>
      </c>
      <c r="D166" s="45" t="s">
        <v>6686</v>
      </c>
      <c r="E166" s="44" t="s">
        <v>6850</v>
      </c>
      <c r="F166" s="37">
        <v>1</v>
      </c>
      <c r="G166" s="37" t="s">
        <v>6864</v>
      </c>
      <c r="H166" s="63">
        <v>71162</v>
      </c>
    </row>
    <row r="167" spans="1:8" ht="24.75" customHeight="1">
      <c r="A167" s="44" t="s">
        <v>3059</v>
      </c>
      <c r="B167" s="45" t="s">
        <v>6291</v>
      </c>
      <c r="C167" s="45" t="s">
        <v>6982</v>
      </c>
      <c r="D167" s="45" t="s">
        <v>6686</v>
      </c>
      <c r="E167" s="44" t="s">
        <v>6850</v>
      </c>
      <c r="F167" s="37">
        <v>1</v>
      </c>
      <c r="G167" s="37" t="s">
        <v>6864</v>
      </c>
      <c r="H167" s="63">
        <v>71162</v>
      </c>
    </row>
    <row r="168" spans="1:8" ht="24.75" customHeight="1">
      <c r="A168" s="44" t="s">
        <v>3058</v>
      </c>
      <c r="B168" s="45" t="s">
        <v>6290</v>
      </c>
      <c r="C168" s="45" t="s">
        <v>6982</v>
      </c>
      <c r="D168" s="45" t="s">
        <v>6686</v>
      </c>
      <c r="E168" s="44" t="s">
        <v>6850</v>
      </c>
      <c r="F168" s="37">
        <v>1</v>
      </c>
      <c r="G168" s="37" t="s">
        <v>6864</v>
      </c>
      <c r="H168" s="63">
        <v>71162</v>
      </c>
    </row>
    <row r="169" spans="1:8" ht="24.75" customHeight="1">
      <c r="A169" s="44" t="s">
        <v>3061</v>
      </c>
      <c r="B169" s="45" t="s">
        <v>6293</v>
      </c>
      <c r="C169" s="45" t="s">
        <v>6982</v>
      </c>
      <c r="D169" s="45" t="s">
        <v>6686</v>
      </c>
      <c r="E169" s="44" t="s">
        <v>6850</v>
      </c>
      <c r="F169" s="37">
        <v>1</v>
      </c>
      <c r="G169" s="37" t="s">
        <v>6864</v>
      </c>
      <c r="H169" s="63">
        <v>71162</v>
      </c>
    </row>
    <row r="170" spans="1:8" ht="24.75" customHeight="1">
      <c r="A170" s="44" t="s">
        <v>3056</v>
      </c>
      <c r="B170" s="45" t="s">
        <v>6288</v>
      </c>
      <c r="C170" s="45" t="s">
        <v>6982</v>
      </c>
      <c r="D170" s="45" t="s">
        <v>6686</v>
      </c>
      <c r="E170" s="44" t="s">
        <v>6850</v>
      </c>
      <c r="F170" s="37">
        <v>1</v>
      </c>
      <c r="G170" s="37" t="s">
        <v>6864</v>
      </c>
      <c r="H170" s="63">
        <v>71162</v>
      </c>
    </row>
    <row r="171" spans="1:8" ht="24.75" customHeight="1">
      <c r="A171" s="44" t="s">
        <v>3055</v>
      </c>
      <c r="B171" s="45" t="s">
        <v>6287</v>
      </c>
      <c r="C171" s="45" t="s">
        <v>6982</v>
      </c>
      <c r="D171" s="45" t="s">
        <v>6686</v>
      </c>
      <c r="E171" s="44" t="s">
        <v>6850</v>
      </c>
      <c r="F171" s="37">
        <v>1</v>
      </c>
      <c r="G171" s="37" t="s">
        <v>6864</v>
      </c>
      <c r="H171" s="63">
        <v>71162</v>
      </c>
    </row>
    <row r="172" spans="1:8" ht="24.75" customHeight="1">
      <c r="A172" s="44" t="s">
        <v>3054</v>
      </c>
      <c r="B172" s="45" t="s">
        <v>6286</v>
      </c>
      <c r="C172" s="45" t="s">
        <v>6982</v>
      </c>
      <c r="D172" s="45" t="s">
        <v>6686</v>
      </c>
      <c r="E172" s="44" t="s">
        <v>6850</v>
      </c>
      <c r="F172" s="37">
        <v>1</v>
      </c>
      <c r="G172" s="37" t="s">
        <v>6864</v>
      </c>
      <c r="H172" s="63">
        <v>71162</v>
      </c>
    </row>
    <row r="173" spans="1:8" ht="24.75" customHeight="1">
      <c r="A173" s="44" t="s">
        <v>3057</v>
      </c>
      <c r="B173" s="45" t="s">
        <v>6289</v>
      </c>
      <c r="C173" s="45" t="s">
        <v>6982</v>
      </c>
      <c r="D173" s="45" t="s">
        <v>6686</v>
      </c>
      <c r="E173" s="44" t="s">
        <v>6850</v>
      </c>
      <c r="F173" s="37">
        <v>1</v>
      </c>
      <c r="G173" s="37" t="s">
        <v>6864</v>
      </c>
      <c r="H173" s="63">
        <v>71162</v>
      </c>
    </row>
    <row r="174" spans="1:8" ht="24.75" customHeight="1">
      <c r="A174" s="44" t="s">
        <v>3052</v>
      </c>
      <c r="B174" s="45" t="s">
        <v>6284</v>
      </c>
      <c r="C174" s="45" t="s">
        <v>6982</v>
      </c>
      <c r="D174" s="45" t="s">
        <v>6686</v>
      </c>
      <c r="E174" s="44" t="s">
        <v>6850</v>
      </c>
      <c r="F174" s="37">
        <v>1</v>
      </c>
      <c r="G174" s="37" t="s">
        <v>6864</v>
      </c>
      <c r="H174" s="63">
        <v>74766</v>
      </c>
    </row>
    <row r="175" spans="1:8" ht="24.75" customHeight="1">
      <c r="A175" s="44" t="s">
        <v>3051</v>
      </c>
      <c r="B175" s="45" t="s">
        <v>6283</v>
      </c>
      <c r="C175" s="45" t="s">
        <v>6982</v>
      </c>
      <c r="D175" s="45" t="s">
        <v>6686</v>
      </c>
      <c r="E175" s="44" t="s">
        <v>6850</v>
      </c>
      <c r="F175" s="37">
        <v>1</v>
      </c>
      <c r="G175" s="37" t="s">
        <v>6864</v>
      </c>
      <c r="H175" s="63">
        <v>74766</v>
      </c>
    </row>
    <row r="176" spans="1:8" ht="24.75" customHeight="1">
      <c r="A176" s="44" t="s">
        <v>3053</v>
      </c>
      <c r="B176" s="45" t="s">
        <v>6285</v>
      </c>
      <c r="C176" s="45" t="s">
        <v>6982</v>
      </c>
      <c r="D176" s="45" t="s">
        <v>6686</v>
      </c>
      <c r="E176" s="44" t="s">
        <v>6850</v>
      </c>
      <c r="F176" s="37">
        <v>1</v>
      </c>
      <c r="G176" s="37" t="s">
        <v>6864</v>
      </c>
      <c r="H176" s="63">
        <v>74766</v>
      </c>
    </row>
    <row r="177" spans="1:8" ht="24.75" customHeight="1">
      <c r="A177" s="44" t="s">
        <v>2947</v>
      </c>
      <c r="B177" s="45" t="s">
        <v>6987</v>
      </c>
      <c r="C177" s="45" t="s">
        <v>6982</v>
      </c>
      <c r="D177" s="45" t="s">
        <v>6687</v>
      </c>
      <c r="E177" s="44" t="s">
        <v>6846</v>
      </c>
      <c r="F177" s="37">
        <v>1</v>
      </c>
      <c r="G177" s="37" t="s">
        <v>6864</v>
      </c>
      <c r="H177" s="63">
        <v>62328</v>
      </c>
    </row>
    <row r="178" spans="1:8" ht="24.75" customHeight="1">
      <c r="A178" s="44" t="s">
        <v>6486</v>
      </c>
      <c r="B178" s="45" t="s">
        <v>6985</v>
      </c>
      <c r="C178" s="45" t="s">
        <v>6982</v>
      </c>
      <c r="D178" s="45" t="s">
        <v>6689</v>
      </c>
      <c r="E178" s="44" t="s">
        <v>6846</v>
      </c>
      <c r="F178" s="37">
        <v>1</v>
      </c>
      <c r="G178" s="37" t="s">
        <v>6864</v>
      </c>
      <c r="H178" s="63">
        <v>68416</v>
      </c>
    </row>
    <row r="179" spans="1:8" ht="24.75" customHeight="1">
      <c r="A179" s="44" t="s">
        <v>6485</v>
      </c>
      <c r="B179" s="45" t="s">
        <v>6986</v>
      </c>
      <c r="C179" s="45" t="s">
        <v>6982</v>
      </c>
      <c r="D179" s="45" t="s">
        <v>6689</v>
      </c>
      <c r="E179" s="44" t="s">
        <v>6846</v>
      </c>
      <c r="F179" s="37">
        <v>1</v>
      </c>
      <c r="G179" s="37" t="s">
        <v>6864</v>
      </c>
      <c r="H179" s="63">
        <v>68416</v>
      </c>
    </row>
    <row r="180" spans="1:8" ht="24.75" customHeight="1">
      <c r="A180" s="44" t="s">
        <v>90</v>
      </c>
      <c r="B180" s="45" t="s">
        <v>6163</v>
      </c>
      <c r="C180" s="45" t="s">
        <v>6982</v>
      </c>
      <c r="D180" s="45" t="s">
        <v>6688</v>
      </c>
      <c r="E180" s="44" t="s">
        <v>6845</v>
      </c>
      <c r="F180" s="37">
        <v>1</v>
      </c>
      <c r="G180" s="37" t="s">
        <v>6864</v>
      </c>
      <c r="H180" s="63">
        <v>47416</v>
      </c>
    </row>
    <row r="181" spans="1:8" ht="24.75" customHeight="1">
      <c r="A181" s="44" t="s">
        <v>259</v>
      </c>
      <c r="B181" s="45" t="s">
        <v>6162</v>
      </c>
      <c r="C181" s="45" t="s">
        <v>6982</v>
      </c>
      <c r="D181" s="45" t="s">
        <v>6688</v>
      </c>
      <c r="E181" s="44" t="s">
        <v>6845</v>
      </c>
      <c r="F181" s="37">
        <v>1</v>
      </c>
      <c r="G181" s="37" t="s">
        <v>6864</v>
      </c>
      <c r="H181" s="63">
        <v>47416</v>
      </c>
    </row>
    <row r="182" spans="1:8" ht="24.75" customHeight="1">
      <c r="A182" s="44" t="s">
        <v>6482</v>
      </c>
      <c r="B182" s="45" t="s">
        <v>6484</v>
      </c>
      <c r="C182" s="45" t="s">
        <v>6982</v>
      </c>
      <c r="D182" s="45" t="s">
        <v>6688</v>
      </c>
      <c r="E182" s="44" t="s">
        <v>6846</v>
      </c>
      <c r="F182" s="37">
        <v>1</v>
      </c>
      <c r="G182" s="37" t="s">
        <v>6864</v>
      </c>
      <c r="H182" s="63">
        <v>75161</v>
      </c>
    </row>
    <row r="183" spans="1:8" ht="24.75" customHeight="1">
      <c r="A183" s="44" t="s">
        <v>6481</v>
      </c>
      <c r="B183" s="45" t="s">
        <v>6483</v>
      </c>
      <c r="C183" s="45" t="s">
        <v>6982</v>
      </c>
      <c r="D183" s="45" t="s">
        <v>6688</v>
      </c>
      <c r="E183" s="44" t="s">
        <v>6846</v>
      </c>
      <c r="F183" s="37">
        <v>1</v>
      </c>
      <c r="G183" s="37" t="s">
        <v>6864</v>
      </c>
      <c r="H183" s="63">
        <v>75161</v>
      </c>
    </row>
    <row r="184" spans="1:8" ht="24.75" customHeight="1">
      <c r="A184" s="44" t="s">
        <v>6535</v>
      </c>
      <c r="B184" s="45" t="s">
        <v>6536</v>
      </c>
      <c r="C184" s="45" t="s">
        <v>6982</v>
      </c>
      <c r="D184" s="45" t="s">
        <v>6690</v>
      </c>
      <c r="E184" s="44" t="s">
        <v>6984</v>
      </c>
      <c r="F184" s="37">
        <v>1</v>
      </c>
      <c r="G184" s="37" t="s">
        <v>6864</v>
      </c>
      <c r="H184" s="63">
        <v>71900.399999999994</v>
      </c>
    </row>
    <row r="185" spans="1:8" ht="24.75" customHeight="1">
      <c r="A185" s="44" t="s">
        <v>6537</v>
      </c>
      <c r="B185" s="45" t="s">
        <v>6538</v>
      </c>
      <c r="C185" s="45" t="s">
        <v>6982</v>
      </c>
      <c r="D185" s="45" t="s">
        <v>6690</v>
      </c>
      <c r="E185" s="44" t="s">
        <v>6984</v>
      </c>
      <c r="F185" s="37">
        <v>1</v>
      </c>
      <c r="G185" s="37" t="s">
        <v>6864</v>
      </c>
      <c r="H185" s="63">
        <v>71900.399999999994</v>
      </c>
    </row>
    <row r="186" spans="1:8" ht="24.75" customHeight="1">
      <c r="A186" s="44" t="s">
        <v>6539</v>
      </c>
      <c r="B186" s="45" t="s">
        <v>6540</v>
      </c>
      <c r="C186" s="45" t="s">
        <v>6982</v>
      </c>
      <c r="D186" s="45" t="s">
        <v>6690</v>
      </c>
      <c r="E186" s="44" t="s">
        <v>6984</v>
      </c>
      <c r="F186" s="37">
        <v>1</v>
      </c>
      <c r="G186" s="37" t="s">
        <v>6864</v>
      </c>
      <c r="H186" s="63">
        <v>71900.399999999994</v>
      </c>
    </row>
    <row r="187" spans="1:8" ht="24.75" customHeight="1">
      <c r="A187" s="44" t="s">
        <v>6541</v>
      </c>
      <c r="B187" s="45" t="s">
        <v>6542</v>
      </c>
      <c r="C187" s="45" t="s">
        <v>6982</v>
      </c>
      <c r="D187" s="45" t="s">
        <v>6690</v>
      </c>
      <c r="E187" s="44" t="s">
        <v>6984</v>
      </c>
      <c r="F187" s="37">
        <v>1</v>
      </c>
      <c r="G187" s="37" t="s">
        <v>6864</v>
      </c>
      <c r="H187" s="63">
        <v>71900.399999999994</v>
      </c>
    </row>
    <row r="188" spans="1:8" ht="24.75" customHeight="1">
      <c r="A188" s="44" t="s">
        <v>6543</v>
      </c>
      <c r="B188" s="45" t="s">
        <v>6544</v>
      </c>
      <c r="C188" s="45" t="s">
        <v>6982</v>
      </c>
      <c r="D188" s="45" t="s">
        <v>6690</v>
      </c>
      <c r="E188" s="44" t="s">
        <v>6984</v>
      </c>
      <c r="F188" s="37">
        <v>1</v>
      </c>
      <c r="G188" s="37" t="s">
        <v>6864</v>
      </c>
      <c r="H188" s="63">
        <v>71900.399999999994</v>
      </c>
    </row>
    <row r="189" spans="1:8" ht="24.75" customHeight="1">
      <c r="A189" s="44" t="s">
        <v>6545</v>
      </c>
      <c r="B189" s="45" t="s">
        <v>6546</v>
      </c>
      <c r="C189" s="45" t="s">
        <v>6982</v>
      </c>
      <c r="D189" s="45" t="s">
        <v>6690</v>
      </c>
      <c r="E189" s="44" t="s">
        <v>6984</v>
      </c>
      <c r="F189" s="37">
        <v>1</v>
      </c>
      <c r="G189" s="37" t="s">
        <v>6864</v>
      </c>
      <c r="H189" s="63">
        <v>71900.399999999994</v>
      </c>
    </row>
    <row r="190" spans="1:8" ht="24.75" customHeight="1">
      <c r="A190" s="44" t="s">
        <v>6547</v>
      </c>
      <c r="B190" s="45" t="s">
        <v>6548</v>
      </c>
      <c r="C190" s="45" t="s">
        <v>6982</v>
      </c>
      <c r="D190" s="45" t="s">
        <v>6690</v>
      </c>
      <c r="E190" s="44" t="s">
        <v>6984</v>
      </c>
      <c r="F190" s="37">
        <v>1</v>
      </c>
      <c r="G190" s="37" t="s">
        <v>6864</v>
      </c>
      <c r="H190" s="63">
        <v>71900.399999999994</v>
      </c>
    </row>
    <row r="191" spans="1:8" ht="24.75" customHeight="1">
      <c r="A191" s="44" t="s">
        <v>6549</v>
      </c>
      <c r="B191" s="45" t="s">
        <v>6550</v>
      </c>
      <c r="C191" s="45" t="s">
        <v>6982</v>
      </c>
      <c r="D191" s="45" t="s">
        <v>6690</v>
      </c>
      <c r="E191" s="44" t="s">
        <v>6984</v>
      </c>
      <c r="F191" s="37">
        <v>1</v>
      </c>
      <c r="G191" s="37" t="s">
        <v>6864</v>
      </c>
      <c r="H191" s="63">
        <v>71900.399999999994</v>
      </c>
    </row>
    <row r="192" spans="1:8" ht="24.75" customHeight="1">
      <c r="A192" s="44" t="s">
        <v>6551</v>
      </c>
      <c r="B192" s="45" t="s">
        <v>6552</v>
      </c>
      <c r="C192" s="45" t="s">
        <v>6982</v>
      </c>
      <c r="D192" s="45" t="s">
        <v>6690</v>
      </c>
      <c r="E192" s="44" t="s">
        <v>6984</v>
      </c>
      <c r="F192" s="37">
        <v>1</v>
      </c>
      <c r="G192" s="37" t="s">
        <v>6864</v>
      </c>
      <c r="H192" s="63">
        <v>79665.3</v>
      </c>
    </row>
    <row r="193" spans="1:8" ht="24.75" customHeight="1">
      <c r="A193" s="44" t="s">
        <v>6553</v>
      </c>
      <c r="B193" s="45" t="s">
        <v>6554</v>
      </c>
      <c r="C193" s="45" t="s">
        <v>6982</v>
      </c>
      <c r="D193" s="45" t="s">
        <v>6690</v>
      </c>
      <c r="E193" s="44" t="s">
        <v>6984</v>
      </c>
      <c r="F193" s="37">
        <v>1</v>
      </c>
      <c r="G193" s="37" t="s">
        <v>6864</v>
      </c>
      <c r="H193" s="63">
        <v>79665.3</v>
      </c>
    </row>
    <row r="194" spans="1:8" ht="24.75" customHeight="1">
      <c r="A194" s="44" t="s">
        <v>6555</v>
      </c>
      <c r="B194" s="45" t="s">
        <v>6556</v>
      </c>
      <c r="C194" s="45" t="s">
        <v>6982</v>
      </c>
      <c r="D194" s="45" t="s">
        <v>6690</v>
      </c>
      <c r="E194" s="44" t="s">
        <v>6984</v>
      </c>
      <c r="F194" s="37">
        <v>1</v>
      </c>
      <c r="G194" s="37" t="s">
        <v>6864</v>
      </c>
      <c r="H194" s="63">
        <v>79665.3</v>
      </c>
    </row>
    <row r="195" spans="1:8" ht="24.75" customHeight="1">
      <c r="A195" s="44" t="s">
        <v>6557</v>
      </c>
      <c r="B195" s="45" t="s">
        <v>6558</v>
      </c>
      <c r="C195" s="45" t="s">
        <v>6982</v>
      </c>
      <c r="D195" s="45" t="s">
        <v>6690</v>
      </c>
      <c r="E195" s="44" t="s">
        <v>6984</v>
      </c>
      <c r="F195" s="37">
        <v>1</v>
      </c>
      <c r="G195" s="37" t="s">
        <v>6864</v>
      </c>
      <c r="H195" s="63">
        <v>79665.3</v>
      </c>
    </row>
    <row r="196" spans="1:8" ht="24.75" customHeight="1">
      <c r="A196" s="44" t="s">
        <v>6559</v>
      </c>
      <c r="B196" s="45" t="s">
        <v>6560</v>
      </c>
      <c r="C196" s="45" t="s">
        <v>6982</v>
      </c>
      <c r="D196" s="45" t="s">
        <v>6690</v>
      </c>
      <c r="E196" s="44" t="s">
        <v>6984</v>
      </c>
      <c r="F196" s="37">
        <v>1</v>
      </c>
      <c r="G196" s="37" t="s">
        <v>6864</v>
      </c>
      <c r="H196" s="63">
        <v>79665.3</v>
      </c>
    </row>
    <row r="197" spans="1:8" ht="24.75" customHeight="1">
      <c r="A197" s="44" t="s">
        <v>6561</v>
      </c>
      <c r="B197" s="45" t="s">
        <v>6562</v>
      </c>
      <c r="C197" s="45" t="s">
        <v>6982</v>
      </c>
      <c r="D197" s="45" t="s">
        <v>6690</v>
      </c>
      <c r="E197" s="44" t="s">
        <v>6984</v>
      </c>
      <c r="F197" s="37">
        <v>1</v>
      </c>
      <c r="G197" s="37" t="s">
        <v>6864</v>
      </c>
      <c r="H197" s="63">
        <v>79665.3</v>
      </c>
    </row>
    <row r="198" spans="1:8" ht="24.75" customHeight="1">
      <c r="A198" s="44" t="s">
        <v>6563</v>
      </c>
      <c r="B198" s="45" t="s">
        <v>6564</v>
      </c>
      <c r="C198" s="45" t="s">
        <v>6982</v>
      </c>
      <c r="D198" s="45" t="s">
        <v>6690</v>
      </c>
      <c r="E198" s="44" t="s">
        <v>6984</v>
      </c>
      <c r="F198" s="37">
        <v>1</v>
      </c>
      <c r="G198" s="37" t="s">
        <v>6864</v>
      </c>
      <c r="H198" s="63">
        <v>79665.3</v>
      </c>
    </row>
    <row r="199" spans="1:8" ht="24.75" customHeight="1">
      <c r="A199" s="44" t="s">
        <v>6565</v>
      </c>
      <c r="B199" s="45" t="s">
        <v>6566</v>
      </c>
      <c r="C199" s="45" t="s">
        <v>6982</v>
      </c>
      <c r="D199" s="45" t="s">
        <v>6690</v>
      </c>
      <c r="E199" s="44" t="s">
        <v>6984</v>
      </c>
      <c r="F199" s="37">
        <v>1</v>
      </c>
      <c r="G199" s="37" t="s">
        <v>6864</v>
      </c>
      <c r="H199" s="63">
        <v>79665.3</v>
      </c>
    </row>
    <row r="200" spans="1:8" ht="24.75" customHeight="1">
      <c r="A200" s="44" t="s">
        <v>6567</v>
      </c>
      <c r="B200" s="45" t="s">
        <v>6568</v>
      </c>
      <c r="C200" s="45" t="s">
        <v>6982</v>
      </c>
      <c r="D200" s="45" t="s">
        <v>6690</v>
      </c>
      <c r="E200" s="44" t="s">
        <v>6984</v>
      </c>
      <c r="F200" s="37">
        <v>1</v>
      </c>
      <c r="G200" s="37" t="s">
        <v>6864</v>
      </c>
      <c r="H200" s="63">
        <v>51923.3</v>
      </c>
    </row>
    <row r="201" spans="1:8" ht="24.75" customHeight="1">
      <c r="A201" s="44" t="s">
        <v>6569</v>
      </c>
      <c r="B201" s="45" t="s">
        <v>6570</v>
      </c>
      <c r="C201" s="45" t="s">
        <v>6982</v>
      </c>
      <c r="D201" s="45" t="s">
        <v>6690</v>
      </c>
      <c r="E201" s="44" t="s">
        <v>6984</v>
      </c>
      <c r="F201" s="37">
        <v>1</v>
      </c>
      <c r="G201" s="37" t="s">
        <v>6864</v>
      </c>
      <c r="H201" s="63">
        <v>51923.3</v>
      </c>
    </row>
    <row r="202" spans="1:8" ht="24.75" customHeight="1">
      <c r="A202" s="44" t="s">
        <v>6571</v>
      </c>
      <c r="B202" s="45" t="s">
        <v>6572</v>
      </c>
      <c r="C202" s="45" t="s">
        <v>6982</v>
      </c>
      <c r="D202" s="45" t="s">
        <v>6690</v>
      </c>
      <c r="E202" s="44" t="s">
        <v>6984</v>
      </c>
      <c r="F202" s="37">
        <v>1</v>
      </c>
      <c r="G202" s="37" t="s">
        <v>6864</v>
      </c>
      <c r="H202" s="63">
        <v>51923.3</v>
      </c>
    </row>
    <row r="203" spans="1:8" ht="24.75" customHeight="1">
      <c r="A203" s="44" t="s">
        <v>6669</v>
      </c>
      <c r="B203" s="45" t="s">
        <v>6670</v>
      </c>
      <c r="C203" s="45" t="s">
        <v>6982</v>
      </c>
      <c r="D203" s="45" t="s">
        <v>6690</v>
      </c>
      <c r="E203" s="44" t="s">
        <v>6984</v>
      </c>
      <c r="F203" s="37">
        <v>1</v>
      </c>
      <c r="G203" s="37" t="s">
        <v>6864</v>
      </c>
      <c r="H203" s="63">
        <v>51923.3</v>
      </c>
    </row>
    <row r="204" spans="1:8" ht="24.75" customHeight="1">
      <c r="A204" s="44" t="s">
        <v>6573</v>
      </c>
      <c r="B204" s="45" t="s">
        <v>6574</v>
      </c>
      <c r="C204" s="45" t="s">
        <v>6982</v>
      </c>
      <c r="D204" s="45" t="s">
        <v>6690</v>
      </c>
      <c r="E204" s="44" t="s">
        <v>6984</v>
      </c>
      <c r="F204" s="37">
        <v>1</v>
      </c>
      <c r="G204" s="37" t="s">
        <v>6864</v>
      </c>
      <c r="H204" s="63">
        <v>51923.3</v>
      </c>
    </row>
    <row r="205" spans="1:8" ht="24.75" customHeight="1">
      <c r="A205" s="44" t="s">
        <v>6575</v>
      </c>
      <c r="B205" s="45" t="s">
        <v>6576</v>
      </c>
      <c r="C205" s="45" t="s">
        <v>6982</v>
      </c>
      <c r="D205" s="45" t="s">
        <v>6690</v>
      </c>
      <c r="E205" s="44" t="s">
        <v>6984</v>
      </c>
      <c r="F205" s="37">
        <v>1</v>
      </c>
      <c r="G205" s="37" t="s">
        <v>6864</v>
      </c>
      <c r="H205" s="63">
        <v>51923.3</v>
      </c>
    </row>
    <row r="206" spans="1:8" ht="24.75" customHeight="1">
      <c r="A206" s="44" t="s">
        <v>6577</v>
      </c>
      <c r="B206" s="45" t="s">
        <v>6578</v>
      </c>
      <c r="C206" s="45" t="s">
        <v>6982</v>
      </c>
      <c r="D206" s="45" t="s">
        <v>6690</v>
      </c>
      <c r="E206" s="44" t="s">
        <v>6984</v>
      </c>
      <c r="F206" s="37">
        <v>1</v>
      </c>
      <c r="G206" s="37" t="s">
        <v>6864</v>
      </c>
      <c r="H206" s="63">
        <v>51923.3</v>
      </c>
    </row>
    <row r="207" spans="1:8" ht="24.75" customHeight="1">
      <c r="A207" s="44" t="s">
        <v>6579</v>
      </c>
      <c r="B207" s="45" t="s">
        <v>6580</v>
      </c>
      <c r="C207" s="45" t="s">
        <v>6982</v>
      </c>
      <c r="D207" s="45" t="s">
        <v>6690</v>
      </c>
      <c r="E207" s="44" t="s">
        <v>6984</v>
      </c>
      <c r="F207" s="37">
        <v>1</v>
      </c>
      <c r="G207" s="37" t="s">
        <v>6864</v>
      </c>
      <c r="H207" s="63">
        <v>51923.3</v>
      </c>
    </row>
    <row r="208" spans="1:8" ht="24.75" customHeight="1">
      <c r="A208" s="44" t="s">
        <v>6581</v>
      </c>
      <c r="B208" s="45" t="s">
        <v>6582</v>
      </c>
      <c r="C208" s="45" t="s">
        <v>6982</v>
      </c>
      <c r="D208" s="45" t="s">
        <v>6690</v>
      </c>
      <c r="E208" s="44" t="s">
        <v>6984</v>
      </c>
      <c r="F208" s="37">
        <v>1</v>
      </c>
      <c r="G208" s="37" t="s">
        <v>6864</v>
      </c>
      <c r="H208" s="63">
        <v>51923.3</v>
      </c>
    </row>
    <row r="209" spans="1:8" ht="24.75" customHeight="1">
      <c r="A209" s="44" t="s">
        <v>6583</v>
      </c>
      <c r="B209" s="45" t="s">
        <v>6584</v>
      </c>
      <c r="C209" s="45" t="s">
        <v>6982</v>
      </c>
      <c r="D209" s="45" t="s">
        <v>6690</v>
      </c>
      <c r="E209" s="44" t="s">
        <v>6984</v>
      </c>
      <c r="F209" s="37">
        <v>1</v>
      </c>
      <c r="G209" s="37" t="s">
        <v>6864</v>
      </c>
      <c r="H209" s="63">
        <v>51923.3</v>
      </c>
    </row>
    <row r="210" spans="1:8" ht="24.75" customHeight="1">
      <c r="A210" s="44" t="s">
        <v>6585</v>
      </c>
      <c r="B210" s="45" t="s">
        <v>6586</v>
      </c>
      <c r="C210" s="45" t="s">
        <v>6982</v>
      </c>
      <c r="D210" s="45" t="s">
        <v>6690</v>
      </c>
      <c r="E210" s="44" t="s">
        <v>6984</v>
      </c>
      <c r="F210" s="37">
        <v>1</v>
      </c>
      <c r="G210" s="37" t="s">
        <v>6864</v>
      </c>
      <c r="H210" s="63">
        <v>51923.3</v>
      </c>
    </row>
    <row r="211" spans="1:8" ht="24.75" customHeight="1">
      <c r="A211" s="44" t="s">
        <v>6587</v>
      </c>
      <c r="B211" s="45" t="s">
        <v>6588</v>
      </c>
      <c r="C211" s="45" t="s">
        <v>6982</v>
      </c>
      <c r="D211" s="45" t="s">
        <v>6690</v>
      </c>
      <c r="E211" s="44" t="s">
        <v>6984</v>
      </c>
      <c r="F211" s="37">
        <v>1</v>
      </c>
      <c r="G211" s="37" t="s">
        <v>6864</v>
      </c>
      <c r="H211" s="63">
        <v>51923.3</v>
      </c>
    </row>
    <row r="212" spans="1:8" ht="24.75" customHeight="1">
      <c r="A212" s="44" t="s">
        <v>6589</v>
      </c>
      <c r="B212" s="45" t="s">
        <v>6590</v>
      </c>
      <c r="C212" s="45" t="s">
        <v>6982</v>
      </c>
      <c r="D212" s="45" t="s">
        <v>6690</v>
      </c>
      <c r="E212" s="44" t="s">
        <v>6984</v>
      </c>
      <c r="F212" s="37">
        <v>1</v>
      </c>
      <c r="G212" s="37" t="s">
        <v>6864</v>
      </c>
      <c r="H212" s="63">
        <v>59845.5</v>
      </c>
    </row>
    <row r="213" spans="1:8" ht="24.75" customHeight="1">
      <c r="A213" s="44" t="s">
        <v>6591</v>
      </c>
      <c r="B213" s="45" t="s">
        <v>6592</v>
      </c>
      <c r="C213" s="45" t="s">
        <v>6982</v>
      </c>
      <c r="D213" s="45" t="s">
        <v>6690</v>
      </c>
      <c r="E213" s="44" t="s">
        <v>6984</v>
      </c>
      <c r="F213" s="37">
        <v>1</v>
      </c>
      <c r="G213" s="37" t="s">
        <v>6864</v>
      </c>
      <c r="H213" s="63">
        <v>59845.5</v>
      </c>
    </row>
    <row r="214" spans="1:8" ht="24.75" customHeight="1">
      <c r="A214" s="44" t="s">
        <v>6593</v>
      </c>
      <c r="B214" s="45" t="s">
        <v>6594</v>
      </c>
      <c r="C214" s="45" t="s">
        <v>6982</v>
      </c>
      <c r="D214" s="45" t="s">
        <v>6690</v>
      </c>
      <c r="E214" s="44" t="s">
        <v>6984</v>
      </c>
      <c r="F214" s="37">
        <v>1</v>
      </c>
      <c r="G214" s="37" t="s">
        <v>6864</v>
      </c>
      <c r="H214" s="63">
        <v>59845.5</v>
      </c>
    </row>
    <row r="215" spans="1:8" ht="24.75" customHeight="1">
      <c r="A215" s="44" t="s">
        <v>6595</v>
      </c>
      <c r="B215" s="45" t="s">
        <v>6596</v>
      </c>
      <c r="C215" s="45" t="s">
        <v>6982</v>
      </c>
      <c r="D215" s="45" t="s">
        <v>6690</v>
      </c>
      <c r="E215" s="44" t="s">
        <v>6984</v>
      </c>
      <c r="F215" s="37">
        <v>1</v>
      </c>
      <c r="G215" s="37" t="s">
        <v>6864</v>
      </c>
      <c r="H215" s="63">
        <v>59845.5</v>
      </c>
    </row>
    <row r="216" spans="1:8" ht="24.75" customHeight="1">
      <c r="A216" s="44" t="s">
        <v>6597</v>
      </c>
      <c r="B216" s="45" t="s">
        <v>6598</v>
      </c>
      <c r="C216" s="45" t="s">
        <v>6982</v>
      </c>
      <c r="D216" s="45" t="s">
        <v>6690</v>
      </c>
      <c r="E216" s="44" t="s">
        <v>6984</v>
      </c>
      <c r="F216" s="37">
        <v>1</v>
      </c>
      <c r="G216" s="37" t="s">
        <v>6864</v>
      </c>
      <c r="H216" s="63">
        <v>59845.5</v>
      </c>
    </row>
    <row r="217" spans="1:8" ht="24.75" customHeight="1">
      <c r="A217" s="44" t="s">
        <v>6599</v>
      </c>
      <c r="B217" s="45" t="s">
        <v>6600</v>
      </c>
      <c r="C217" s="45" t="s">
        <v>6982</v>
      </c>
      <c r="D217" s="45" t="s">
        <v>6690</v>
      </c>
      <c r="E217" s="44" t="s">
        <v>6984</v>
      </c>
      <c r="F217" s="37">
        <v>1</v>
      </c>
      <c r="G217" s="37" t="s">
        <v>6864</v>
      </c>
      <c r="H217" s="63">
        <v>59845.5</v>
      </c>
    </row>
    <row r="218" spans="1:8" ht="24.75" customHeight="1">
      <c r="A218" s="44" t="s">
        <v>6601</v>
      </c>
      <c r="B218" s="45" t="s">
        <v>6602</v>
      </c>
      <c r="C218" s="45" t="s">
        <v>6982</v>
      </c>
      <c r="D218" s="45" t="s">
        <v>6690</v>
      </c>
      <c r="E218" s="44" t="s">
        <v>6984</v>
      </c>
      <c r="F218" s="37">
        <v>1</v>
      </c>
      <c r="G218" s="37" t="s">
        <v>6864</v>
      </c>
      <c r="H218" s="63">
        <v>59845.5</v>
      </c>
    </row>
    <row r="219" spans="1:8" ht="24.75" customHeight="1">
      <c r="A219" s="44" t="s">
        <v>6603</v>
      </c>
      <c r="B219" s="45" t="s">
        <v>6604</v>
      </c>
      <c r="C219" s="45" t="s">
        <v>6982</v>
      </c>
      <c r="D219" s="45" t="s">
        <v>6690</v>
      </c>
      <c r="E219" s="44" t="s">
        <v>6984</v>
      </c>
      <c r="F219" s="37">
        <v>1</v>
      </c>
      <c r="G219" s="37" t="s">
        <v>6864</v>
      </c>
      <c r="H219" s="63">
        <v>59845.5</v>
      </c>
    </row>
    <row r="220" spans="1:8" ht="24.75" customHeight="1">
      <c r="A220" s="44" t="s">
        <v>6454</v>
      </c>
      <c r="B220" s="45" t="s">
        <v>6461</v>
      </c>
      <c r="C220" s="45" t="s">
        <v>6982</v>
      </c>
      <c r="D220" s="45" t="s">
        <v>6690</v>
      </c>
      <c r="E220" s="44" t="s">
        <v>6846</v>
      </c>
      <c r="F220" s="37">
        <v>1</v>
      </c>
      <c r="G220" s="37" t="s">
        <v>6864</v>
      </c>
      <c r="H220" s="63">
        <v>57778</v>
      </c>
    </row>
    <row r="221" spans="1:8" ht="24.75" customHeight="1">
      <c r="A221" s="44" t="s">
        <v>6453</v>
      </c>
      <c r="B221" s="45" t="s">
        <v>6460</v>
      </c>
      <c r="C221" s="45" t="s">
        <v>6982</v>
      </c>
      <c r="D221" s="45" t="s">
        <v>6690</v>
      </c>
      <c r="E221" s="44" t="s">
        <v>6846</v>
      </c>
      <c r="F221" s="37">
        <v>1</v>
      </c>
      <c r="G221" s="37" t="s">
        <v>6864</v>
      </c>
      <c r="H221" s="63">
        <v>57778</v>
      </c>
    </row>
    <row r="222" spans="1:8" ht="24.75" customHeight="1">
      <c r="A222" s="44" t="s">
        <v>6457</v>
      </c>
      <c r="B222" s="45" t="s">
        <v>6464</v>
      </c>
      <c r="C222" s="45" t="s">
        <v>6982</v>
      </c>
      <c r="D222" s="45" t="s">
        <v>6690</v>
      </c>
      <c r="E222" s="44" t="s">
        <v>6846</v>
      </c>
      <c r="F222" s="37">
        <v>1</v>
      </c>
      <c r="G222" s="37" t="s">
        <v>6864</v>
      </c>
      <c r="H222" s="63">
        <v>57778</v>
      </c>
    </row>
    <row r="223" spans="1:8" ht="24.75" customHeight="1">
      <c r="A223" s="44" t="s">
        <v>6456</v>
      </c>
      <c r="B223" s="45" t="s">
        <v>6463</v>
      </c>
      <c r="C223" s="45" t="s">
        <v>6982</v>
      </c>
      <c r="D223" s="45" t="s">
        <v>6690</v>
      </c>
      <c r="E223" s="44" t="s">
        <v>6846</v>
      </c>
      <c r="F223" s="37">
        <v>1</v>
      </c>
      <c r="G223" s="37" t="s">
        <v>6864</v>
      </c>
      <c r="H223" s="63">
        <v>57778</v>
      </c>
    </row>
    <row r="224" spans="1:8" ht="24.75" customHeight="1">
      <c r="A224" s="44" t="s">
        <v>6455</v>
      </c>
      <c r="B224" s="45" t="s">
        <v>6462</v>
      </c>
      <c r="C224" s="45" t="s">
        <v>6982</v>
      </c>
      <c r="D224" s="45" t="s">
        <v>6690</v>
      </c>
      <c r="E224" s="44" t="s">
        <v>6846</v>
      </c>
      <c r="F224" s="37">
        <v>1</v>
      </c>
      <c r="G224" s="37" t="s">
        <v>6864</v>
      </c>
      <c r="H224" s="63">
        <v>57778</v>
      </c>
    </row>
    <row r="225" spans="1:8" ht="24.75" customHeight="1">
      <c r="A225" s="44" t="s">
        <v>6459</v>
      </c>
      <c r="B225" s="45" t="s">
        <v>6466</v>
      </c>
      <c r="C225" s="45" t="s">
        <v>6982</v>
      </c>
      <c r="D225" s="45" t="s">
        <v>6690</v>
      </c>
      <c r="E225" s="44" t="s">
        <v>6846</v>
      </c>
      <c r="F225" s="37">
        <v>1</v>
      </c>
      <c r="G225" s="37" t="s">
        <v>6864</v>
      </c>
      <c r="H225" s="63">
        <v>57778</v>
      </c>
    </row>
    <row r="226" spans="1:8" ht="24.75" customHeight="1">
      <c r="A226" s="44" t="s">
        <v>6458</v>
      </c>
      <c r="B226" s="45" t="s">
        <v>6465</v>
      </c>
      <c r="C226" s="45" t="s">
        <v>6982</v>
      </c>
      <c r="D226" s="45" t="s">
        <v>6690</v>
      </c>
      <c r="E226" s="44" t="s">
        <v>6846</v>
      </c>
      <c r="F226" s="37">
        <v>1</v>
      </c>
      <c r="G226" s="37" t="s">
        <v>6864</v>
      </c>
      <c r="H226" s="63">
        <v>57778</v>
      </c>
    </row>
    <row r="227" spans="1:8" ht="24.75" customHeight="1">
      <c r="A227" s="44" t="s">
        <v>6529</v>
      </c>
      <c r="B227" s="45" t="s">
        <v>6530</v>
      </c>
      <c r="C227" s="45" t="s">
        <v>6982</v>
      </c>
      <c r="D227" s="45" t="s">
        <v>6690</v>
      </c>
      <c r="E227" s="44" t="s">
        <v>6984</v>
      </c>
      <c r="F227" s="37">
        <v>1</v>
      </c>
      <c r="G227" s="37" t="s">
        <v>6864</v>
      </c>
      <c r="H227" s="63">
        <v>40383.199999999997</v>
      </c>
    </row>
    <row r="228" spans="1:8" ht="24.75" customHeight="1">
      <c r="A228" s="44" t="s">
        <v>6531</v>
      </c>
      <c r="B228" s="45" t="s">
        <v>6532</v>
      </c>
      <c r="C228" s="45" t="s">
        <v>6982</v>
      </c>
      <c r="D228" s="45" t="s">
        <v>6690</v>
      </c>
      <c r="E228" s="44" t="s">
        <v>6984</v>
      </c>
      <c r="F228" s="37">
        <v>1</v>
      </c>
      <c r="G228" s="37" t="s">
        <v>6864</v>
      </c>
      <c r="H228" s="63">
        <v>40383.199999999997</v>
      </c>
    </row>
    <row r="229" spans="1:8" ht="24.75" customHeight="1">
      <c r="A229" s="44" t="s">
        <v>6533</v>
      </c>
      <c r="B229" s="45" t="s">
        <v>6534</v>
      </c>
      <c r="C229" s="45" t="s">
        <v>6982</v>
      </c>
      <c r="D229" s="45" t="s">
        <v>6690</v>
      </c>
      <c r="E229" s="44" t="s">
        <v>6984</v>
      </c>
      <c r="F229" s="37">
        <v>1</v>
      </c>
      <c r="G229" s="37" t="s">
        <v>6864</v>
      </c>
      <c r="H229" s="63">
        <v>40383.199999999997</v>
      </c>
    </row>
    <row r="230" spans="1:8" ht="24.75" customHeight="1">
      <c r="A230" s="44" t="s">
        <v>596</v>
      </c>
      <c r="B230" s="45" t="s">
        <v>6155</v>
      </c>
      <c r="C230" s="45" t="s">
        <v>6982</v>
      </c>
      <c r="D230" s="45" t="s">
        <v>6690</v>
      </c>
      <c r="E230" s="44" t="s">
        <v>6845</v>
      </c>
      <c r="F230" s="37">
        <v>1</v>
      </c>
      <c r="G230" s="37" t="s">
        <v>6864</v>
      </c>
      <c r="H230" s="63">
        <v>22341</v>
      </c>
    </row>
    <row r="231" spans="1:8" ht="24.75" customHeight="1">
      <c r="A231" s="44" t="s">
        <v>1155</v>
      </c>
      <c r="B231" s="45" t="s">
        <v>6152</v>
      </c>
      <c r="C231" s="45" t="s">
        <v>6982</v>
      </c>
      <c r="D231" s="45" t="s">
        <v>6690</v>
      </c>
      <c r="E231" s="44" t="s">
        <v>6845</v>
      </c>
      <c r="F231" s="37">
        <v>1</v>
      </c>
      <c r="G231" s="37" t="s">
        <v>6864</v>
      </c>
      <c r="H231" s="63">
        <v>22341</v>
      </c>
    </row>
    <row r="232" spans="1:8" ht="24.75" customHeight="1">
      <c r="A232" s="44" t="s">
        <v>137</v>
      </c>
      <c r="B232" s="45" t="s">
        <v>6149</v>
      </c>
      <c r="C232" s="45" t="s">
        <v>6982</v>
      </c>
      <c r="D232" s="45" t="s">
        <v>6690</v>
      </c>
      <c r="E232" s="44" t="s">
        <v>6845</v>
      </c>
      <c r="F232" s="37">
        <v>1</v>
      </c>
      <c r="G232" s="37" t="s">
        <v>6864</v>
      </c>
      <c r="H232" s="63">
        <v>22341</v>
      </c>
    </row>
    <row r="233" spans="1:8" ht="24.75" customHeight="1">
      <c r="A233" s="44" t="s">
        <v>1135</v>
      </c>
      <c r="B233" s="45" t="s">
        <v>6158</v>
      </c>
      <c r="C233" s="45" t="s">
        <v>6982</v>
      </c>
      <c r="D233" s="45" t="s">
        <v>6690</v>
      </c>
      <c r="E233" s="44" t="s">
        <v>6845</v>
      </c>
      <c r="F233" s="37">
        <v>1</v>
      </c>
      <c r="G233" s="37" t="s">
        <v>6864</v>
      </c>
      <c r="H233" s="63">
        <v>22341</v>
      </c>
    </row>
    <row r="234" spans="1:8" ht="24.75" customHeight="1">
      <c r="A234" s="44" t="s">
        <v>2435</v>
      </c>
      <c r="B234" s="45" t="s">
        <v>6159</v>
      </c>
      <c r="C234" s="45" t="s">
        <v>6982</v>
      </c>
      <c r="D234" s="45" t="s">
        <v>6690</v>
      </c>
      <c r="E234" s="44" t="s">
        <v>6845</v>
      </c>
      <c r="F234" s="37">
        <v>1</v>
      </c>
      <c r="G234" s="37" t="s">
        <v>6864</v>
      </c>
      <c r="H234" s="63">
        <v>23412</v>
      </c>
    </row>
    <row r="235" spans="1:8" ht="24.75" customHeight="1">
      <c r="A235" s="44" t="s">
        <v>2955</v>
      </c>
      <c r="B235" s="45" t="s">
        <v>6161</v>
      </c>
      <c r="C235" s="45" t="s">
        <v>6982</v>
      </c>
      <c r="D235" s="45" t="s">
        <v>6690</v>
      </c>
      <c r="E235" s="44" t="s">
        <v>6845</v>
      </c>
      <c r="F235" s="37">
        <v>1</v>
      </c>
      <c r="G235" s="37" t="s">
        <v>6864</v>
      </c>
      <c r="H235" s="63">
        <v>23412</v>
      </c>
    </row>
    <row r="236" spans="1:8" ht="24.75" customHeight="1">
      <c r="A236" s="44" t="s">
        <v>6519</v>
      </c>
      <c r="B236" s="45" t="s">
        <v>6520</v>
      </c>
      <c r="C236" s="45" t="s">
        <v>6982</v>
      </c>
      <c r="D236" s="45" t="s">
        <v>6690</v>
      </c>
      <c r="E236" s="44" t="s">
        <v>6845</v>
      </c>
      <c r="F236" s="37">
        <v>1</v>
      </c>
      <c r="G236" s="37" t="s">
        <v>6864</v>
      </c>
      <c r="H236" s="63">
        <v>23412</v>
      </c>
    </row>
    <row r="237" spans="1:8" ht="24.75" customHeight="1">
      <c r="A237" s="44" t="s">
        <v>215</v>
      </c>
      <c r="B237" s="45" t="s">
        <v>6160</v>
      </c>
      <c r="C237" s="45" t="s">
        <v>6982</v>
      </c>
      <c r="D237" s="45" t="s">
        <v>6690</v>
      </c>
      <c r="E237" s="44" t="s">
        <v>6845</v>
      </c>
      <c r="F237" s="37">
        <v>8</v>
      </c>
      <c r="G237" s="37" t="s">
        <v>6864</v>
      </c>
      <c r="H237" s="63">
        <v>23412</v>
      </c>
    </row>
    <row r="238" spans="1:8" ht="24.75" customHeight="1">
      <c r="A238" s="44" t="s">
        <v>595</v>
      </c>
      <c r="B238" s="45" t="s">
        <v>6154</v>
      </c>
      <c r="C238" s="45" t="s">
        <v>6982</v>
      </c>
      <c r="D238" s="45" t="s">
        <v>6690</v>
      </c>
      <c r="E238" s="44" t="s">
        <v>6845</v>
      </c>
      <c r="F238" s="37">
        <v>1</v>
      </c>
      <c r="G238" s="37" t="s">
        <v>6864</v>
      </c>
      <c r="H238" s="63">
        <v>22341</v>
      </c>
    </row>
    <row r="239" spans="1:8" ht="24.75" customHeight="1">
      <c r="A239" s="44" t="s">
        <v>1154</v>
      </c>
      <c r="B239" s="45" t="s">
        <v>6151</v>
      </c>
      <c r="C239" s="45" t="s">
        <v>6982</v>
      </c>
      <c r="D239" s="45" t="s">
        <v>6690</v>
      </c>
      <c r="E239" s="44" t="s">
        <v>6845</v>
      </c>
      <c r="F239" s="37">
        <v>1</v>
      </c>
      <c r="G239" s="37" t="s">
        <v>6864</v>
      </c>
      <c r="H239" s="63">
        <v>22341</v>
      </c>
    </row>
    <row r="240" spans="1:8" ht="24.75" customHeight="1">
      <c r="A240" s="44" t="s">
        <v>136</v>
      </c>
      <c r="B240" s="45" t="s">
        <v>6148</v>
      </c>
      <c r="C240" s="45" t="s">
        <v>6982</v>
      </c>
      <c r="D240" s="45" t="s">
        <v>6690</v>
      </c>
      <c r="E240" s="44" t="s">
        <v>6845</v>
      </c>
      <c r="F240" s="37">
        <v>1</v>
      </c>
      <c r="G240" s="37" t="s">
        <v>6864</v>
      </c>
      <c r="H240" s="63">
        <v>22341</v>
      </c>
    </row>
    <row r="241" spans="1:8" ht="24.75" customHeight="1">
      <c r="A241" s="44" t="s">
        <v>623</v>
      </c>
      <c r="B241" s="45" t="s">
        <v>6157</v>
      </c>
      <c r="C241" s="45" t="s">
        <v>6982</v>
      </c>
      <c r="D241" s="45" t="s">
        <v>6690</v>
      </c>
      <c r="E241" s="44" t="s">
        <v>6845</v>
      </c>
      <c r="F241" s="37">
        <v>1</v>
      </c>
      <c r="G241" s="37" t="s">
        <v>6864</v>
      </c>
      <c r="H241" s="63">
        <v>22341</v>
      </c>
    </row>
    <row r="242" spans="1:8" ht="24.75" customHeight="1">
      <c r="A242" s="44" t="s">
        <v>173</v>
      </c>
      <c r="B242" s="45" t="s">
        <v>6153</v>
      </c>
      <c r="C242" s="45" t="s">
        <v>6982</v>
      </c>
      <c r="D242" s="45" t="s">
        <v>6690</v>
      </c>
      <c r="E242" s="44" t="s">
        <v>6845</v>
      </c>
      <c r="F242" s="37">
        <v>1</v>
      </c>
      <c r="G242" s="37" t="s">
        <v>6864</v>
      </c>
      <c r="H242" s="63">
        <v>22341</v>
      </c>
    </row>
    <row r="243" spans="1:8" ht="24.75" customHeight="1">
      <c r="A243" s="44" t="s">
        <v>1153</v>
      </c>
      <c r="B243" s="45" t="s">
        <v>6150</v>
      </c>
      <c r="C243" s="45" t="s">
        <v>6982</v>
      </c>
      <c r="D243" s="45" t="s">
        <v>6690</v>
      </c>
      <c r="E243" s="44" t="s">
        <v>6845</v>
      </c>
      <c r="F243" s="37">
        <v>1</v>
      </c>
      <c r="G243" s="37" t="s">
        <v>6864</v>
      </c>
      <c r="H243" s="63">
        <v>22341</v>
      </c>
    </row>
    <row r="244" spans="1:8" ht="24.75" customHeight="1">
      <c r="A244" s="44" t="s">
        <v>135</v>
      </c>
      <c r="B244" s="45" t="s">
        <v>6147</v>
      </c>
      <c r="C244" s="45" t="s">
        <v>6982</v>
      </c>
      <c r="D244" s="45" t="s">
        <v>6690</v>
      </c>
      <c r="E244" s="44" t="s">
        <v>6845</v>
      </c>
      <c r="F244" s="37">
        <v>1</v>
      </c>
      <c r="G244" s="37" t="s">
        <v>6864</v>
      </c>
      <c r="H244" s="63">
        <v>22341</v>
      </c>
    </row>
    <row r="245" spans="1:8" ht="24.75" customHeight="1">
      <c r="A245" s="44" t="s">
        <v>597</v>
      </c>
      <c r="B245" s="45" t="s">
        <v>6156</v>
      </c>
      <c r="C245" s="45" t="s">
        <v>6982</v>
      </c>
      <c r="D245" s="45" t="s">
        <v>6690</v>
      </c>
      <c r="E245" s="44" t="s">
        <v>6845</v>
      </c>
      <c r="F245" s="37">
        <v>1</v>
      </c>
      <c r="G245" s="37" t="s">
        <v>6864</v>
      </c>
      <c r="H245" s="63">
        <v>22341</v>
      </c>
    </row>
    <row r="246" spans="1:8" ht="24.75" customHeight="1">
      <c r="A246" s="44" t="s">
        <v>2084</v>
      </c>
      <c r="B246" s="45" t="s">
        <v>6200</v>
      </c>
      <c r="C246" s="45" t="s">
        <v>6982</v>
      </c>
      <c r="D246" s="45" t="s">
        <v>6690</v>
      </c>
      <c r="E246" s="44" t="s">
        <v>6845</v>
      </c>
      <c r="F246" s="37">
        <v>1</v>
      </c>
      <c r="G246" s="37" t="s">
        <v>6864</v>
      </c>
      <c r="H246" s="63">
        <v>28467</v>
      </c>
    </row>
    <row r="247" spans="1:8" ht="24.75" customHeight="1">
      <c r="A247" s="44" t="s">
        <v>2083</v>
      </c>
      <c r="B247" s="45" t="s">
        <v>6196</v>
      </c>
      <c r="C247" s="45" t="s">
        <v>6982</v>
      </c>
      <c r="D247" s="45" t="s">
        <v>6690</v>
      </c>
      <c r="E247" s="44" t="s">
        <v>6845</v>
      </c>
      <c r="F247" s="37">
        <v>1</v>
      </c>
      <c r="G247" s="37" t="s">
        <v>6864</v>
      </c>
      <c r="H247" s="63">
        <v>28467</v>
      </c>
    </row>
    <row r="248" spans="1:8" ht="24.75" customHeight="1">
      <c r="A248" s="44" t="s">
        <v>2082</v>
      </c>
      <c r="B248" s="45" t="s">
        <v>6192</v>
      </c>
      <c r="C248" s="45" t="s">
        <v>6982</v>
      </c>
      <c r="D248" s="45" t="s">
        <v>6690</v>
      </c>
      <c r="E248" s="44" t="s">
        <v>6845</v>
      </c>
      <c r="F248" s="37">
        <v>1</v>
      </c>
      <c r="G248" s="37" t="s">
        <v>6864</v>
      </c>
      <c r="H248" s="63">
        <v>28467</v>
      </c>
    </row>
    <row r="249" spans="1:8" ht="24.75" customHeight="1">
      <c r="A249" s="44" t="s">
        <v>2085</v>
      </c>
      <c r="B249" s="45" t="s">
        <v>6204</v>
      </c>
      <c r="C249" s="45" t="s">
        <v>6982</v>
      </c>
      <c r="D249" s="45" t="s">
        <v>6690</v>
      </c>
      <c r="E249" s="44" t="s">
        <v>6845</v>
      </c>
      <c r="F249" s="37">
        <v>1</v>
      </c>
      <c r="G249" s="37" t="s">
        <v>6864</v>
      </c>
      <c r="H249" s="63">
        <v>28467</v>
      </c>
    </row>
    <row r="250" spans="1:8" ht="24.75" customHeight="1">
      <c r="A250" s="44" t="s">
        <v>2305</v>
      </c>
      <c r="B250" s="45" t="s">
        <v>6201</v>
      </c>
      <c r="C250" s="45" t="s">
        <v>6982</v>
      </c>
      <c r="D250" s="45" t="s">
        <v>6690</v>
      </c>
      <c r="E250" s="44" t="s">
        <v>6845</v>
      </c>
      <c r="F250" s="37">
        <v>1</v>
      </c>
      <c r="G250" s="37" t="s">
        <v>6864</v>
      </c>
      <c r="H250" s="63">
        <v>28467</v>
      </c>
    </row>
    <row r="251" spans="1:8" ht="24.75" customHeight="1">
      <c r="A251" s="44" t="s">
        <v>2304</v>
      </c>
      <c r="B251" s="45" t="s">
        <v>6197</v>
      </c>
      <c r="C251" s="45" t="s">
        <v>6982</v>
      </c>
      <c r="D251" s="45" t="s">
        <v>6690</v>
      </c>
      <c r="E251" s="44" t="s">
        <v>6845</v>
      </c>
      <c r="F251" s="37">
        <v>1</v>
      </c>
      <c r="G251" s="37" t="s">
        <v>6864</v>
      </c>
      <c r="H251" s="63">
        <v>28467</v>
      </c>
    </row>
    <row r="252" spans="1:8" ht="24.75" customHeight="1">
      <c r="A252" s="44" t="s">
        <v>2303</v>
      </c>
      <c r="B252" s="45" t="s">
        <v>6193</v>
      </c>
      <c r="C252" s="45" t="s">
        <v>6982</v>
      </c>
      <c r="D252" s="45" t="s">
        <v>6690</v>
      </c>
      <c r="E252" s="44" t="s">
        <v>6845</v>
      </c>
      <c r="F252" s="37">
        <v>1</v>
      </c>
      <c r="G252" s="37" t="s">
        <v>6864</v>
      </c>
      <c r="H252" s="63">
        <v>28467</v>
      </c>
    </row>
    <row r="253" spans="1:8" ht="24.75" customHeight="1">
      <c r="A253" s="44" t="s">
        <v>2306</v>
      </c>
      <c r="B253" s="45" t="s">
        <v>6205</v>
      </c>
      <c r="C253" s="45" t="s">
        <v>6982</v>
      </c>
      <c r="D253" s="45" t="s">
        <v>6690</v>
      </c>
      <c r="E253" s="44" t="s">
        <v>6845</v>
      </c>
      <c r="F253" s="37">
        <v>1</v>
      </c>
      <c r="G253" s="37" t="s">
        <v>6864</v>
      </c>
      <c r="H253" s="63">
        <v>28467</v>
      </c>
    </row>
    <row r="254" spans="1:8" ht="24.75" customHeight="1">
      <c r="A254" s="44" t="s">
        <v>2076</v>
      </c>
      <c r="B254" s="45" t="s">
        <v>6199</v>
      </c>
      <c r="C254" s="45" t="s">
        <v>6982</v>
      </c>
      <c r="D254" s="45" t="s">
        <v>6690</v>
      </c>
      <c r="E254" s="44" t="s">
        <v>6845</v>
      </c>
      <c r="F254" s="37">
        <v>1</v>
      </c>
      <c r="G254" s="37" t="s">
        <v>6864</v>
      </c>
      <c r="H254" s="63">
        <v>28467</v>
      </c>
    </row>
    <row r="255" spans="1:8" ht="24.75" customHeight="1">
      <c r="A255" s="44" t="s">
        <v>2075</v>
      </c>
      <c r="B255" s="45" t="s">
        <v>6195</v>
      </c>
      <c r="C255" s="45" t="s">
        <v>6982</v>
      </c>
      <c r="D255" s="45" t="s">
        <v>6690</v>
      </c>
      <c r="E255" s="44" t="s">
        <v>6845</v>
      </c>
      <c r="F255" s="37">
        <v>1</v>
      </c>
      <c r="G255" s="37" t="s">
        <v>6864</v>
      </c>
      <c r="H255" s="63">
        <v>28467</v>
      </c>
    </row>
    <row r="256" spans="1:8" ht="24.75" customHeight="1">
      <c r="A256" s="44" t="s">
        <v>2074</v>
      </c>
      <c r="B256" s="45" t="s">
        <v>6191</v>
      </c>
      <c r="C256" s="45" t="s">
        <v>6982</v>
      </c>
      <c r="D256" s="45" t="s">
        <v>6690</v>
      </c>
      <c r="E256" s="44" t="s">
        <v>6845</v>
      </c>
      <c r="F256" s="37">
        <v>1</v>
      </c>
      <c r="G256" s="37" t="s">
        <v>6864</v>
      </c>
      <c r="H256" s="63">
        <v>28467</v>
      </c>
    </row>
    <row r="257" spans="1:8" ht="24.75" customHeight="1">
      <c r="A257" s="44" t="s">
        <v>2077</v>
      </c>
      <c r="B257" s="45" t="s">
        <v>6203</v>
      </c>
      <c r="C257" s="45" t="s">
        <v>6982</v>
      </c>
      <c r="D257" s="45" t="s">
        <v>6690</v>
      </c>
      <c r="E257" s="44" t="s">
        <v>6845</v>
      </c>
      <c r="F257" s="37">
        <v>1</v>
      </c>
      <c r="G257" s="37" t="s">
        <v>6864</v>
      </c>
      <c r="H257" s="63">
        <v>28467</v>
      </c>
    </row>
    <row r="258" spans="1:8" ht="24.75" customHeight="1">
      <c r="A258" s="44" t="s">
        <v>2080</v>
      </c>
      <c r="B258" s="45" t="s">
        <v>6198</v>
      </c>
      <c r="C258" s="45" t="s">
        <v>6982</v>
      </c>
      <c r="D258" s="45" t="s">
        <v>6690</v>
      </c>
      <c r="E258" s="44" t="s">
        <v>6845</v>
      </c>
      <c r="F258" s="37">
        <v>1</v>
      </c>
      <c r="G258" s="37" t="s">
        <v>6864</v>
      </c>
      <c r="H258" s="63">
        <v>28467</v>
      </c>
    </row>
    <row r="259" spans="1:8" ht="24.75" customHeight="1">
      <c r="A259" s="44" t="s">
        <v>2079</v>
      </c>
      <c r="B259" s="45" t="s">
        <v>6194</v>
      </c>
      <c r="C259" s="45" t="s">
        <v>6982</v>
      </c>
      <c r="D259" s="45" t="s">
        <v>6690</v>
      </c>
      <c r="E259" s="44" t="s">
        <v>6845</v>
      </c>
      <c r="F259" s="37">
        <v>1</v>
      </c>
      <c r="G259" s="37" t="s">
        <v>6864</v>
      </c>
      <c r="H259" s="63">
        <v>28467</v>
      </c>
    </row>
    <row r="260" spans="1:8" ht="24.75" customHeight="1">
      <c r="A260" s="44" t="s">
        <v>2078</v>
      </c>
      <c r="B260" s="45" t="s">
        <v>6190</v>
      </c>
      <c r="C260" s="45" t="s">
        <v>6982</v>
      </c>
      <c r="D260" s="45" t="s">
        <v>6690</v>
      </c>
      <c r="E260" s="44" t="s">
        <v>6845</v>
      </c>
      <c r="F260" s="37">
        <v>1</v>
      </c>
      <c r="G260" s="37" t="s">
        <v>6864</v>
      </c>
      <c r="H260" s="63">
        <v>28467</v>
      </c>
    </row>
    <row r="261" spans="1:8" ht="24.75" customHeight="1">
      <c r="A261" s="44" t="s">
        <v>2081</v>
      </c>
      <c r="B261" s="45" t="s">
        <v>6202</v>
      </c>
      <c r="C261" s="45" t="s">
        <v>6982</v>
      </c>
      <c r="D261" s="45" t="s">
        <v>6690</v>
      </c>
      <c r="E261" s="44" t="s">
        <v>6845</v>
      </c>
      <c r="F261" s="37">
        <v>1</v>
      </c>
      <c r="G261" s="37" t="s">
        <v>6864</v>
      </c>
      <c r="H261" s="63">
        <v>28467</v>
      </c>
    </row>
    <row r="262" spans="1:8" ht="24.75" customHeight="1">
      <c r="A262" s="44" t="s">
        <v>2894</v>
      </c>
      <c r="B262" s="45" t="s">
        <v>6272</v>
      </c>
      <c r="C262" s="45" t="s">
        <v>6982</v>
      </c>
      <c r="D262" s="45" t="s">
        <v>6690</v>
      </c>
      <c r="E262" s="44" t="s">
        <v>6846</v>
      </c>
      <c r="F262" s="37">
        <v>1</v>
      </c>
      <c r="G262" s="37" t="s">
        <v>6864</v>
      </c>
      <c r="H262" s="63">
        <v>42037</v>
      </c>
    </row>
    <row r="263" spans="1:8" ht="24.75" customHeight="1">
      <c r="A263" s="44" t="s">
        <v>2893</v>
      </c>
      <c r="B263" s="45" t="s">
        <v>6271</v>
      </c>
      <c r="C263" s="45" t="s">
        <v>6982</v>
      </c>
      <c r="D263" s="45" t="s">
        <v>6690</v>
      </c>
      <c r="E263" s="44" t="s">
        <v>6846</v>
      </c>
      <c r="F263" s="37">
        <v>1</v>
      </c>
      <c r="G263" s="37" t="s">
        <v>6864</v>
      </c>
      <c r="H263" s="63">
        <v>42037</v>
      </c>
    </row>
    <row r="264" spans="1:8" ht="24.75" customHeight="1">
      <c r="A264" s="44" t="s">
        <v>2892</v>
      </c>
      <c r="B264" s="45" t="s">
        <v>6270</v>
      </c>
      <c r="C264" s="45" t="s">
        <v>6982</v>
      </c>
      <c r="D264" s="45" t="s">
        <v>6690</v>
      </c>
      <c r="E264" s="44" t="s">
        <v>6846</v>
      </c>
      <c r="F264" s="37">
        <v>1</v>
      </c>
      <c r="G264" s="37" t="s">
        <v>6864</v>
      </c>
      <c r="H264" s="63">
        <v>42037</v>
      </c>
    </row>
    <row r="265" spans="1:8" ht="24.75" customHeight="1">
      <c r="A265" s="44" t="s">
        <v>2891</v>
      </c>
      <c r="B265" s="45" t="s">
        <v>6269</v>
      </c>
      <c r="C265" s="45" t="s">
        <v>6982</v>
      </c>
      <c r="D265" s="45" t="s">
        <v>6690</v>
      </c>
      <c r="E265" s="44" t="s">
        <v>6846</v>
      </c>
      <c r="F265" s="37">
        <v>1</v>
      </c>
      <c r="G265" s="37" t="s">
        <v>6864</v>
      </c>
      <c r="H265" s="63">
        <v>42037</v>
      </c>
    </row>
    <row r="266" spans="1:8" ht="24.75" customHeight="1">
      <c r="A266" s="44" t="s">
        <v>2890</v>
      </c>
      <c r="B266" s="45" t="s">
        <v>6268</v>
      </c>
      <c r="C266" s="45" t="s">
        <v>6982</v>
      </c>
      <c r="D266" s="45" t="s">
        <v>6690</v>
      </c>
      <c r="E266" s="44" t="s">
        <v>6846</v>
      </c>
      <c r="F266" s="37">
        <v>1</v>
      </c>
      <c r="G266" s="37" t="s">
        <v>6864</v>
      </c>
      <c r="H266" s="63">
        <v>42037</v>
      </c>
    </row>
    <row r="267" spans="1:8" ht="24.75" customHeight="1">
      <c r="A267" s="44" t="s">
        <v>2889</v>
      </c>
      <c r="B267" s="45" t="s">
        <v>6267</v>
      </c>
      <c r="C267" s="45" t="s">
        <v>6982</v>
      </c>
      <c r="D267" s="45" t="s">
        <v>6690</v>
      </c>
      <c r="E267" s="44" t="s">
        <v>6846</v>
      </c>
      <c r="F267" s="37">
        <v>1</v>
      </c>
      <c r="G267" s="37" t="s">
        <v>6864</v>
      </c>
      <c r="H267" s="63">
        <v>42037</v>
      </c>
    </row>
    <row r="268" spans="1:8" ht="24.75" customHeight="1">
      <c r="A268" s="44" t="s">
        <v>2875</v>
      </c>
      <c r="B268" s="45" t="s">
        <v>6226</v>
      </c>
      <c r="C268" s="45" t="s">
        <v>6982</v>
      </c>
      <c r="D268" s="45" t="s">
        <v>6690</v>
      </c>
      <c r="E268" s="44" t="s">
        <v>6846</v>
      </c>
      <c r="F268" s="37">
        <v>1</v>
      </c>
      <c r="G268" s="37" t="s">
        <v>6864</v>
      </c>
      <c r="H268" s="63">
        <v>55028</v>
      </c>
    </row>
    <row r="269" spans="1:8" ht="24.75" customHeight="1">
      <c r="A269" s="44" t="s">
        <v>2874</v>
      </c>
      <c r="B269" s="45" t="s">
        <v>6225</v>
      </c>
      <c r="C269" s="45" t="s">
        <v>6982</v>
      </c>
      <c r="D269" s="45" t="s">
        <v>6690</v>
      </c>
      <c r="E269" s="44" t="s">
        <v>6846</v>
      </c>
      <c r="F269" s="37">
        <v>1</v>
      </c>
      <c r="G269" s="37" t="s">
        <v>6864</v>
      </c>
      <c r="H269" s="63">
        <v>55028</v>
      </c>
    </row>
    <row r="270" spans="1:8" ht="24.75" customHeight="1">
      <c r="A270" s="44" t="s">
        <v>2873</v>
      </c>
      <c r="B270" s="45" t="s">
        <v>6224</v>
      </c>
      <c r="C270" s="45" t="s">
        <v>6982</v>
      </c>
      <c r="D270" s="45" t="s">
        <v>6690</v>
      </c>
      <c r="E270" s="44" t="s">
        <v>6846</v>
      </c>
      <c r="F270" s="37">
        <v>1</v>
      </c>
      <c r="G270" s="37" t="s">
        <v>6864</v>
      </c>
      <c r="H270" s="63">
        <v>55028</v>
      </c>
    </row>
    <row r="271" spans="1:8" ht="24.75" customHeight="1">
      <c r="A271" s="44" t="s">
        <v>2876</v>
      </c>
      <c r="B271" s="45" t="s">
        <v>6227</v>
      </c>
      <c r="C271" s="45" t="s">
        <v>6982</v>
      </c>
      <c r="D271" s="45" t="s">
        <v>6690</v>
      </c>
      <c r="E271" s="44" t="s">
        <v>6846</v>
      </c>
      <c r="F271" s="37">
        <v>1</v>
      </c>
      <c r="G271" s="37" t="s">
        <v>6864</v>
      </c>
      <c r="H271" s="63">
        <v>55028</v>
      </c>
    </row>
    <row r="272" spans="1:8" ht="24.75" customHeight="1">
      <c r="A272" s="44" t="s">
        <v>2871</v>
      </c>
      <c r="B272" s="45" t="s">
        <v>6253</v>
      </c>
      <c r="C272" s="45" t="s">
        <v>6982</v>
      </c>
      <c r="D272" s="45" t="s">
        <v>6690</v>
      </c>
      <c r="E272" s="44" t="s">
        <v>6846</v>
      </c>
      <c r="F272" s="37">
        <v>1</v>
      </c>
      <c r="G272" s="37" t="s">
        <v>6864</v>
      </c>
      <c r="H272" s="63">
        <v>55028</v>
      </c>
    </row>
    <row r="273" spans="1:8" ht="24.75" customHeight="1">
      <c r="A273" s="44" t="s">
        <v>2870</v>
      </c>
      <c r="B273" s="45" t="s">
        <v>6252</v>
      </c>
      <c r="C273" s="45" t="s">
        <v>6982</v>
      </c>
      <c r="D273" s="45" t="s">
        <v>6690</v>
      </c>
      <c r="E273" s="44" t="s">
        <v>6846</v>
      </c>
      <c r="F273" s="37">
        <v>1</v>
      </c>
      <c r="G273" s="37" t="s">
        <v>6864</v>
      </c>
      <c r="H273" s="63">
        <v>55028</v>
      </c>
    </row>
    <row r="274" spans="1:8" ht="24.75" customHeight="1">
      <c r="A274" s="44" t="s">
        <v>2869</v>
      </c>
      <c r="B274" s="45" t="s">
        <v>6251</v>
      </c>
      <c r="C274" s="45" t="s">
        <v>6982</v>
      </c>
      <c r="D274" s="45" t="s">
        <v>6690</v>
      </c>
      <c r="E274" s="44" t="s">
        <v>6846</v>
      </c>
      <c r="F274" s="37">
        <v>1</v>
      </c>
      <c r="G274" s="37" t="s">
        <v>6864</v>
      </c>
      <c r="H274" s="63">
        <v>55028</v>
      </c>
    </row>
    <row r="275" spans="1:8" ht="24.75" customHeight="1">
      <c r="A275" s="44" t="s">
        <v>2872</v>
      </c>
      <c r="B275" s="45" t="s">
        <v>6254</v>
      </c>
      <c r="C275" s="45" t="s">
        <v>6982</v>
      </c>
      <c r="D275" s="45" t="s">
        <v>6690</v>
      </c>
      <c r="E275" s="44" t="s">
        <v>6846</v>
      </c>
      <c r="F275" s="37">
        <v>1</v>
      </c>
      <c r="G275" s="37" t="s">
        <v>6864</v>
      </c>
      <c r="H275" s="63">
        <v>55028</v>
      </c>
    </row>
    <row r="276" spans="1:8" ht="24.75" customHeight="1">
      <c r="A276" s="44" t="s">
        <v>6492</v>
      </c>
      <c r="B276" s="45" t="s">
        <v>6495</v>
      </c>
      <c r="C276" s="45" t="s">
        <v>6982</v>
      </c>
      <c r="D276" s="45" t="s">
        <v>6690</v>
      </c>
      <c r="E276" s="44" t="s">
        <v>6846</v>
      </c>
      <c r="F276" s="37">
        <v>1</v>
      </c>
      <c r="G276" s="37" t="s">
        <v>6864</v>
      </c>
      <c r="H276" s="63">
        <v>55028</v>
      </c>
    </row>
    <row r="277" spans="1:8" ht="24.75" customHeight="1">
      <c r="A277" s="44" t="s">
        <v>6491</v>
      </c>
      <c r="B277" s="45" t="s">
        <v>6494</v>
      </c>
      <c r="C277" s="45" t="s">
        <v>6982</v>
      </c>
      <c r="D277" s="45" t="s">
        <v>6690</v>
      </c>
      <c r="E277" s="44" t="s">
        <v>6846</v>
      </c>
      <c r="F277" s="37">
        <v>1</v>
      </c>
      <c r="G277" s="37" t="s">
        <v>6864</v>
      </c>
      <c r="H277" s="63">
        <v>55028</v>
      </c>
    </row>
    <row r="278" spans="1:8" ht="24.75" customHeight="1">
      <c r="A278" s="44" t="s">
        <v>6493</v>
      </c>
      <c r="B278" s="45" t="s">
        <v>6496</v>
      </c>
      <c r="C278" s="45" t="s">
        <v>6982</v>
      </c>
      <c r="D278" s="45" t="s">
        <v>6690</v>
      </c>
      <c r="E278" s="44" t="s">
        <v>6846</v>
      </c>
      <c r="F278" s="37">
        <v>1</v>
      </c>
      <c r="G278" s="37" t="s">
        <v>6864</v>
      </c>
      <c r="H278" s="63">
        <v>55028</v>
      </c>
    </row>
    <row r="279" spans="1:8" ht="24.75" customHeight="1">
      <c r="A279" s="44" t="s">
        <v>6523</v>
      </c>
      <c r="B279" s="45" t="s">
        <v>6524</v>
      </c>
      <c r="C279" s="45" t="s">
        <v>6982</v>
      </c>
      <c r="D279" s="45" t="s">
        <v>6690</v>
      </c>
      <c r="E279" s="44" t="s">
        <v>6846</v>
      </c>
      <c r="F279" s="37">
        <v>1</v>
      </c>
      <c r="G279" s="37" t="s">
        <v>6864</v>
      </c>
      <c r="H279" s="63">
        <v>55028</v>
      </c>
    </row>
    <row r="280" spans="1:8" ht="24.75" customHeight="1">
      <c r="A280" s="44" t="s">
        <v>2273</v>
      </c>
      <c r="B280" s="45" t="s">
        <v>6239</v>
      </c>
      <c r="C280" s="45" t="s">
        <v>6982</v>
      </c>
      <c r="D280" s="45" t="s">
        <v>6690</v>
      </c>
      <c r="E280" s="44" t="s">
        <v>6846</v>
      </c>
      <c r="F280" s="37">
        <v>1</v>
      </c>
      <c r="G280" s="37" t="s">
        <v>6864</v>
      </c>
      <c r="H280" s="63">
        <v>46379</v>
      </c>
    </row>
    <row r="281" spans="1:8" ht="24.75" customHeight="1">
      <c r="A281" s="44" t="s">
        <v>2272</v>
      </c>
      <c r="B281" s="45" t="s">
        <v>6238</v>
      </c>
      <c r="C281" s="45" t="s">
        <v>6982</v>
      </c>
      <c r="D281" s="45" t="s">
        <v>6690</v>
      </c>
      <c r="E281" s="44" t="s">
        <v>6846</v>
      </c>
      <c r="F281" s="37">
        <v>1</v>
      </c>
      <c r="G281" s="37" t="s">
        <v>6864</v>
      </c>
      <c r="H281" s="63">
        <v>46379</v>
      </c>
    </row>
    <row r="282" spans="1:8" ht="24.75" customHeight="1">
      <c r="A282" s="44" t="s">
        <v>2271</v>
      </c>
      <c r="B282" s="45" t="s">
        <v>6237</v>
      </c>
      <c r="C282" s="45" t="s">
        <v>6982</v>
      </c>
      <c r="D282" s="45" t="s">
        <v>6690</v>
      </c>
      <c r="E282" s="44" t="s">
        <v>6846</v>
      </c>
      <c r="F282" s="37">
        <v>1</v>
      </c>
      <c r="G282" s="37" t="s">
        <v>6864</v>
      </c>
      <c r="H282" s="63">
        <v>46379</v>
      </c>
    </row>
    <row r="283" spans="1:8" ht="24.75" customHeight="1">
      <c r="A283" s="44" t="s">
        <v>2274</v>
      </c>
      <c r="B283" s="45" t="s">
        <v>6240</v>
      </c>
      <c r="C283" s="45" t="s">
        <v>6982</v>
      </c>
      <c r="D283" s="45" t="s">
        <v>6690</v>
      </c>
      <c r="E283" s="44" t="s">
        <v>6846</v>
      </c>
      <c r="F283" s="37">
        <v>1</v>
      </c>
      <c r="G283" s="37" t="s">
        <v>6864</v>
      </c>
      <c r="H283" s="63">
        <v>46379</v>
      </c>
    </row>
    <row r="284" spans="1:8" ht="24.75" customHeight="1">
      <c r="A284" s="44" t="s">
        <v>2277</v>
      </c>
      <c r="B284" s="45" t="s">
        <v>6249</v>
      </c>
      <c r="C284" s="45" t="s">
        <v>6982</v>
      </c>
      <c r="D284" s="45" t="s">
        <v>6690</v>
      </c>
      <c r="E284" s="44" t="s">
        <v>6846</v>
      </c>
      <c r="F284" s="37">
        <v>1</v>
      </c>
      <c r="G284" s="37" t="s">
        <v>6864</v>
      </c>
      <c r="H284" s="63">
        <v>46379</v>
      </c>
    </row>
    <row r="285" spans="1:8" ht="24.75" customHeight="1">
      <c r="A285" s="44" t="s">
        <v>2276</v>
      </c>
      <c r="B285" s="45" t="s">
        <v>6248</v>
      </c>
      <c r="C285" s="45" t="s">
        <v>6982</v>
      </c>
      <c r="D285" s="45" t="s">
        <v>6690</v>
      </c>
      <c r="E285" s="44" t="s">
        <v>6846</v>
      </c>
      <c r="F285" s="37">
        <v>1</v>
      </c>
      <c r="G285" s="37" t="s">
        <v>6864</v>
      </c>
      <c r="H285" s="63">
        <v>46379</v>
      </c>
    </row>
    <row r="286" spans="1:8" ht="24.75" customHeight="1">
      <c r="A286" s="44" t="s">
        <v>2275</v>
      </c>
      <c r="B286" s="45" t="s">
        <v>6247</v>
      </c>
      <c r="C286" s="45" t="s">
        <v>6982</v>
      </c>
      <c r="D286" s="45" t="s">
        <v>6690</v>
      </c>
      <c r="E286" s="44" t="s">
        <v>6846</v>
      </c>
      <c r="F286" s="37">
        <v>1</v>
      </c>
      <c r="G286" s="37" t="s">
        <v>6864</v>
      </c>
      <c r="H286" s="63">
        <v>46379</v>
      </c>
    </row>
    <row r="287" spans="1:8" ht="24.75" customHeight="1">
      <c r="A287" s="44" t="s">
        <v>2278</v>
      </c>
      <c r="B287" s="45" t="s">
        <v>6250</v>
      </c>
      <c r="C287" s="45" t="s">
        <v>6982</v>
      </c>
      <c r="D287" s="45" t="s">
        <v>6690</v>
      </c>
      <c r="E287" s="44" t="s">
        <v>6846</v>
      </c>
      <c r="F287" s="37">
        <v>1</v>
      </c>
      <c r="G287" s="37" t="s">
        <v>6864</v>
      </c>
      <c r="H287" s="63">
        <v>46379</v>
      </c>
    </row>
    <row r="288" spans="1:8" ht="24.75" customHeight="1">
      <c r="A288" s="44" t="s">
        <v>6521</v>
      </c>
      <c r="B288" s="45" t="s">
        <v>6522</v>
      </c>
      <c r="C288" s="45" t="s">
        <v>6982</v>
      </c>
      <c r="D288" s="45" t="s">
        <v>6690</v>
      </c>
      <c r="E288" s="44" t="s">
        <v>6846</v>
      </c>
      <c r="F288" s="37">
        <v>1</v>
      </c>
      <c r="G288" s="37" t="s">
        <v>6864</v>
      </c>
      <c r="H288" s="63">
        <v>55028</v>
      </c>
    </row>
    <row r="289" spans="1:8" ht="24.75" customHeight="1">
      <c r="A289" s="44" t="s">
        <v>2951</v>
      </c>
      <c r="B289" s="45" t="s">
        <v>6257</v>
      </c>
      <c r="C289" s="45" t="s">
        <v>6982</v>
      </c>
      <c r="D289" s="45" t="s">
        <v>6690</v>
      </c>
      <c r="E289" s="44" t="s">
        <v>6846</v>
      </c>
      <c r="F289" s="37">
        <v>1</v>
      </c>
      <c r="G289" s="37" t="s">
        <v>6864</v>
      </c>
      <c r="H289" s="63">
        <v>55028</v>
      </c>
    </row>
    <row r="290" spans="1:8" ht="24.75" customHeight="1">
      <c r="A290" s="44" t="s">
        <v>2952</v>
      </c>
      <c r="B290" s="45" t="s">
        <v>6256</v>
      </c>
      <c r="C290" s="45" t="s">
        <v>6982</v>
      </c>
      <c r="D290" s="45" t="s">
        <v>6690</v>
      </c>
      <c r="E290" s="44" t="s">
        <v>6846</v>
      </c>
      <c r="F290" s="37">
        <v>1</v>
      </c>
      <c r="G290" s="37" t="s">
        <v>6864</v>
      </c>
      <c r="H290" s="63">
        <v>55028</v>
      </c>
    </row>
    <row r="291" spans="1:8" ht="24.75" customHeight="1">
      <c r="A291" s="44" t="s">
        <v>2953</v>
      </c>
      <c r="B291" s="45" t="s">
        <v>6255</v>
      </c>
      <c r="C291" s="45" t="s">
        <v>6982</v>
      </c>
      <c r="D291" s="45" t="s">
        <v>6690</v>
      </c>
      <c r="E291" s="44" t="s">
        <v>6846</v>
      </c>
      <c r="F291" s="37">
        <v>1</v>
      </c>
      <c r="G291" s="37" t="s">
        <v>6864</v>
      </c>
      <c r="H291" s="63">
        <v>55028</v>
      </c>
    </row>
    <row r="292" spans="1:8" ht="24.75" customHeight="1">
      <c r="A292" s="44" t="s">
        <v>2954</v>
      </c>
      <c r="B292" s="45" t="s">
        <v>6258</v>
      </c>
      <c r="C292" s="45" t="s">
        <v>6982</v>
      </c>
      <c r="D292" s="45" t="s">
        <v>6690</v>
      </c>
      <c r="E292" s="44" t="s">
        <v>6846</v>
      </c>
      <c r="F292" s="37">
        <v>1</v>
      </c>
      <c r="G292" s="37" t="s">
        <v>6864</v>
      </c>
      <c r="H292" s="63">
        <v>55028</v>
      </c>
    </row>
    <row r="293" spans="1:8" ht="24.75" customHeight="1">
      <c r="A293" s="44" t="s">
        <v>6498</v>
      </c>
      <c r="B293" s="45" t="s">
        <v>6500</v>
      </c>
      <c r="C293" s="45" t="s">
        <v>6982</v>
      </c>
      <c r="D293" s="45" t="s">
        <v>6690</v>
      </c>
      <c r="E293" s="44" t="s">
        <v>6846</v>
      </c>
      <c r="F293" s="37">
        <v>1</v>
      </c>
      <c r="G293" s="37" t="s">
        <v>6864</v>
      </c>
      <c r="H293" s="63">
        <v>52733</v>
      </c>
    </row>
    <row r="294" spans="1:8" ht="24.75" customHeight="1">
      <c r="A294" s="44" t="s">
        <v>6497</v>
      </c>
      <c r="B294" s="45" t="s">
        <v>6499</v>
      </c>
      <c r="C294" s="45" t="s">
        <v>6982</v>
      </c>
      <c r="D294" s="45" t="s">
        <v>6690</v>
      </c>
      <c r="E294" s="44" t="s">
        <v>6846</v>
      </c>
      <c r="F294" s="37">
        <v>1</v>
      </c>
      <c r="G294" s="37" t="s">
        <v>6864</v>
      </c>
      <c r="H294" s="63">
        <v>52733</v>
      </c>
    </row>
    <row r="295" spans="1:8" ht="24.75" customHeight="1">
      <c r="A295" s="44" t="s">
        <v>1927</v>
      </c>
      <c r="B295" s="45" t="s">
        <v>6265</v>
      </c>
      <c r="C295" s="45" t="s">
        <v>6982</v>
      </c>
      <c r="D295" s="45" t="s">
        <v>6690</v>
      </c>
      <c r="E295" s="44" t="s">
        <v>6846</v>
      </c>
      <c r="F295" s="37">
        <v>1</v>
      </c>
      <c r="G295" s="37" t="s">
        <v>6864</v>
      </c>
      <c r="H295" s="63">
        <v>52733</v>
      </c>
    </row>
    <row r="296" spans="1:8" ht="24.75" customHeight="1">
      <c r="A296" s="44" t="s">
        <v>1926</v>
      </c>
      <c r="B296" s="45" t="s">
        <v>6264</v>
      </c>
      <c r="C296" s="45" t="s">
        <v>6982</v>
      </c>
      <c r="D296" s="45" t="s">
        <v>6690</v>
      </c>
      <c r="E296" s="44" t="s">
        <v>6846</v>
      </c>
      <c r="F296" s="37">
        <v>1</v>
      </c>
      <c r="G296" s="37" t="s">
        <v>6864</v>
      </c>
      <c r="H296" s="63">
        <v>52733</v>
      </c>
    </row>
    <row r="297" spans="1:8" ht="24.75" customHeight="1">
      <c r="A297" s="44" t="s">
        <v>1925</v>
      </c>
      <c r="B297" s="45" t="s">
        <v>6263</v>
      </c>
      <c r="C297" s="45" t="s">
        <v>6982</v>
      </c>
      <c r="D297" s="45" t="s">
        <v>6690</v>
      </c>
      <c r="E297" s="44" t="s">
        <v>6846</v>
      </c>
      <c r="F297" s="37">
        <v>1</v>
      </c>
      <c r="G297" s="37" t="s">
        <v>6864</v>
      </c>
      <c r="H297" s="63">
        <v>52733</v>
      </c>
    </row>
    <row r="298" spans="1:8" ht="24.75" customHeight="1">
      <c r="A298" s="44" t="s">
        <v>1928</v>
      </c>
      <c r="B298" s="45" t="s">
        <v>6266</v>
      </c>
      <c r="C298" s="45" t="s">
        <v>6982</v>
      </c>
      <c r="D298" s="45" t="s">
        <v>6690</v>
      </c>
      <c r="E298" s="44" t="s">
        <v>6846</v>
      </c>
      <c r="F298" s="37">
        <v>1</v>
      </c>
      <c r="G298" s="37" t="s">
        <v>6864</v>
      </c>
      <c r="H298" s="63">
        <v>52733</v>
      </c>
    </row>
    <row r="299" spans="1:8" ht="24.75" customHeight="1">
      <c r="A299" s="44" t="s">
        <v>1922</v>
      </c>
      <c r="B299" s="45" t="s">
        <v>6260</v>
      </c>
      <c r="C299" s="45" t="s">
        <v>6982</v>
      </c>
      <c r="D299" s="45" t="s">
        <v>6690</v>
      </c>
      <c r="E299" s="44" t="s">
        <v>6846</v>
      </c>
      <c r="F299" s="37">
        <v>1</v>
      </c>
      <c r="G299" s="37" t="s">
        <v>6864</v>
      </c>
      <c r="H299" s="63">
        <v>52733</v>
      </c>
    </row>
    <row r="300" spans="1:8" ht="24.75" customHeight="1">
      <c r="A300" s="44" t="s">
        <v>1921</v>
      </c>
      <c r="B300" s="45" t="s">
        <v>6259</v>
      </c>
      <c r="C300" s="45" t="s">
        <v>6982</v>
      </c>
      <c r="D300" s="45" t="s">
        <v>6690</v>
      </c>
      <c r="E300" s="44" t="s">
        <v>6846</v>
      </c>
      <c r="F300" s="37">
        <v>1</v>
      </c>
      <c r="G300" s="37" t="s">
        <v>6864</v>
      </c>
      <c r="H300" s="63">
        <v>52733</v>
      </c>
    </row>
    <row r="301" spans="1:8" ht="24.75" customHeight="1">
      <c r="A301" s="44" t="s">
        <v>2033</v>
      </c>
      <c r="B301" s="45" t="s">
        <v>6236</v>
      </c>
      <c r="C301" s="45" t="s">
        <v>6982</v>
      </c>
      <c r="D301" s="45" t="s">
        <v>6690</v>
      </c>
      <c r="E301" s="44" t="s">
        <v>6846</v>
      </c>
      <c r="F301" s="37">
        <v>1</v>
      </c>
      <c r="G301" s="37" t="s">
        <v>6864</v>
      </c>
      <c r="H301" s="63">
        <v>71326</v>
      </c>
    </row>
    <row r="302" spans="1:8" ht="24.75" customHeight="1">
      <c r="A302" s="44" t="s">
        <v>1816</v>
      </c>
      <c r="B302" s="45" t="s">
        <v>6245</v>
      </c>
      <c r="C302" s="45" t="s">
        <v>6982</v>
      </c>
      <c r="D302" s="45" t="s">
        <v>6690</v>
      </c>
      <c r="E302" s="44" t="s">
        <v>6846</v>
      </c>
      <c r="F302" s="37">
        <v>1</v>
      </c>
      <c r="G302" s="37" t="s">
        <v>6864</v>
      </c>
      <c r="H302" s="63">
        <v>71326</v>
      </c>
    </row>
    <row r="303" spans="1:8" ht="24.75" customHeight="1">
      <c r="A303" s="44" t="s">
        <v>1815</v>
      </c>
      <c r="B303" s="45" t="s">
        <v>6244</v>
      </c>
      <c r="C303" s="45" t="s">
        <v>6982</v>
      </c>
      <c r="D303" s="45" t="s">
        <v>6690</v>
      </c>
      <c r="E303" s="44" t="s">
        <v>6846</v>
      </c>
      <c r="F303" s="37">
        <v>1</v>
      </c>
      <c r="G303" s="37" t="s">
        <v>6864</v>
      </c>
      <c r="H303" s="63">
        <v>71326</v>
      </c>
    </row>
    <row r="304" spans="1:8" ht="24.75" customHeight="1">
      <c r="A304" s="44" t="s">
        <v>1814</v>
      </c>
      <c r="B304" s="45" t="s">
        <v>6243</v>
      </c>
      <c r="C304" s="45" t="s">
        <v>6982</v>
      </c>
      <c r="D304" s="45" t="s">
        <v>6690</v>
      </c>
      <c r="E304" s="44" t="s">
        <v>6846</v>
      </c>
      <c r="F304" s="37">
        <v>1</v>
      </c>
      <c r="G304" s="37" t="s">
        <v>6864</v>
      </c>
      <c r="H304" s="63">
        <v>71326</v>
      </c>
    </row>
    <row r="305" spans="1:8" ht="24.75" customHeight="1">
      <c r="A305" s="44" t="s">
        <v>1817</v>
      </c>
      <c r="B305" s="45" t="s">
        <v>6246</v>
      </c>
      <c r="C305" s="45" t="s">
        <v>6982</v>
      </c>
      <c r="D305" s="45" t="s">
        <v>6690</v>
      </c>
      <c r="E305" s="44" t="s">
        <v>6846</v>
      </c>
      <c r="F305" s="37">
        <v>1</v>
      </c>
      <c r="G305" s="37" t="s">
        <v>6864</v>
      </c>
      <c r="H305" s="63">
        <v>71326</v>
      </c>
    </row>
    <row r="306" spans="1:8" ht="24.75" customHeight="1">
      <c r="A306" s="44" t="s">
        <v>1924</v>
      </c>
      <c r="B306" s="45" t="s">
        <v>6262</v>
      </c>
      <c r="C306" s="45" t="s">
        <v>6982</v>
      </c>
      <c r="D306" s="45" t="s">
        <v>6690</v>
      </c>
      <c r="E306" s="44" t="s">
        <v>6846</v>
      </c>
      <c r="F306" s="37">
        <v>1</v>
      </c>
      <c r="G306" s="37" t="s">
        <v>6864</v>
      </c>
      <c r="H306" s="63">
        <v>52733</v>
      </c>
    </row>
    <row r="307" spans="1:8" ht="24.75" customHeight="1">
      <c r="A307" s="44" t="s">
        <v>1923</v>
      </c>
      <c r="B307" s="45" t="s">
        <v>6261</v>
      </c>
      <c r="C307" s="45" t="s">
        <v>6982</v>
      </c>
      <c r="D307" s="45" t="s">
        <v>6690</v>
      </c>
      <c r="E307" s="44" t="s">
        <v>6846</v>
      </c>
      <c r="F307" s="37">
        <v>1</v>
      </c>
      <c r="G307" s="37" t="s">
        <v>6864</v>
      </c>
      <c r="H307" s="63">
        <v>52733</v>
      </c>
    </row>
    <row r="308" spans="1:8" ht="24.75" customHeight="1">
      <c r="A308" s="44" t="s">
        <v>6489</v>
      </c>
      <c r="B308" s="45" t="s">
        <v>6490</v>
      </c>
      <c r="C308" s="45" t="s">
        <v>6982</v>
      </c>
      <c r="D308" s="45" t="s">
        <v>6690</v>
      </c>
      <c r="E308" s="44" t="s">
        <v>6846</v>
      </c>
      <c r="F308" s="37">
        <v>1</v>
      </c>
      <c r="G308" s="37" t="s">
        <v>6864</v>
      </c>
      <c r="H308" s="63">
        <v>77729</v>
      </c>
    </row>
    <row r="309" spans="1:8" ht="24.75" customHeight="1">
      <c r="A309" s="44" t="s">
        <v>2310</v>
      </c>
      <c r="B309" s="45" t="s">
        <v>6527</v>
      </c>
      <c r="C309" s="45" t="s">
        <v>6982</v>
      </c>
      <c r="D309" s="45" t="s">
        <v>6690</v>
      </c>
      <c r="E309" s="44" t="s">
        <v>6846</v>
      </c>
      <c r="F309" s="37">
        <v>1</v>
      </c>
      <c r="G309" s="37" t="s">
        <v>6864</v>
      </c>
      <c r="H309" s="63">
        <v>77729</v>
      </c>
    </row>
    <row r="310" spans="1:8" ht="24.75" customHeight="1">
      <c r="A310" s="44" t="s">
        <v>2309</v>
      </c>
      <c r="B310" s="45" t="s">
        <v>6526</v>
      </c>
      <c r="C310" s="45" t="s">
        <v>6982</v>
      </c>
      <c r="D310" s="45" t="s">
        <v>6690</v>
      </c>
      <c r="E310" s="44" t="s">
        <v>6846</v>
      </c>
      <c r="F310" s="37">
        <v>1</v>
      </c>
      <c r="G310" s="37" t="s">
        <v>6864</v>
      </c>
      <c r="H310" s="63">
        <v>77729</v>
      </c>
    </row>
    <row r="311" spans="1:8" ht="24.75" customHeight="1">
      <c r="A311" s="44" t="s">
        <v>2308</v>
      </c>
      <c r="B311" s="45" t="s">
        <v>6525</v>
      </c>
      <c r="C311" s="45" t="s">
        <v>6982</v>
      </c>
      <c r="D311" s="45" t="s">
        <v>6690</v>
      </c>
      <c r="E311" s="44" t="s">
        <v>6846</v>
      </c>
      <c r="F311" s="37">
        <v>1</v>
      </c>
      <c r="G311" s="37" t="s">
        <v>6864</v>
      </c>
      <c r="H311" s="63">
        <v>77729</v>
      </c>
    </row>
    <row r="312" spans="1:8" ht="24.75" customHeight="1">
      <c r="A312" s="44" t="s">
        <v>2311</v>
      </c>
      <c r="B312" s="45" t="s">
        <v>6528</v>
      </c>
      <c r="C312" s="45" t="s">
        <v>6982</v>
      </c>
      <c r="D312" s="45" t="s">
        <v>6690</v>
      </c>
      <c r="E312" s="44" t="s">
        <v>6846</v>
      </c>
      <c r="F312" s="37">
        <v>1</v>
      </c>
      <c r="G312" s="37" t="s">
        <v>6864</v>
      </c>
      <c r="H312" s="63">
        <v>77729</v>
      </c>
    </row>
    <row r="313" spans="1:8" ht="24.75" customHeight="1">
      <c r="A313" s="44" t="s">
        <v>1813</v>
      </c>
      <c r="B313" s="45" t="s">
        <v>6242</v>
      </c>
      <c r="C313" s="45" t="s">
        <v>6982</v>
      </c>
      <c r="D313" s="45" t="s">
        <v>6690</v>
      </c>
      <c r="E313" s="44" t="s">
        <v>6846</v>
      </c>
      <c r="F313" s="37">
        <v>1</v>
      </c>
      <c r="G313" s="37" t="s">
        <v>6864</v>
      </c>
      <c r="H313" s="63">
        <v>71326</v>
      </c>
    </row>
    <row r="314" spans="1:8" ht="24.75" customHeight="1">
      <c r="A314" s="44" t="s">
        <v>1812</v>
      </c>
      <c r="B314" s="45" t="s">
        <v>6241</v>
      </c>
      <c r="C314" s="45" t="s">
        <v>6982</v>
      </c>
      <c r="D314" s="45" t="s">
        <v>6690</v>
      </c>
      <c r="E314" s="44" t="s">
        <v>6846</v>
      </c>
      <c r="F314" s="37">
        <v>1</v>
      </c>
      <c r="G314" s="37" t="s">
        <v>6864</v>
      </c>
      <c r="H314" s="63">
        <v>71326</v>
      </c>
    </row>
    <row r="315" spans="1:8" ht="24.75" customHeight="1">
      <c r="A315" s="44" t="s">
        <v>2318</v>
      </c>
      <c r="B315" s="45" t="s">
        <v>6232</v>
      </c>
      <c r="C315" s="45" t="s">
        <v>6982</v>
      </c>
      <c r="D315" s="45" t="s">
        <v>6690</v>
      </c>
      <c r="E315" s="44" t="s">
        <v>6846</v>
      </c>
      <c r="F315" s="37">
        <v>1</v>
      </c>
      <c r="G315" s="37" t="s">
        <v>6864</v>
      </c>
      <c r="H315" s="63">
        <v>55028</v>
      </c>
    </row>
    <row r="316" spans="1:8" ht="24.75" customHeight="1">
      <c r="A316" s="44" t="s">
        <v>2317</v>
      </c>
      <c r="B316" s="45" t="s">
        <v>6230</v>
      </c>
      <c r="C316" s="45" t="s">
        <v>6982</v>
      </c>
      <c r="D316" s="45" t="s">
        <v>6690</v>
      </c>
      <c r="E316" s="44" t="s">
        <v>6846</v>
      </c>
      <c r="F316" s="37">
        <v>1</v>
      </c>
      <c r="G316" s="37" t="s">
        <v>6864</v>
      </c>
      <c r="H316" s="63">
        <v>55028</v>
      </c>
    </row>
    <row r="317" spans="1:8" ht="24.75" customHeight="1">
      <c r="A317" s="44" t="s">
        <v>2316</v>
      </c>
      <c r="B317" s="45" t="s">
        <v>6228</v>
      </c>
      <c r="C317" s="45" t="s">
        <v>6982</v>
      </c>
      <c r="D317" s="45" t="s">
        <v>6690</v>
      </c>
      <c r="E317" s="44" t="s">
        <v>6846</v>
      </c>
      <c r="F317" s="37">
        <v>1</v>
      </c>
      <c r="G317" s="37" t="s">
        <v>6864</v>
      </c>
      <c r="H317" s="63">
        <v>55028</v>
      </c>
    </row>
    <row r="318" spans="1:8" ht="24.75" customHeight="1">
      <c r="A318" s="44" t="s">
        <v>2319</v>
      </c>
      <c r="B318" s="45" t="s">
        <v>6234</v>
      </c>
      <c r="C318" s="45" t="s">
        <v>6982</v>
      </c>
      <c r="D318" s="45" t="s">
        <v>6690</v>
      </c>
      <c r="E318" s="44" t="s">
        <v>6846</v>
      </c>
      <c r="F318" s="37">
        <v>1</v>
      </c>
      <c r="G318" s="37" t="s">
        <v>6864</v>
      </c>
      <c r="H318" s="63">
        <v>55028</v>
      </c>
    </row>
    <row r="319" spans="1:8" ht="24.75" customHeight="1">
      <c r="A319" s="44" t="s">
        <v>3064</v>
      </c>
      <c r="B319" s="45" t="s">
        <v>6296</v>
      </c>
      <c r="C319" s="45" t="s">
        <v>6982</v>
      </c>
      <c r="D319" s="45" t="s">
        <v>6690</v>
      </c>
      <c r="E319" s="44" t="s">
        <v>6850</v>
      </c>
      <c r="F319" s="37">
        <v>1</v>
      </c>
      <c r="G319" s="37" t="s">
        <v>6864</v>
      </c>
      <c r="H319" s="63">
        <v>64620</v>
      </c>
    </row>
    <row r="320" spans="1:8" ht="24.75" customHeight="1">
      <c r="A320" s="44" t="s">
        <v>3065</v>
      </c>
      <c r="B320" s="45" t="s">
        <v>6297</v>
      </c>
      <c r="C320" s="45" t="s">
        <v>6982</v>
      </c>
      <c r="D320" s="45" t="s">
        <v>6690</v>
      </c>
      <c r="E320" s="44" t="s">
        <v>6850</v>
      </c>
      <c r="F320" s="37">
        <v>1</v>
      </c>
      <c r="G320" s="37" t="s">
        <v>6864</v>
      </c>
      <c r="H320" s="63">
        <v>68592</v>
      </c>
    </row>
    <row r="321" spans="1:8" ht="24.75" customHeight="1">
      <c r="A321" s="44" t="s">
        <v>3063</v>
      </c>
      <c r="B321" s="45" t="s">
        <v>6295</v>
      </c>
      <c r="C321" s="45" t="s">
        <v>6982</v>
      </c>
      <c r="D321" s="45" t="s">
        <v>6690</v>
      </c>
      <c r="E321" s="44" t="s">
        <v>6850</v>
      </c>
      <c r="F321" s="37">
        <v>1</v>
      </c>
      <c r="G321" s="37" t="s">
        <v>6864</v>
      </c>
      <c r="H321" s="63">
        <v>68592</v>
      </c>
    </row>
    <row r="322" spans="1:8" ht="24.75" customHeight="1">
      <c r="A322" s="44" t="s">
        <v>3062</v>
      </c>
      <c r="B322" s="45" t="s">
        <v>6294</v>
      </c>
      <c r="C322" s="45" t="s">
        <v>6982</v>
      </c>
      <c r="D322" s="45" t="s">
        <v>6690</v>
      </c>
      <c r="E322" s="44" t="s">
        <v>6850</v>
      </c>
      <c r="F322" s="37">
        <v>1</v>
      </c>
      <c r="G322" s="37" t="s">
        <v>6864</v>
      </c>
      <c r="H322" s="63">
        <v>68592</v>
      </c>
    </row>
    <row r="323" spans="1:8" ht="24.75" customHeight="1">
      <c r="A323" s="44" t="s">
        <v>3066</v>
      </c>
      <c r="B323" s="45" t="s">
        <v>6298</v>
      </c>
      <c r="C323" s="45" t="s">
        <v>6982</v>
      </c>
      <c r="D323" s="45" t="s">
        <v>6690</v>
      </c>
      <c r="E323" s="44" t="s">
        <v>6850</v>
      </c>
      <c r="F323" s="37">
        <v>1</v>
      </c>
      <c r="G323" s="37" t="s">
        <v>6864</v>
      </c>
      <c r="H323" s="63">
        <v>64620</v>
      </c>
    </row>
    <row r="324" spans="1:8" ht="24.75" customHeight="1">
      <c r="A324" s="44" t="s">
        <v>2433</v>
      </c>
      <c r="B324" s="45" t="s">
        <v>6233</v>
      </c>
      <c r="C324" s="45" t="s">
        <v>6982</v>
      </c>
      <c r="D324" s="45" t="s">
        <v>6690</v>
      </c>
      <c r="E324" s="44" t="s">
        <v>6846</v>
      </c>
      <c r="F324" s="37">
        <v>1</v>
      </c>
      <c r="G324" s="37" t="s">
        <v>6864</v>
      </c>
      <c r="H324" s="63">
        <v>55028</v>
      </c>
    </row>
    <row r="325" spans="1:8" ht="24.75" customHeight="1">
      <c r="A325" s="44" t="s">
        <v>2432</v>
      </c>
      <c r="B325" s="45" t="s">
        <v>6231</v>
      </c>
      <c r="C325" s="45" t="s">
        <v>6982</v>
      </c>
      <c r="D325" s="45" t="s">
        <v>6690</v>
      </c>
      <c r="E325" s="44" t="s">
        <v>6846</v>
      </c>
      <c r="F325" s="37">
        <v>1</v>
      </c>
      <c r="G325" s="37" t="s">
        <v>6864</v>
      </c>
      <c r="H325" s="63">
        <v>55028</v>
      </c>
    </row>
    <row r="326" spans="1:8" ht="24.75" customHeight="1">
      <c r="A326" s="44" t="s">
        <v>2431</v>
      </c>
      <c r="B326" s="45" t="s">
        <v>6229</v>
      </c>
      <c r="C326" s="45" t="s">
        <v>6982</v>
      </c>
      <c r="D326" s="45" t="s">
        <v>6690</v>
      </c>
      <c r="E326" s="44" t="s">
        <v>6846</v>
      </c>
      <c r="F326" s="37">
        <v>1</v>
      </c>
      <c r="G326" s="37" t="s">
        <v>6864</v>
      </c>
      <c r="H326" s="63">
        <v>55028</v>
      </c>
    </row>
    <row r="327" spans="1:8" ht="24.75" customHeight="1">
      <c r="A327" s="44" t="s">
        <v>2434</v>
      </c>
      <c r="B327" s="45" t="s">
        <v>6235</v>
      </c>
      <c r="C327" s="45" t="s">
        <v>6982</v>
      </c>
      <c r="D327" s="45" t="s">
        <v>6690</v>
      </c>
      <c r="E327" s="44" t="s">
        <v>6846</v>
      </c>
      <c r="F327" s="37">
        <v>1</v>
      </c>
      <c r="G327" s="37" t="s">
        <v>6864</v>
      </c>
      <c r="H327" s="63">
        <v>55028</v>
      </c>
    </row>
    <row r="328" spans="1:8" ht="24.75" customHeight="1">
      <c r="A328" s="44" t="s">
        <v>2941</v>
      </c>
      <c r="B328" s="45" t="s">
        <v>6342</v>
      </c>
      <c r="C328" s="45" t="s">
        <v>6982</v>
      </c>
      <c r="D328" s="45" t="s">
        <v>6692</v>
      </c>
      <c r="E328" s="44" t="s">
        <v>6984</v>
      </c>
      <c r="F328" s="37">
        <v>1</v>
      </c>
      <c r="G328" s="37" t="s">
        <v>6864</v>
      </c>
      <c r="H328" s="63">
        <v>91139</v>
      </c>
    </row>
    <row r="329" spans="1:8" ht="24.75" customHeight="1">
      <c r="A329" s="44" t="s">
        <v>6637</v>
      </c>
      <c r="B329" s="45" t="s">
        <v>6638</v>
      </c>
      <c r="C329" s="45" t="s">
        <v>6982</v>
      </c>
      <c r="D329" s="45" t="s">
        <v>6691</v>
      </c>
      <c r="E329" s="44" t="s">
        <v>6984</v>
      </c>
      <c r="F329" s="37">
        <v>1</v>
      </c>
      <c r="G329" s="37" t="s">
        <v>6864</v>
      </c>
      <c r="H329" s="63">
        <v>90061.4</v>
      </c>
    </row>
    <row r="330" spans="1:8" ht="24.75" customHeight="1">
      <c r="A330" s="44" t="s">
        <v>6639</v>
      </c>
      <c r="B330" s="45" t="s">
        <v>6640</v>
      </c>
      <c r="C330" s="45" t="s">
        <v>6982</v>
      </c>
      <c r="D330" s="45" t="s">
        <v>6691</v>
      </c>
      <c r="E330" s="44" t="s">
        <v>6984</v>
      </c>
      <c r="F330" s="37">
        <v>1</v>
      </c>
      <c r="G330" s="37" t="s">
        <v>6864</v>
      </c>
      <c r="H330" s="63">
        <v>90061.4</v>
      </c>
    </row>
    <row r="331" spans="1:8" ht="24.75" customHeight="1">
      <c r="A331" s="44" t="s">
        <v>6641</v>
      </c>
      <c r="B331" s="45" t="s">
        <v>6642</v>
      </c>
      <c r="C331" s="45" t="s">
        <v>6982</v>
      </c>
      <c r="D331" s="45" t="s">
        <v>6691</v>
      </c>
      <c r="E331" s="44" t="s">
        <v>6984</v>
      </c>
      <c r="F331" s="37">
        <v>1</v>
      </c>
      <c r="G331" s="37" t="s">
        <v>6864</v>
      </c>
      <c r="H331" s="63">
        <v>90061.4</v>
      </c>
    </row>
    <row r="332" spans="1:8" ht="24.75" customHeight="1">
      <c r="A332" s="44" t="s">
        <v>6643</v>
      </c>
      <c r="B332" s="45" t="s">
        <v>6644</v>
      </c>
      <c r="C332" s="45" t="s">
        <v>6982</v>
      </c>
      <c r="D332" s="45" t="s">
        <v>6691</v>
      </c>
      <c r="E332" s="44" t="s">
        <v>6984</v>
      </c>
      <c r="F332" s="37">
        <v>1</v>
      </c>
      <c r="G332" s="37" t="s">
        <v>6864</v>
      </c>
      <c r="H332" s="63">
        <v>90061.4</v>
      </c>
    </row>
    <row r="333" spans="1:8" ht="24.75" customHeight="1">
      <c r="A333" s="44" t="s">
        <v>6621</v>
      </c>
      <c r="B333" s="45" t="s">
        <v>6622</v>
      </c>
      <c r="C333" s="45" t="s">
        <v>6982</v>
      </c>
      <c r="D333" s="45" t="s">
        <v>6691</v>
      </c>
      <c r="E333" s="44" t="s">
        <v>6984</v>
      </c>
      <c r="F333" s="37">
        <v>1</v>
      </c>
      <c r="G333" s="37" t="s">
        <v>6864</v>
      </c>
      <c r="H333" s="63">
        <v>90061.4</v>
      </c>
    </row>
    <row r="334" spans="1:8" ht="24.75" customHeight="1">
      <c r="A334" s="44" t="s">
        <v>6623</v>
      </c>
      <c r="B334" s="45" t="s">
        <v>6624</v>
      </c>
      <c r="C334" s="45" t="s">
        <v>6982</v>
      </c>
      <c r="D334" s="45" t="s">
        <v>6691</v>
      </c>
      <c r="E334" s="44" t="s">
        <v>6984</v>
      </c>
      <c r="F334" s="37">
        <v>1</v>
      </c>
      <c r="G334" s="37" t="s">
        <v>6864</v>
      </c>
      <c r="H334" s="63">
        <v>90061.4</v>
      </c>
    </row>
    <row r="335" spans="1:8" ht="24.75" customHeight="1">
      <c r="A335" s="44" t="s">
        <v>6625</v>
      </c>
      <c r="B335" s="45" t="s">
        <v>6626</v>
      </c>
      <c r="C335" s="45" t="s">
        <v>6982</v>
      </c>
      <c r="D335" s="45" t="s">
        <v>6691</v>
      </c>
      <c r="E335" s="44" t="s">
        <v>6984</v>
      </c>
      <c r="F335" s="37">
        <v>1</v>
      </c>
      <c r="G335" s="37" t="s">
        <v>6864</v>
      </c>
      <c r="H335" s="63">
        <v>90061.4</v>
      </c>
    </row>
    <row r="336" spans="1:8" ht="24.75" customHeight="1">
      <c r="A336" s="44" t="s">
        <v>6627</v>
      </c>
      <c r="B336" s="45" t="s">
        <v>6628</v>
      </c>
      <c r="C336" s="45" t="s">
        <v>6982</v>
      </c>
      <c r="D336" s="45" t="s">
        <v>6691</v>
      </c>
      <c r="E336" s="44" t="s">
        <v>6984</v>
      </c>
      <c r="F336" s="37">
        <v>1</v>
      </c>
      <c r="G336" s="37" t="s">
        <v>6864</v>
      </c>
      <c r="H336" s="63">
        <v>90061.4</v>
      </c>
    </row>
    <row r="337" spans="1:8" ht="24.75" customHeight="1">
      <c r="A337" s="44" t="s">
        <v>6605</v>
      </c>
      <c r="B337" s="45" t="s">
        <v>6606</v>
      </c>
      <c r="C337" s="45" t="s">
        <v>6982</v>
      </c>
      <c r="D337" s="45" t="s">
        <v>6691</v>
      </c>
      <c r="E337" s="44" t="s">
        <v>6984</v>
      </c>
      <c r="F337" s="37">
        <v>1</v>
      </c>
      <c r="G337" s="37" t="s">
        <v>6864</v>
      </c>
      <c r="H337" s="63">
        <v>77763.399999999994</v>
      </c>
    </row>
    <row r="338" spans="1:8" ht="24.75" customHeight="1">
      <c r="A338" s="44" t="s">
        <v>6607</v>
      </c>
      <c r="B338" s="45" t="s">
        <v>6608</v>
      </c>
      <c r="C338" s="45" t="s">
        <v>6982</v>
      </c>
      <c r="D338" s="45" t="s">
        <v>6691</v>
      </c>
      <c r="E338" s="44" t="s">
        <v>6984</v>
      </c>
      <c r="F338" s="37">
        <v>1</v>
      </c>
      <c r="G338" s="37" t="s">
        <v>6864</v>
      </c>
      <c r="H338" s="63">
        <v>77763.399999999994</v>
      </c>
    </row>
    <row r="339" spans="1:8" ht="24.75" customHeight="1">
      <c r="A339" s="44" t="s">
        <v>6609</v>
      </c>
      <c r="B339" s="45" t="s">
        <v>6610</v>
      </c>
      <c r="C339" s="45" t="s">
        <v>6982</v>
      </c>
      <c r="D339" s="45" t="s">
        <v>6691</v>
      </c>
      <c r="E339" s="44" t="s">
        <v>6984</v>
      </c>
      <c r="F339" s="37">
        <v>1</v>
      </c>
      <c r="G339" s="37" t="s">
        <v>6864</v>
      </c>
      <c r="H339" s="63">
        <v>77763.399999999994</v>
      </c>
    </row>
    <row r="340" spans="1:8" ht="24.75" customHeight="1">
      <c r="A340" s="44" t="s">
        <v>6611</v>
      </c>
      <c r="B340" s="45" t="s">
        <v>6612</v>
      </c>
      <c r="C340" s="45" t="s">
        <v>6982</v>
      </c>
      <c r="D340" s="45" t="s">
        <v>6691</v>
      </c>
      <c r="E340" s="44" t="s">
        <v>6984</v>
      </c>
      <c r="F340" s="37">
        <v>1</v>
      </c>
      <c r="G340" s="37" t="s">
        <v>6864</v>
      </c>
      <c r="H340" s="63">
        <v>77763.399999999994</v>
      </c>
    </row>
    <row r="341" spans="1:8" ht="24.75" customHeight="1">
      <c r="A341" s="44" t="s">
        <v>6613</v>
      </c>
      <c r="B341" s="45" t="s">
        <v>6614</v>
      </c>
      <c r="C341" s="45" t="s">
        <v>6982</v>
      </c>
      <c r="D341" s="45" t="s">
        <v>6691</v>
      </c>
      <c r="E341" s="44" t="s">
        <v>6984</v>
      </c>
      <c r="F341" s="37">
        <v>1</v>
      </c>
      <c r="G341" s="37" t="s">
        <v>6864</v>
      </c>
      <c r="H341" s="63">
        <v>77763.399999999994</v>
      </c>
    </row>
    <row r="342" spans="1:8" ht="24.75" customHeight="1">
      <c r="A342" s="44" t="s">
        <v>6615</v>
      </c>
      <c r="B342" s="45" t="s">
        <v>6616</v>
      </c>
      <c r="C342" s="45" t="s">
        <v>6982</v>
      </c>
      <c r="D342" s="45" t="s">
        <v>6691</v>
      </c>
      <c r="E342" s="44" t="s">
        <v>6984</v>
      </c>
      <c r="F342" s="37">
        <v>1</v>
      </c>
      <c r="G342" s="37" t="s">
        <v>6864</v>
      </c>
      <c r="H342" s="63">
        <v>77763.399999999994</v>
      </c>
    </row>
    <row r="343" spans="1:8" ht="24.75" customHeight="1">
      <c r="A343" s="44" t="s">
        <v>6617</v>
      </c>
      <c r="B343" s="45" t="s">
        <v>6618</v>
      </c>
      <c r="C343" s="45" t="s">
        <v>6982</v>
      </c>
      <c r="D343" s="45" t="s">
        <v>6691</v>
      </c>
      <c r="E343" s="44" t="s">
        <v>6984</v>
      </c>
      <c r="F343" s="37">
        <v>1</v>
      </c>
      <c r="G343" s="37" t="s">
        <v>6864</v>
      </c>
      <c r="H343" s="63">
        <v>77763.399999999994</v>
      </c>
    </row>
    <row r="344" spans="1:8" ht="24.75" customHeight="1">
      <c r="A344" s="44" t="s">
        <v>6619</v>
      </c>
      <c r="B344" s="45" t="s">
        <v>6620</v>
      </c>
      <c r="C344" s="45" t="s">
        <v>6982</v>
      </c>
      <c r="D344" s="45" t="s">
        <v>6691</v>
      </c>
      <c r="E344" s="44" t="s">
        <v>6984</v>
      </c>
      <c r="F344" s="37">
        <v>1</v>
      </c>
      <c r="G344" s="37" t="s">
        <v>6864</v>
      </c>
      <c r="H344" s="63">
        <v>77763.399999999994</v>
      </c>
    </row>
    <row r="345" spans="1:8" ht="24.75" customHeight="1">
      <c r="A345" s="44" t="s">
        <v>6629</v>
      </c>
      <c r="B345" s="45" t="s">
        <v>6630</v>
      </c>
      <c r="C345" s="45" t="s">
        <v>6982</v>
      </c>
      <c r="D345" s="45" t="s">
        <v>6691</v>
      </c>
      <c r="E345" s="44" t="s">
        <v>6984</v>
      </c>
      <c r="F345" s="37">
        <v>1</v>
      </c>
      <c r="G345" s="37" t="s">
        <v>6864</v>
      </c>
      <c r="H345" s="63">
        <v>90061.4</v>
      </c>
    </row>
    <row r="346" spans="1:8" ht="24.75" customHeight="1">
      <c r="A346" s="44" t="s">
        <v>6631</v>
      </c>
      <c r="B346" s="45" t="s">
        <v>6632</v>
      </c>
      <c r="C346" s="45" t="s">
        <v>6982</v>
      </c>
      <c r="D346" s="45" t="s">
        <v>6691</v>
      </c>
      <c r="E346" s="44" t="s">
        <v>6984</v>
      </c>
      <c r="F346" s="37">
        <v>1</v>
      </c>
      <c r="G346" s="37" t="s">
        <v>6864</v>
      </c>
      <c r="H346" s="63">
        <v>90061.4</v>
      </c>
    </row>
    <row r="347" spans="1:8" ht="24.75" customHeight="1">
      <c r="A347" s="44" t="s">
        <v>6633</v>
      </c>
      <c r="B347" s="45" t="s">
        <v>6634</v>
      </c>
      <c r="C347" s="45" t="s">
        <v>6982</v>
      </c>
      <c r="D347" s="45" t="s">
        <v>6691</v>
      </c>
      <c r="E347" s="44" t="s">
        <v>6984</v>
      </c>
      <c r="F347" s="37">
        <v>1</v>
      </c>
      <c r="G347" s="37" t="s">
        <v>6864</v>
      </c>
      <c r="H347" s="63">
        <v>90061.4</v>
      </c>
    </row>
    <row r="348" spans="1:8" ht="24.75" customHeight="1">
      <c r="A348" s="44" t="s">
        <v>6635</v>
      </c>
      <c r="B348" s="45" t="s">
        <v>6636</v>
      </c>
      <c r="C348" s="45" t="s">
        <v>6982</v>
      </c>
      <c r="D348" s="45" t="s">
        <v>6691</v>
      </c>
      <c r="E348" s="44" t="s">
        <v>6984</v>
      </c>
      <c r="F348" s="37">
        <v>1</v>
      </c>
      <c r="G348" s="37" t="s">
        <v>6864</v>
      </c>
      <c r="H348" s="63">
        <v>90061.4</v>
      </c>
    </row>
    <row r="349" spans="1:8" ht="24.75" customHeight="1">
      <c r="A349" s="44" t="s">
        <v>368</v>
      </c>
      <c r="B349" s="45" t="s">
        <v>6189</v>
      </c>
      <c r="C349" s="45" t="s">
        <v>6982</v>
      </c>
      <c r="D349" s="45" t="s">
        <v>6691</v>
      </c>
      <c r="E349" s="44" t="s">
        <v>6846</v>
      </c>
      <c r="F349" s="37">
        <v>1</v>
      </c>
      <c r="G349" s="37" t="s">
        <v>6864</v>
      </c>
      <c r="H349" s="63">
        <v>73251</v>
      </c>
    </row>
    <row r="350" spans="1:8" ht="24.75" customHeight="1">
      <c r="A350" s="44" t="s">
        <v>367</v>
      </c>
      <c r="B350" s="45" t="s">
        <v>6187</v>
      </c>
      <c r="C350" s="45" t="s">
        <v>6982</v>
      </c>
      <c r="D350" s="45" t="s">
        <v>6691</v>
      </c>
      <c r="E350" s="44" t="s">
        <v>6846</v>
      </c>
      <c r="F350" s="37">
        <v>1</v>
      </c>
      <c r="G350" s="37" t="s">
        <v>6864</v>
      </c>
      <c r="H350" s="63">
        <v>73251</v>
      </c>
    </row>
    <row r="351" spans="1:8" ht="24.75" customHeight="1">
      <c r="A351" s="44" t="s">
        <v>1645</v>
      </c>
      <c r="B351" s="45" t="s">
        <v>6185</v>
      </c>
      <c r="C351" s="45" t="s">
        <v>6982</v>
      </c>
      <c r="D351" s="45" t="s">
        <v>6691</v>
      </c>
      <c r="E351" s="44" t="s">
        <v>6846</v>
      </c>
      <c r="F351" s="37">
        <v>1</v>
      </c>
      <c r="G351" s="37" t="s">
        <v>6864</v>
      </c>
      <c r="H351" s="63">
        <v>73251</v>
      </c>
    </row>
    <row r="352" spans="1:8" ht="24.75" customHeight="1">
      <c r="A352" s="44" t="s">
        <v>1644</v>
      </c>
      <c r="B352" s="45" t="s">
        <v>6184</v>
      </c>
      <c r="C352" s="45" t="s">
        <v>6982</v>
      </c>
      <c r="D352" s="45" t="s">
        <v>6691</v>
      </c>
      <c r="E352" s="44" t="s">
        <v>6846</v>
      </c>
      <c r="F352" s="37">
        <v>1</v>
      </c>
      <c r="G352" s="37" t="s">
        <v>6864</v>
      </c>
      <c r="H352" s="63">
        <v>73251</v>
      </c>
    </row>
    <row r="353" spans="1:8" ht="24.75" customHeight="1">
      <c r="A353" s="44" t="s">
        <v>1643</v>
      </c>
      <c r="B353" s="45" t="s">
        <v>6183</v>
      </c>
      <c r="C353" s="45" t="s">
        <v>6982</v>
      </c>
      <c r="D353" s="45" t="s">
        <v>6691</v>
      </c>
      <c r="E353" s="44" t="s">
        <v>6846</v>
      </c>
      <c r="F353" s="37">
        <v>1</v>
      </c>
      <c r="G353" s="37" t="s">
        <v>6864</v>
      </c>
      <c r="H353" s="63">
        <v>73251</v>
      </c>
    </row>
    <row r="354" spans="1:8" ht="24.75" customHeight="1">
      <c r="A354" s="44" t="s">
        <v>1646</v>
      </c>
      <c r="B354" s="45" t="s">
        <v>6186</v>
      </c>
      <c r="C354" s="45" t="s">
        <v>6982</v>
      </c>
      <c r="D354" s="45" t="s">
        <v>6691</v>
      </c>
      <c r="E354" s="44" t="s">
        <v>6846</v>
      </c>
      <c r="F354" s="37">
        <v>1</v>
      </c>
      <c r="G354" s="37" t="s">
        <v>6864</v>
      </c>
      <c r="H354" s="63">
        <v>73251</v>
      </c>
    </row>
    <row r="355" spans="1:8" ht="24.75" customHeight="1">
      <c r="A355" s="44" t="s">
        <v>2946</v>
      </c>
      <c r="B355" s="45" t="s">
        <v>6188</v>
      </c>
      <c r="C355" s="45" t="s">
        <v>6982</v>
      </c>
      <c r="D355" s="45" t="s">
        <v>6692</v>
      </c>
      <c r="E355" s="44" t="s">
        <v>6846</v>
      </c>
      <c r="F355" s="37">
        <v>1</v>
      </c>
      <c r="G355" s="37" t="s">
        <v>6864</v>
      </c>
      <c r="H355" s="63">
        <v>73251</v>
      </c>
    </row>
    <row r="356" spans="1:8" ht="24.75" customHeight="1">
      <c r="A356" s="44" t="s">
        <v>6506</v>
      </c>
      <c r="B356" s="45" t="s">
        <v>6513</v>
      </c>
      <c r="C356" s="45" t="s">
        <v>6982</v>
      </c>
      <c r="D356" s="45" t="s">
        <v>6692</v>
      </c>
      <c r="E356" s="44" t="s">
        <v>6846</v>
      </c>
      <c r="F356" s="37">
        <v>1</v>
      </c>
      <c r="G356" s="37" t="s">
        <v>6864</v>
      </c>
      <c r="H356" s="63">
        <v>91139</v>
      </c>
    </row>
    <row r="357" spans="1:8" ht="24.75" customHeight="1">
      <c r="A357" s="44" t="s">
        <v>6505</v>
      </c>
      <c r="B357" s="45" t="s">
        <v>6512</v>
      </c>
      <c r="C357" s="45" t="s">
        <v>6982</v>
      </c>
      <c r="D357" s="45" t="s">
        <v>6692</v>
      </c>
      <c r="E357" s="44" t="s">
        <v>6846</v>
      </c>
      <c r="F357" s="37">
        <v>1</v>
      </c>
      <c r="G357" s="37" t="s">
        <v>6864</v>
      </c>
      <c r="H357" s="63">
        <v>91139</v>
      </c>
    </row>
    <row r="358" spans="1:8" ht="24.75" customHeight="1">
      <c r="A358" s="44" t="s">
        <v>6503</v>
      </c>
      <c r="B358" s="45" t="s">
        <v>6504</v>
      </c>
      <c r="C358" s="45" t="s">
        <v>6982</v>
      </c>
      <c r="D358" s="45" t="s">
        <v>6692</v>
      </c>
      <c r="E358" s="44" t="s">
        <v>6846</v>
      </c>
      <c r="F358" s="37">
        <v>1</v>
      </c>
      <c r="G358" s="37" t="s">
        <v>6864</v>
      </c>
      <c r="H358" s="63">
        <v>91139</v>
      </c>
    </row>
    <row r="359" spans="1:8" ht="24.75" customHeight="1">
      <c r="A359" s="44" t="s">
        <v>6507</v>
      </c>
      <c r="B359" s="45" t="s">
        <v>6514</v>
      </c>
      <c r="C359" s="45" t="s">
        <v>6982</v>
      </c>
      <c r="D359" s="45" t="s">
        <v>6692</v>
      </c>
      <c r="E359" s="44" t="s">
        <v>6846</v>
      </c>
      <c r="F359" s="37">
        <v>1</v>
      </c>
      <c r="G359" s="37" t="s">
        <v>6864</v>
      </c>
      <c r="H359" s="63">
        <v>91139</v>
      </c>
    </row>
    <row r="360" spans="1:8" ht="24.75" customHeight="1">
      <c r="A360" s="44" t="s">
        <v>6510</v>
      </c>
      <c r="B360" s="45" t="s">
        <v>6517</v>
      </c>
      <c r="C360" s="45" t="s">
        <v>6982</v>
      </c>
      <c r="D360" s="45" t="s">
        <v>6692</v>
      </c>
      <c r="E360" s="44" t="s">
        <v>6846</v>
      </c>
      <c r="F360" s="37">
        <v>1</v>
      </c>
      <c r="G360" s="37" t="s">
        <v>6864</v>
      </c>
      <c r="H360" s="63">
        <v>91139</v>
      </c>
    </row>
    <row r="361" spans="1:8" ht="24.75" customHeight="1">
      <c r="A361" s="44" t="s">
        <v>6509</v>
      </c>
      <c r="B361" s="45" t="s">
        <v>6516</v>
      </c>
      <c r="C361" s="45" t="s">
        <v>6982</v>
      </c>
      <c r="D361" s="45" t="s">
        <v>6692</v>
      </c>
      <c r="E361" s="44" t="s">
        <v>6846</v>
      </c>
      <c r="F361" s="37">
        <v>1</v>
      </c>
      <c r="G361" s="37" t="s">
        <v>6864</v>
      </c>
      <c r="H361" s="63">
        <v>91139</v>
      </c>
    </row>
    <row r="362" spans="1:8" ht="24.75" customHeight="1">
      <c r="A362" s="44" t="s">
        <v>6508</v>
      </c>
      <c r="B362" s="45" t="s">
        <v>6515</v>
      </c>
      <c r="C362" s="45" t="s">
        <v>6982</v>
      </c>
      <c r="D362" s="45" t="s">
        <v>6692</v>
      </c>
      <c r="E362" s="44" t="s">
        <v>6846</v>
      </c>
      <c r="F362" s="37">
        <v>1</v>
      </c>
      <c r="G362" s="37" t="s">
        <v>6864</v>
      </c>
      <c r="H362" s="63">
        <v>91139</v>
      </c>
    </row>
    <row r="363" spans="1:8" ht="24.75" customHeight="1">
      <c r="A363" s="44" t="s">
        <v>6511</v>
      </c>
      <c r="B363" s="45" t="s">
        <v>6518</v>
      </c>
      <c r="C363" s="45" t="s">
        <v>6982</v>
      </c>
      <c r="D363" s="45" t="s">
        <v>6692</v>
      </c>
      <c r="E363" s="44" t="s">
        <v>6846</v>
      </c>
      <c r="F363" s="37">
        <v>1</v>
      </c>
      <c r="G363" s="37" t="s">
        <v>6864</v>
      </c>
      <c r="H363" s="63">
        <v>91139</v>
      </c>
    </row>
    <row r="364" spans="1:8" ht="24.75" customHeight="1">
      <c r="A364" s="44" t="s">
        <v>2942</v>
      </c>
      <c r="B364" s="45" t="s">
        <v>6343</v>
      </c>
      <c r="C364" s="45" t="s">
        <v>6982</v>
      </c>
      <c r="D364" s="45" t="s">
        <v>6692</v>
      </c>
      <c r="E364" s="44" t="s">
        <v>6846</v>
      </c>
      <c r="F364" s="37">
        <v>1</v>
      </c>
      <c r="G364" s="37" t="s">
        <v>6864</v>
      </c>
      <c r="H364" s="63">
        <v>91139</v>
      </c>
    </row>
    <row r="365" spans="1:8" ht="24.75" customHeight="1">
      <c r="A365" s="44" t="s">
        <v>2943</v>
      </c>
      <c r="B365" s="45" t="s">
        <v>6344</v>
      </c>
      <c r="C365" s="45" t="s">
        <v>6982</v>
      </c>
      <c r="D365" s="45" t="s">
        <v>6692</v>
      </c>
      <c r="E365" s="44" t="s">
        <v>6846</v>
      </c>
      <c r="F365" s="37">
        <v>1</v>
      </c>
      <c r="G365" s="37" t="s">
        <v>6864</v>
      </c>
      <c r="H365" s="63">
        <v>91139</v>
      </c>
    </row>
    <row r="366" spans="1:8" ht="24.75" customHeight="1">
      <c r="A366" s="44" t="s">
        <v>2900</v>
      </c>
      <c r="B366" s="45" t="s">
        <v>6172</v>
      </c>
      <c r="C366" s="45" t="s">
        <v>6982</v>
      </c>
      <c r="D366" s="45" t="s">
        <v>6692</v>
      </c>
      <c r="E366" s="44" t="s">
        <v>6846</v>
      </c>
      <c r="F366" s="37">
        <v>1</v>
      </c>
      <c r="G366" s="37" t="s">
        <v>6864</v>
      </c>
      <c r="H366" s="63">
        <v>91139</v>
      </c>
    </row>
    <row r="367" spans="1:8" ht="24.75" customHeight="1">
      <c r="A367" s="44" t="s">
        <v>2898</v>
      </c>
      <c r="B367" s="45" t="s">
        <v>6171</v>
      </c>
      <c r="C367" s="45" t="s">
        <v>6982</v>
      </c>
      <c r="D367" s="45" t="s">
        <v>6692</v>
      </c>
      <c r="E367" s="44" t="s">
        <v>6846</v>
      </c>
      <c r="F367" s="37">
        <v>1</v>
      </c>
      <c r="G367" s="37" t="s">
        <v>6864</v>
      </c>
      <c r="H367" s="63">
        <v>91139</v>
      </c>
    </row>
    <row r="368" spans="1:8" ht="24.75" customHeight="1">
      <c r="A368" s="44" t="s">
        <v>2897</v>
      </c>
      <c r="B368" s="45" t="s">
        <v>6170</v>
      </c>
      <c r="C368" s="45" t="s">
        <v>6982</v>
      </c>
      <c r="D368" s="45" t="s">
        <v>6692</v>
      </c>
      <c r="E368" s="44" t="s">
        <v>6846</v>
      </c>
      <c r="F368" s="37">
        <v>1</v>
      </c>
      <c r="G368" s="37" t="s">
        <v>6864</v>
      </c>
      <c r="H368" s="63">
        <v>91139</v>
      </c>
    </row>
    <row r="369" spans="1:8" ht="24.75" customHeight="1">
      <c r="A369" s="44" t="s">
        <v>2899</v>
      </c>
      <c r="B369" s="45" t="s">
        <v>6173</v>
      </c>
      <c r="C369" s="45" t="s">
        <v>6982</v>
      </c>
      <c r="D369" s="45" t="s">
        <v>6692</v>
      </c>
      <c r="E369" s="44" t="s">
        <v>6846</v>
      </c>
      <c r="F369" s="37">
        <v>1</v>
      </c>
      <c r="G369" s="37" t="s">
        <v>6864</v>
      </c>
      <c r="H369" s="63">
        <v>91139</v>
      </c>
    </row>
    <row r="370" spans="1:8" ht="24.75" customHeight="1">
      <c r="A370" s="44" t="s">
        <v>2044</v>
      </c>
      <c r="B370" s="45" t="s">
        <v>6178</v>
      </c>
      <c r="C370" s="45" t="s">
        <v>6982</v>
      </c>
      <c r="D370" s="45" t="s">
        <v>6692</v>
      </c>
      <c r="E370" s="44" t="s">
        <v>6846</v>
      </c>
      <c r="F370" s="37">
        <v>1</v>
      </c>
      <c r="G370" s="37" t="s">
        <v>6864</v>
      </c>
      <c r="H370" s="63">
        <v>87811</v>
      </c>
    </row>
    <row r="371" spans="1:8" ht="24.75" customHeight="1">
      <c r="A371" s="44" t="s">
        <v>2042</v>
      </c>
      <c r="B371" s="45" t="s">
        <v>6176</v>
      </c>
      <c r="C371" s="45" t="s">
        <v>6982</v>
      </c>
      <c r="D371" s="45" t="s">
        <v>6692</v>
      </c>
      <c r="E371" s="44" t="s">
        <v>6846</v>
      </c>
      <c r="F371" s="37">
        <v>1</v>
      </c>
      <c r="G371" s="37" t="s">
        <v>6864</v>
      </c>
      <c r="H371" s="63">
        <v>87811</v>
      </c>
    </row>
    <row r="372" spans="1:8" ht="24.75" customHeight="1">
      <c r="A372" s="44" t="s">
        <v>2041</v>
      </c>
      <c r="B372" s="45" t="s">
        <v>6175</v>
      </c>
      <c r="C372" s="45" t="s">
        <v>6982</v>
      </c>
      <c r="D372" s="45" t="s">
        <v>6692</v>
      </c>
      <c r="E372" s="44" t="s">
        <v>6846</v>
      </c>
      <c r="F372" s="37">
        <v>1</v>
      </c>
      <c r="G372" s="37" t="s">
        <v>6864</v>
      </c>
      <c r="H372" s="63">
        <v>87811</v>
      </c>
    </row>
    <row r="373" spans="1:8" ht="24.75" customHeight="1">
      <c r="A373" s="44" t="s">
        <v>2040</v>
      </c>
      <c r="B373" s="45" t="s">
        <v>6174</v>
      </c>
      <c r="C373" s="45" t="s">
        <v>6982</v>
      </c>
      <c r="D373" s="45" t="s">
        <v>6692</v>
      </c>
      <c r="E373" s="44" t="s">
        <v>6846</v>
      </c>
      <c r="F373" s="37">
        <v>1</v>
      </c>
      <c r="G373" s="37" t="s">
        <v>6864</v>
      </c>
      <c r="H373" s="63">
        <v>87811</v>
      </c>
    </row>
    <row r="374" spans="1:8" ht="24.75" customHeight="1">
      <c r="A374" s="44" t="s">
        <v>2043</v>
      </c>
      <c r="B374" s="45" t="s">
        <v>6177</v>
      </c>
      <c r="C374" s="45" t="s">
        <v>6982</v>
      </c>
      <c r="D374" s="45" t="s">
        <v>6692</v>
      </c>
      <c r="E374" s="44" t="s">
        <v>6846</v>
      </c>
      <c r="F374" s="37">
        <v>1</v>
      </c>
      <c r="G374" s="37" t="s">
        <v>6864</v>
      </c>
      <c r="H374" s="63">
        <v>87811</v>
      </c>
    </row>
    <row r="375" spans="1:8" ht="24.75" customHeight="1">
      <c r="A375" s="44" t="s">
        <v>2090</v>
      </c>
      <c r="B375" s="45" t="s">
        <v>6181</v>
      </c>
      <c r="C375" s="45" t="s">
        <v>6982</v>
      </c>
      <c r="D375" s="45" t="s">
        <v>6692</v>
      </c>
      <c r="E375" s="44" t="s">
        <v>6846</v>
      </c>
      <c r="F375" s="37">
        <v>1</v>
      </c>
      <c r="G375" s="37" t="s">
        <v>6864</v>
      </c>
      <c r="H375" s="63">
        <v>87811</v>
      </c>
    </row>
    <row r="376" spans="1:8" ht="24.75" customHeight="1">
      <c r="A376" s="44" t="s">
        <v>2089</v>
      </c>
      <c r="B376" s="45" t="s">
        <v>6180</v>
      </c>
      <c r="C376" s="45" t="s">
        <v>6982</v>
      </c>
      <c r="D376" s="45" t="s">
        <v>6692</v>
      </c>
      <c r="E376" s="44" t="s">
        <v>6846</v>
      </c>
      <c r="F376" s="37">
        <v>1</v>
      </c>
      <c r="G376" s="37" t="s">
        <v>6864</v>
      </c>
      <c r="H376" s="63">
        <v>87811</v>
      </c>
    </row>
    <row r="377" spans="1:8" ht="24.75" customHeight="1">
      <c r="A377" s="44" t="s">
        <v>2088</v>
      </c>
      <c r="B377" s="45" t="s">
        <v>6179</v>
      </c>
      <c r="C377" s="45" t="s">
        <v>6982</v>
      </c>
      <c r="D377" s="45" t="s">
        <v>6692</v>
      </c>
      <c r="E377" s="44" t="s">
        <v>6846</v>
      </c>
      <c r="F377" s="37">
        <v>1</v>
      </c>
      <c r="G377" s="37" t="s">
        <v>6864</v>
      </c>
      <c r="H377" s="63">
        <v>87811</v>
      </c>
    </row>
    <row r="378" spans="1:8" ht="24.75" customHeight="1">
      <c r="A378" s="44" t="s">
        <v>2091</v>
      </c>
      <c r="B378" s="45" t="s">
        <v>6182</v>
      </c>
      <c r="C378" s="45" t="s">
        <v>6982</v>
      </c>
      <c r="D378" s="45" t="s">
        <v>6692</v>
      </c>
      <c r="E378" s="44" t="s">
        <v>6846</v>
      </c>
      <c r="F378" s="37">
        <v>1</v>
      </c>
      <c r="G378" s="37" t="s">
        <v>6864</v>
      </c>
      <c r="H378" s="63">
        <v>87811</v>
      </c>
    </row>
    <row r="379" spans="1:8" ht="24.75" customHeight="1">
      <c r="A379" s="44" t="s">
        <v>6488</v>
      </c>
      <c r="B379" s="45" t="s">
        <v>6487</v>
      </c>
      <c r="C379" s="45" t="s">
        <v>6982</v>
      </c>
      <c r="D379" s="45" t="s">
        <v>6692</v>
      </c>
      <c r="E379" s="44" t="s">
        <v>6846</v>
      </c>
      <c r="F379" s="37">
        <v>1</v>
      </c>
      <c r="G379" s="37" t="s">
        <v>6864</v>
      </c>
      <c r="H379" s="63">
        <v>73251</v>
      </c>
    </row>
    <row r="380" spans="1:8" ht="24.75" customHeight="1">
      <c r="A380" s="44" t="s">
        <v>1177</v>
      </c>
      <c r="B380" s="45" t="s">
        <v>5151</v>
      </c>
      <c r="C380" s="45" t="s">
        <v>6693</v>
      </c>
      <c r="D380" s="45" t="s">
        <v>6694</v>
      </c>
      <c r="E380" s="44"/>
      <c r="F380" s="37">
        <v>1</v>
      </c>
      <c r="G380" s="37" t="s">
        <v>6864</v>
      </c>
      <c r="H380" s="63">
        <v>38080.9</v>
      </c>
    </row>
    <row r="381" spans="1:8" ht="24.75" customHeight="1">
      <c r="A381" s="44" t="s">
        <v>1823</v>
      </c>
      <c r="B381" s="45" t="s">
        <v>5447</v>
      </c>
      <c r="C381" s="45" t="s">
        <v>6693</v>
      </c>
      <c r="D381" s="45" t="s">
        <v>6694</v>
      </c>
      <c r="E381" s="44"/>
      <c r="F381" s="37">
        <v>1</v>
      </c>
      <c r="G381" s="37" t="s">
        <v>6864</v>
      </c>
      <c r="H381" s="63">
        <v>51365.599999999999</v>
      </c>
    </row>
    <row r="382" spans="1:8" ht="24.75" customHeight="1">
      <c r="A382" s="44" t="s">
        <v>979</v>
      </c>
      <c r="B382" s="45" t="s">
        <v>5693</v>
      </c>
      <c r="C382" s="45" t="s">
        <v>6693</v>
      </c>
      <c r="D382" s="45" t="s">
        <v>6694</v>
      </c>
      <c r="E382" s="44"/>
      <c r="F382" s="37">
        <v>1</v>
      </c>
      <c r="G382" s="37" t="s">
        <v>6864</v>
      </c>
      <c r="H382" s="63">
        <v>39124.800000000003</v>
      </c>
    </row>
    <row r="383" spans="1:8" ht="24.75" customHeight="1">
      <c r="A383" s="44" t="s">
        <v>2739</v>
      </c>
      <c r="B383" s="45" t="s">
        <v>5756</v>
      </c>
      <c r="C383" s="45" t="s">
        <v>6693</v>
      </c>
      <c r="D383" s="45" t="s">
        <v>6694</v>
      </c>
      <c r="E383" s="44"/>
      <c r="F383" s="37">
        <v>1</v>
      </c>
      <c r="G383" s="37" t="s">
        <v>6864</v>
      </c>
      <c r="H383" s="63">
        <v>44072.6</v>
      </c>
    </row>
    <row r="384" spans="1:8" ht="24.75" customHeight="1">
      <c r="A384" s="44" t="s">
        <v>2152</v>
      </c>
      <c r="B384" s="45" t="s">
        <v>5873</v>
      </c>
      <c r="C384" s="45" t="s">
        <v>6693</v>
      </c>
      <c r="D384" s="45" t="s">
        <v>6694</v>
      </c>
      <c r="E384" s="44"/>
      <c r="F384" s="37">
        <v>1</v>
      </c>
      <c r="G384" s="37" t="s">
        <v>6864</v>
      </c>
      <c r="H384" s="63">
        <v>47218.6</v>
      </c>
    </row>
    <row r="385" spans="1:8" ht="24.75" customHeight="1">
      <c r="A385" s="44" t="s">
        <v>2441</v>
      </c>
      <c r="B385" s="45" t="s">
        <v>4837</v>
      </c>
      <c r="C385" s="45" t="s">
        <v>6693</v>
      </c>
      <c r="D385" s="45" t="s">
        <v>6694</v>
      </c>
      <c r="E385" s="44"/>
      <c r="F385" s="37">
        <v>1</v>
      </c>
      <c r="G385" s="37" t="s">
        <v>6864</v>
      </c>
      <c r="H385" s="63">
        <v>36107.5</v>
      </c>
    </row>
    <row r="386" spans="1:8" ht="24.75" customHeight="1">
      <c r="A386" s="44" t="s">
        <v>2341</v>
      </c>
      <c r="B386" s="45" t="s">
        <v>4801</v>
      </c>
      <c r="C386" s="45" t="s">
        <v>6693</v>
      </c>
      <c r="D386" s="45" t="s">
        <v>6694</v>
      </c>
      <c r="E386" s="44"/>
      <c r="F386" s="37">
        <v>1</v>
      </c>
      <c r="G386" s="37" t="s">
        <v>6864</v>
      </c>
      <c r="H386" s="63">
        <v>58672.9</v>
      </c>
    </row>
    <row r="387" spans="1:8" ht="24.75" customHeight="1">
      <c r="A387" s="44" t="s">
        <v>1399</v>
      </c>
      <c r="B387" s="45" t="s">
        <v>4946</v>
      </c>
      <c r="C387" s="45" t="s">
        <v>6693</v>
      </c>
      <c r="D387" s="45" t="s">
        <v>6694</v>
      </c>
      <c r="E387" s="44"/>
      <c r="F387" s="37">
        <v>1</v>
      </c>
      <c r="G387" s="37" t="s">
        <v>6864</v>
      </c>
      <c r="H387" s="63">
        <v>50765</v>
      </c>
    </row>
    <row r="388" spans="1:8" ht="24.75" customHeight="1">
      <c r="A388" s="44" t="s">
        <v>754</v>
      </c>
      <c r="B388" s="45" t="s">
        <v>6050</v>
      </c>
      <c r="C388" s="45" t="s">
        <v>6693</v>
      </c>
      <c r="D388" s="45" t="s">
        <v>6694</v>
      </c>
      <c r="E388" s="44"/>
      <c r="F388" s="37">
        <v>1</v>
      </c>
      <c r="G388" s="37" t="s">
        <v>6864</v>
      </c>
      <c r="H388" s="63">
        <v>39482.300000000003</v>
      </c>
    </row>
    <row r="389" spans="1:8" ht="24.75" customHeight="1">
      <c r="A389" s="44" t="s">
        <v>1099</v>
      </c>
      <c r="B389" s="45" t="s">
        <v>5082</v>
      </c>
      <c r="C389" s="45" t="s">
        <v>6693</v>
      </c>
      <c r="D389" s="45" t="s">
        <v>6695</v>
      </c>
      <c r="E389" s="44" t="s">
        <v>6839</v>
      </c>
      <c r="F389" s="37">
        <v>1</v>
      </c>
      <c r="G389" s="37" t="s">
        <v>6864</v>
      </c>
      <c r="H389" s="63">
        <v>14643.2</v>
      </c>
    </row>
    <row r="390" spans="1:8" ht="24.75" customHeight="1">
      <c r="A390" s="44" t="s">
        <v>1647</v>
      </c>
      <c r="B390" s="45" t="s">
        <v>5415</v>
      </c>
      <c r="C390" s="45" t="s">
        <v>6693</v>
      </c>
      <c r="D390" s="45" t="s">
        <v>6695</v>
      </c>
      <c r="E390" s="44"/>
      <c r="F390" s="37">
        <v>1</v>
      </c>
      <c r="G390" s="37" t="s">
        <v>6864</v>
      </c>
      <c r="H390" s="63">
        <v>16845.400000000001</v>
      </c>
    </row>
    <row r="391" spans="1:8" ht="24.75" customHeight="1">
      <c r="A391" s="44" t="s">
        <v>614</v>
      </c>
      <c r="B391" s="45" t="s">
        <v>5660</v>
      </c>
      <c r="C391" s="45" t="s">
        <v>6693</v>
      </c>
      <c r="D391" s="45" t="s">
        <v>6695</v>
      </c>
      <c r="E391" s="44" t="s">
        <v>6839</v>
      </c>
      <c r="F391" s="37">
        <v>1</v>
      </c>
      <c r="G391" s="37" t="s">
        <v>6864</v>
      </c>
      <c r="H391" s="63">
        <v>13299</v>
      </c>
    </row>
    <row r="392" spans="1:8" ht="24.75" customHeight="1">
      <c r="A392" s="44" t="s">
        <v>2820</v>
      </c>
      <c r="B392" s="45" t="s">
        <v>5819</v>
      </c>
      <c r="C392" s="45" t="s">
        <v>6693</v>
      </c>
      <c r="D392" s="45" t="s">
        <v>6695</v>
      </c>
      <c r="E392" s="44"/>
      <c r="F392" s="37">
        <v>1</v>
      </c>
      <c r="G392" s="37" t="s">
        <v>6864</v>
      </c>
      <c r="H392" s="63">
        <v>12369.5</v>
      </c>
    </row>
    <row r="393" spans="1:8" ht="24.75" customHeight="1">
      <c r="A393" s="44" t="s">
        <v>2446</v>
      </c>
      <c r="B393" s="45" t="s">
        <v>4838</v>
      </c>
      <c r="C393" s="45" t="s">
        <v>6693</v>
      </c>
      <c r="D393" s="45" t="s">
        <v>6695</v>
      </c>
      <c r="E393" s="44"/>
      <c r="F393" s="37">
        <v>1</v>
      </c>
      <c r="G393" s="37" t="s">
        <v>6864</v>
      </c>
      <c r="H393" s="63">
        <v>13956.8</v>
      </c>
    </row>
    <row r="394" spans="1:8" ht="24.75" customHeight="1">
      <c r="A394" s="44" t="s">
        <v>1198</v>
      </c>
      <c r="B394" s="45" t="s">
        <v>4954</v>
      </c>
      <c r="C394" s="45" t="s">
        <v>6693</v>
      </c>
      <c r="D394" s="45" t="s">
        <v>6695</v>
      </c>
      <c r="E394" s="44"/>
      <c r="F394" s="37">
        <v>1</v>
      </c>
      <c r="G394" s="37" t="s">
        <v>6864</v>
      </c>
      <c r="H394" s="63">
        <v>18590</v>
      </c>
    </row>
    <row r="395" spans="1:8" ht="24.75" customHeight="1">
      <c r="A395" s="44" t="s">
        <v>761</v>
      </c>
      <c r="B395" s="45" t="s">
        <v>6015</v>
      </c>
      <c r="C395" s="45" t="s">
        <v>6693</v>
      </c>
      <c r="D395" s="45" t="s">
        <v>6695</v>
      </c>
      <c r="E395" s="44" t="s">
        <v>6839</v>
      </c>
      <c r="F395" s="37">
        <v>1</v>
      </c>
      <c r="G395" s="37" t="s">
        <v>6864</v>
      </c>
      <c r="H395" s="63">
        <v>16788.2</v>
      </c>
    </row>
    <row r="396" spans="1:8" ht="24.75" customHeight="1">
      <c r="A396" s="44" t="s">
        <v>156</v>
      </c>
      <c r="B396" s="45" t="s">
        <v>5124</v>
      </c>
      <c r="C396" s="45" t="s">
        <v>6693</v>
      </c>
      <c r="D396" s="45" t="s">
        <v>6695</v>
      </c>
      <c r="E396" s="44" t="s">
        <v>6839</v>
      </c>
      <c r="F396" s="37">
        <v>1</v>
      </c>
      <c r="G396" s="37" t="s">
        <v>6864</v>
      </c>
      <c r="H396" s="63">
        <v>2502.5</v>
      </c>
    </row>
    <row r="397" spans="1:8" ht="24.75" customHeight="1">
      <c r="A397" s="44" t="s">
        <v>3198</v>
      </c>
      <c r="B397" s="45" t="s">
        <v>4822</v>
      </c>
      <c r="C397" s="45" t="s">
        <v>6693</v>
      </c>
      <c r="D397" s="45" t="s">
        <v>6695</v>
      </c>
      <c r="E397" s="44"/>
      <c r="F397" s="37">
        <v>1</v>
      </c>
      <c r="G397" s="37" t="s">
        <v>6864</v>
      </c>
      <c r="H397" s="63">
        <v>2288</v>
      </c>
    </row>
    <row r="398" spans="1:8" ht="24.75" customHeight="1">
      <c r="A398" s="44" t="s">
        <v>1594</v>
      </c>
      <c r="B398" s="45" t="s">
        <v>5480</v>
      </c>
      <c r="C398" s="45" t="s">
        <v>6693</v>
      </c>
      <c r="D398" s="45" t="s">
        <v>6695</v>
      </c>
      <c r="E398" s="44" t="s">
        <v>6839</v>
      </c>
      <c r="F398" s="37">
        <v>1</v>
      </c>
      <c r="G398" s="37" t="s">
        <v>6864</v>
      </c>
      <c r="H398" s="63">
        <v>3403.4</v>
      </c>
    </row>
    <row r="399" spans="1:8" ht="24.75" customHeight="1">
      <c r="A399" s="44" t="s">
        <v>2811</v>
      </c>
      <c r="B399" s="45" t="s">
        <v>5811</v>
      </c>
      <c r="C399" s="45" t="s">
        <v>6693</v>
      </c>
      <c r="D399" s="45" t="s">
        <v>6695</v>
      </c>
      <c r="E399" s="44" t="s">
        <v>6839</v>
      </c>
      <c r="F399" s="37">
        <v>1</v>
      </c>
      <c r="G399" s="37" t="s">
        <v>6864</v>
      </c>
      <c r="H399" s="63">
        <v>3360.5</v>
      </c>
    </row>
    <row r="400" spans="1:8" ht="24.75" customHeight="1">
      <c r="A400" s="44" t="s">
        <v>1449</v>
      </c>
      <c r="B400" s="45" t="s">
        <v>5011</v>
      </c>
      <c r="C400" s="45" t="s">
        <v>6693</v>
      </c>
      <c r="D400" s="45" t="s">
        <v>6695</v>
      </c>
      <c r="E400" s="44"/>
      <c r="F400" s="37">
        <v>1</v>
      </c>
      <c r="G400" s="37" t="s">
        <v>6864</v>
      </c>
      <c r="H400" s="63">
        <v>8837.4</v>
      </c>
    </row>
    <row r="401" spans="1:8" ht="24.75" customHeight="1">
      <c r="A401" s="44" t="s">
        <v>774</v>
      </c>
      <c r="B401" s="45" t="s">
        <v>6014</v>
      </c>
      <c r="C401" s="45" t="s">
        <v>6693</v>
      </c>
      <c r="D401" s="45" t="s">
        <v>6695</v>
      </c>
      <c r="E401" s="44" t="s">
        <v>6839</v>
      </c>
      <c r="F401" s="37">
        <v>1</v>
      </c>
      <c r="G401" s="37" t="s">
        <v>6864</v>
      </c>
      <c r="H401" s="63">
        <v>2402.4</v>
      </c>
    </row>
    <row r="402" spans="1:8" ht="24.75" customHeight="1">
      <c r="A402" s="44" t="s">
        <v>683</v>
      </c>
      <c r="B402" s="45" t="s">
        <v>5092</v>
      </c>
      <c r="C402" s="45" t="s">
        <v>6693</v>
      </c>
      <c r="D402" s="45" t="s">
        <v>6695</v>
      </c>
      <c r="E402" s="44"/>
      <c r="F402" s="37">
        <v>10</v>
      </c>
      <c r="G402" s="37" t="s">
        <v>6864</v>
      </c>
      <c r="H402" s="63">
        <v>700.7</v>
      </c>
    </row>
    <row r="403" spans="1:8" ht="24.75" customHeight="1">
      <c r="A403" s="44" t="s">
        <v>3184</v>
      </c>
      <c r="B403" s="45" t="s">
        <v>5395</v>
      </c>
      <c r="C403" s="45" t="s">
        <v>6693</v>
      </c>
      <c r="D403" s="45" t="s">
        <v>6695</v>
      </c>
      <c r="E403" s="44"/>
      <c r="F403" s="37">
        <v>5</v>
      </c>
      <c r="G403" s="37" t="s">
        <v>6864</v>
      </c>
      <c r="H403" s="63">
        <v>2345.1999999999998</v>
      </c>
    </row>
    <row r="404" spans="1:8" ht="24.75" customHeight="1">
      <c r="A404" s="44" t="s">
        <v>630</v>
      </c>
      <c r="B404" s="45" t="s">
        <v>4717</v>
      </c>
      <c r="C404" s="45" t="s">
        <v>6693</v>
      </c>
      <c r="D404" s="45" t="s">
        <v>6695</v>
      </c>
      <c r="E404" s="44"/>
      <c r="F404" s="37">
        <v>10</v>
      </c>
      <c r="G404" s="37" t="s">
        <v>6864</v>
      </c>
      <c r="H404" s="63">
        <v>1258.4000000000001</v>
      </c>
    </row>
    <row r="405" spans="1:8" ht="24.75" customHeight="1">
      <c r="A405" s="44" t="s">
        <v>980</v>
      </c>
      <c r="B405" s="45" t="s">
        <v>5694</v>
      </c>
      <c r="C405" s="45" t="s">
        <v>6693</v>
      </c>
      <c r="D405" s="45" t="s">
        <v>6695</v>
      </c>
      <c r="E405" s="44"/>
      <c r="F405" s="37">
        <v>10</v>
      </c>
      <c r="G405" s="37" t="s">
        <v>6864</v>
      </c>
      <c r="H405" s="63">
        <v>772.2</v>
      </c>
    </row>
    <row r="406" spans="1:8" ht="24.75" customHeight="1">
      <c r="A406" s="44" t="s">
        <v>631</v>
      </c>
      <c r="B406" s="45" t="s">
        <v>4718</v>
      </c>
      <c r="C406" s="45" t="s">
        <v>6693</v>
      </c>
      <c r="D406" s="45" t="s">
        <v>6695</v>
      </c>
      <c r="E406" s="44"/>
      <c r="F406" s="37">
        <v>10</v>
      </c>
      <c r="G406" s="37" t="s">
        <v>6864</v>
      </c>
      <c r="H406" s="63">
        <v>829.4</v>
      </c>
    </row>
    <row r="407" spans="1:8" ht="24.75" customHeight="1">
      <c r="A407" s="44" t="s">
        <v>1464</v>
      </c>
      <c r="B407" s="45" t="s">
        <v>5030</v>
      </c>
      <c r="C407" s="45" t="s">
        <v>6693</v>
      </c>
      <c r="D407" s="45" t="s">
        <v>6695</v>
      </c>
      <c r="E407" s="44"/>
      <c r="F407" s="37">
        <v>5</v>
      </c>
      <c r="G407" s="37" t="s">
        <v>6864</v>
      </c>
      <c r="H407" s="63">
        <v>1201.2</v>
      </c>
    </row>
    <row r="408" spans="1:8" ht="24.75" customHeight="1">
      <c r="A408" s="44" t="s">
        <v>799</v>
      </c>
      <c r="B408" s="45" t="s">
        <v>6017</v>
      </c>
      <c r="C408" s="45" t="s">
        <v>6693</v>
      </c>
      <c r="D408" s="45" t="s">
        <v>6695</v>
      </c>
      <c r="E408" s="44"/>
      <c r="F408" s="37">
        <v>10</v>
      </c>
      <c r="G408" s="37" t="s">
        <v>6864</v>
      </c>
      <c r="H408" s="63">
        <v>586.29999999999995</v>
      </c>
    </row>
    <row r="409" spans="1:8" ht="24.75" customHeight="1">
      <c r="A409" s="44" t="s">
        <v>3171</v>
      </c>
      <c r="B409" s="45" t="s">
        <v>5363</v>
      </c>
      <c r="C409" s="45" t="s">
        <v>6693</v>
      </c>
      <c r="D409" s="45" t="s">
        <v>6696</v>
      </c>
      <c r="E409" s="44"/>
      <c r="F409" s="37">
        <v>1</v>
      </c>
      <c r="G409" s="37" t="s">
        <v>2568</v>
      </c>
      <c r="H409" s="63">
        <v>46160.4</v>
      </c>
    </row>
    <row r="410" spans="1:8" ht="24.75" customHeight="1">
      <c r="A410" s="44" t="s">
        <v>721</v>
      </c>
      <c r="B410" s="45" t="s">
        <v>5079</v>
      </c>
      <c r="C410" s="45" t="s">
        <v>6693</v>
      </c>
      <c r="D410" s="45" t="s">
        <v>6696</v>
      </c>
      <c r="E410" s="44" t="s">
        <v>6839</v>
      </c>
      <c r="F410" s="37">
        <v>1</v>
      </c>
      <c r="G410" s="37" t="s">
        <v>6864</v>
      </c>
      <c r="H410" s="63">
        <v>40697.800000000003</v>
      </c>
    </row>
    <row r="411" spans="1:8" ht="24.75" customHeight="1">
      <c r="A411" s="44" t="s">
        <v>1654</v>
      </c>
      <c r="B411" s="45" t="s">
        <v>5457</v>
      </c>
      <c r="C411" s="45" t="s">
        <v>6693</v>
      </c>
      <c r="D411" s="45" t="s">
        <v>6696</v>
      </c>
      <c r="E411" s="44"/>
      <c r="F411" s="37">
        <v>1</v>
      </c>
      <c r="G411" s="37" t="s">
        <v>6864</v>
      </c>
      <c r="H411" s="63">
        <v>35035</v>
      </c>
    </row>
    <row r="412" spans="1:8" ht="24.75" customHeight="1">
      <c r="A412" s="44" t="s">
        <v>2808</v>
      </c>
      <c r="B412" s="45" t="s">
        <v>5807</v>
      </c>
      <c r="C412" s="45" t="s">
        <v>6693</v>
      </c>
      <c r="D412" s="45" t="s">
        <v>6696</v>
      </c>
      <c r="E412" s="44"/>
      <c r="F412" s="37">
        <v>1</v>
      </c>
      <c r="G412" s="37" t="s">
        <v>6864</v>
      </c>
      <c r="H412" s="63">
        <v>48562.8</v>
      </c>
    </row>
    <row r="413" spans="1:8" ht="24.75" customHeight="1">
      <c r="A413" s="44" t="s">
        <v>2385</v>
      </c>
      <c r="B413" s="45" t="s">
        <v>4825</v>
      </c>
      <c r="C413" s="45" t="s">
        <v>6693</v>
      </c>
      <c r="D413" s="45" t="s">
        <v>6696</v>
      </c>
      <c r="E413" s="44"/>
      <c r="F413" s="37">
        <v>1</v>
      </c>
      <c r="G413" s="37" t="s">
        <v>6864</v>
      </c>
      <c r="H413" s="63">
        <v>42070.6</v>
      </c>
    </row>
    <row r="414" spans="1:8" ht="24.75" customHeight="1">
      <c r="A414" s="44" t="s">
        <v>2187</v>
      </c>
      <c r="B414" s="45" t="s">
        <v>5933</v>
      </c>
      <c r="C414" s="45" t="s">
        <v>6693</v>
      </c>
      <c r="D414" s="45" t="s">
        <v>6696</v>
      </c>
      <c r="E414" s="44"/>
      <c r="F414" s="37">
        <v>1</v>
      </c>
      <c r="G414" s="37" t="s">
        <v>6864</v>
      </c>
      <c r="H414" s="63">
        <v>41512.9</v>
      </c>
    </row>
    <row r="415" spans="1:8" ht="24.75" customHeight="1">
      <c r="A415" s="44" t="s">
        <v>2463</v>
      </c>
      <c r="B415" s="45" t="s">
        <v>4840</v>
      </c>
      <c r="C415" s="45" t="s">
        <v>6693</v>
      </c>
      <c r="D415" s="45" t="s">
        <v>6696</v>
      </c>
      <c r="E415" s="44"/>
      <c r="F415" s="37">
        <v>1</v>
      </c>
      <c r="G415" s="37" t="s">
        <v>6864</v>
      </c>
      <c r="H415" s="63">
        <v>31031</v>
      </c>
    </row>
    <row r="416" spans="1:8" ht="24.75" customHeight="1">
      <c r="A416" s="44" t="s">
        <v>427</v>
      </c>
      <c r="B416" s="45" t="s">
        <v>5176</v>
      </c>
      <c r="C416" s="45" t="s">
        <v>6693</v>
      </c>
      <c r="D416" s="45" t="s">
        <v>6696</v>
      </c>
      <c r="E416" s="44" t="s">
        <v>6839</v>
      </c>
      <c r="F416" s="37">
        <v>1</v>
      </c>
      <c r="G416" s="37" t="s">
        <v>6864</v>
      </c>
      <c r="H416" s="63">
        <v>46803.9</v>
      </c>
    </row>
    <row r="417" spans="1:8" ht="24.75" customHeight="1">
      <c r="A417" s="44" t="s">
        <v>1414</v>
      </c>
      <c r="B417" s="45" t="s">
        <v>4963</v>
      </c>
      <c r="C417" s="45" t="s">
        <v>6693</v>
      </c>
      <c r="D417" s="45" t="s">
        <v>6696</v>
      </c>
      <c r="E417" s="44"/>
      <c r="F417" s="37">
        <v>1</v>
      </c>
      <c r="G417" s="37" t="s">
        <v>6864</v>
      </c>
      <c r="H417" s="63">
        <v>29658.2</v>
      </c>
    </row>
    <row r="418" spans="1:8" ht="24.75" customHeight="1">
      <c r="A418" s="44" t="s">
        <v>772</v>
      </c>
      <c r="B418" s="45" t="s">
        <v>6028</v>
      </c>
      <c r="C418" s="45" t="s">
        <v>6693</v>
      </c>
      <c r="D418" s="45" t="s">
        <v>6696</v>
      </c>
      <c r="E418" s="44" t="s">
        <v>6839</v>
      </c>
      <c r="F418" s="37">
        <v>1</v>
      </c>
      <c r="G418" s="37" t="s">
        <v>6864</v>
      </c>
      <c r="H418" s="63">
        <v>23065.9</v>
      </c>
    </row>
    <row r="419" spans="1:8" ht="24.75" customHeight="1">
      <c r="A419" s="44" t="s">
        <v>3172</v>
      </c>
      <c r="B419" s="45" t="s">
        <v>5364</v>
      </c>
      <c r="C419" s="45" t="s">
        <v>6693</v>
      </c>
      <c r="D419" s="45" t="s">
        <v>6696</v>
      </c>
      <c r="E419" s="44"/>
      <c r="F419" s="37">
        <v>1</v>
      </c>
      <c r="G419" s="37" t="s">
        <v>2568</v>
      </c>
      <c r="H419" s="63">
        <v>44716.1</v>
      </c>
    </row>
    <row r="420" spans="1:8" ht="24.75" customHeight="1">
      <c r="A420" s="44" t="s">
        <v>158</v>
      </c>
      <c r="B420" s="45" t="s">
        <v>5126</v>
      </c>
      <c r="C420" s="45" t="s">
        <v>6693</v>
      </c>
      <c r="D420" s="45" t="s">
        <v>6696</v>
      </c>
      <c r="E420" s="44"/>
      <c r="F420" s="37">
        <v>1</v>
      </c>
      <c r="G420" s="37" t="s">
        <v>2568</v>
      </c>
      <c r="H420" s="63">
        <v>10467.6</v>
      </c>
    </row>
    <row r="421" spans="1:8" ht="24.75" customHeight="1">
      <c r="A421" s="44" t="s">
        <v>1655</v>
      </c>
      <c r="B421" s="45" t="s">
        <v>5458</v>
      </c>
      <c r="C421" s="45" t="s">
        <v>6693</v>
      </c>
      <c r="D421" s="45" t="s">
        <v>6696</v>
      </c>
      <c r="E421" s="44"/>
      <c r="F421" s="37">
        <v>1</v>
      </c>
      <c r="G421" s="37" t="s">
        <v>6864</v>
      </c>
      <c r="H421" s="63">
        <v>32890</v>
      </c>
    </row>
    <row r="422" spans="1:8" ht="24.75" customHeight="1">
      <c r="A422" s="44" t="s">
        <v>2384</v>
      </c>
      <c r="B422" s="45" t="s">
        <v>4824</v>
      </c>
      <c r="C422" s="45" t="s">
        <v>6693</v>
      </c>
      <c r="D422" s="45" t="s">
        <v>6696</v>
      </c>
      <c r="E422" s="44"/>
      <c r="F422" s="37">
        <v>1</v>
      </c>
      <c r="G422" s="37" t="s">
        <v>6864</v>
      </c>
      <c r="H422" s="63">
        <v>37637.599999999999</v>
      </c>
    </row>
    <row r="423" spans="1:8" ht="24.75" customHeight="1">
      <c r="A423" s="44" t="s">
        <v>2188</v>
      </c>
      <c r="B423" s="45" t="s">
        <v>5921</v>
      </c>
      <c r="C423" s="45" t="s">
        <v>6693</v>
      </c>
      <c r="D423" s="45" t="s">
        <v>6696</v>
      </c>
      <c r="E423" s="44"/>
      <c r="F423" s="37">
        <v>1</v>
      </c>
      <c r="G423" s="37" t="s">
        <v>6864</v>
      </c>
      <c r="H423" s="63">
        <v>43457.7</v>
      </c>
    </row>
    <row r="424" spans="1:8" ht="24.75" customHeight="1">
      <c r="A424" s="44" t="s">
        <v>1415</v>
      </c>
      <c r="B424" s="45" t="s">
        <v>4964</v>
      </c>
      <c r="C424" s="45" t="s">
        <v>6693</v>
      </c>
      <c r="D424" s="45" t="s">
        <v>6696</v>
      </c>
      <c r="E424" s="44"/>
      <c r="F424" s="37">
        <v>1</v>
      </c>
      <c r="G424" s="37" t="s">
        <v>6864</v>
      </c>
      <c r="H424" s="63">
        <v>29658.2</v>
      </c>
    </row>
    <row r="425" spans="1:8" ht="24.75" customHeight="1">
      <c r="A425" s="44" t="s">
        <v>773</v>
      </c>
      <c r="B425" s="45" t="s">
        <v>6029</v>
      </c>
      <c r="C425" s="45" t="s">
        <v>6693</v>
      </c>
      <c r="D425" s="45" t="s">
        <v>6696</v>
      </c>
      <c r="E425" s="44" t="s">
        <v>6839</v>
      </c>
      <c r="F425" s="37">
        <v>1</v>
      </c>
      <c r="G425" s="37" t="s">
        <v>6864</v>
      </c>
      <c r="H425" s="63">
        <v>26826.799999999999</v>
      </c>
    </row>
    <row r="426" spans="1:8" ht="24.75" customHeight="1">
      <c r="A426" s="44" t="s">
        <v>1102</v>
      </c>
      <c r="B426" s="45" t="s">
        <v>5085</v>
      </c>
      <c r="C426" s="45" t="s">
        <v>6693</v>
      </c>
      <c r="D426" s="45" t="s">
        <v>6697</v>
      </c>
      <c r="E426" s="44" t="s">
        <v>6839</v>
      </c>
      <c r="F426" s="37">
        <v>1</v>
      </c>
      <c r="G426" s="37" t="s">
        <v>2568</v>
      </c>
      <c r="H426" s="63">
        <v>4089.8</v>
      </c>
    </row>
    <row r="427" spans="1:8" ht="24.75" customHeight="1">
      <c r="A427" s="44" t="s">
        <v>577</v>
      </c>
      <c r="B427" s="45" t="s">
        <v>3677</v>
      </c>
      <c r="C427" s="45" t="s">
        <v>6693</v>
      </c>
      <c r="D427" s="45" t="s">
        <v>6697</v>
      </c>
      <c r="E427" s="44" t="s">
        <v>6855</v>
      </c>
      <c r="F427" s="37">
        <v>1</v>
      </c>
      <c r="G427" s="37" t="s">
        <v>2568</v>
      </c>
      <c r="H427" s="63">
        <v>3875.3</v>
      </c>
    </row>
    <row r="428" spans="1:8" ht="24.75" customHeight="1">
      <c r="A428" s="44" t="s">
        <v>578</v>
      </c>
      <c r="B428" s="45" t="s">
        <v>3678</v>
      </c>
      <c r="C428" s="45" t="s">
        <v>6693</v>
      </c>
      <c r="D428" s="45" t="s">
        <v>6697</v>
      </c>
      <c r="E428" s="44" t="s">
        <v>6855</v>
      </c>
      <c r="F428" s="37">
        <v>1</v>
      </c>
      <c r="G428" s="37" t="s">
        <v>2568</v>
      </c>
      <c r="H428" s="63">
        <v>3646.5</v>
      </c>
    </row>
    <row r="429" spans="1:8" ht="24.75" customHeight="1">
      <c r="A429" s="44" t="s">
        <v>3087</v>
      </c>
      <c r="B429" s="45" t="s">
        <v>3689</v>
      </c>
      <c r="C429" s="45" t="s">
        <v>6693</v>
      </c>
      <c r="D429" s="45" t="s">
        <v>6697</v>
      </c>
      <c r="E429" s="44" t="s">
        <v>6855</v>
      </c>
      <c r="F429" s="37">
        <v>1</v>
      </c>
      <c r="G429" s="37" t="s">
        <v>2568</v>
      </c>
      <c r="H429" s="63">
        <v>4089.8</v>
      </c>
    </row>
    <row r="430" spans="1:8" ht="24.75" customHeight="1">
      <c r="A430" s="44" t="s">
        <v>48</v>
      </c>
      <c r="B430" s="45" t="s">
        <v>3684</v>
      </c>
      <c r="C430" s="45" t="s">
        <v>6693</v>
      </c>
      <c r="D430" s="45" t="s">
        <v>6697</v>
      </c>
      <c r="E430" s="44" t="s">
        <v>6855</v>
      </c>
      <c r="F430" s="37">
        <v>1</v>
      </c>
      <c r="G430" s="37" t="s">
        <v>2568</v>
      </c>
      <c r="H430" s="63">
        <v>3503.5</v>
      </c>
    </row>
    <row r="431" spans="1:8" ht="24.75" customHeight="1">
      <c r="A431" s="44" t="s">
        <v>1877</v>
      </c>
      <c r="B431" s="45" t="s">
        <v>3687</v>
      </c>
      <c r="C431" s="45" t="s">
        <v>6693</v>
      </c>
      <c r="D431" s="45" t="s">
        <v>6697</v>
      </c>
      <c r="E431" s="44" t="s">
        <v>6855</v>
      </c>
      <c r="F431" s="37">
        <v>1</v>
      </c>
      <c r="G431" s="37" t="s">
        <v>2568</v>
      </c>
      <c r="H431" s="63">
        <v>4404.3999999999996</v>
      </c>
    </row>
    <row r="432" spans="1:8" ht="24.75" customHeight="1">
      <c r="A432" s="44" t="s">
        <v>579</v>
      </c>
      <c r="B432" s="45" t="s">
        <v>3679</v>
      </c>
      <c r="C432" s="45" t="s">
        <v>6693</v>
      </c>
      <c r="D432" s="45" t="s">
        <v>6697</v>
      </c>
      <c r="E432" s="44" t="s">
        <v>6855</v>
      </c>
      <c r="F432" s="37">
        <v>1</v>
      </c>
      <c r="G432" s="37" t="s">
        <v>2568</v>
      </c>
      <c r="H432" s="63">
        <v>4733.3</v>
      </c>
    </row>
    <row r="433" spans="1:8" ht="24.75" customHeight="1">
      <c r="A433" s="44" t="s">
        <v>580</v>
      </c>
      <c r="B433" s="45" t="s">
        <v>3680</v>
      </c>
      <c r="C433" s="45" t="s">
        <v>6693</v>
      </c>
      <c r="D433" s="45" t="s">
        <v>6697</v>
      </c>
      <c r="E433" s="44" t="s">
        <v>6855</v>
      </c>
      <c r="F433" s="37">
        <v>1</v>
      </c>
      <c r="G433" s="37" t="s">
        <v>2568</v>
      </c>
      <c r="H433" s="63">
        <v>3560.7</v>
      </c>
    </row>
    <row r="434" spans="1:8" ht="24.75" customHeight="1">
      <c r="A434" s="44" t="s">
        <v>581</v>
      </c>
      <c r="B434" s="45" t="s">
        <v>3681</v>
      </c>
      <c r="C434" s="45" t="s">
        <v>6693</v>
      </c>
      <c r="D434" s="45" t="s">
        <v>6697</v>
      </c>
      <c r="E434" s="44" t="s">
        <v>6855</v>
      </c>
      <c r="F434" s="37">
        <v>1</v>
      </c>
      <c r="G434" s="37" t="s">
        <v>2568</v>
      </c>
      <c r="H434" s="63">
        <v>4147</v>
      </c>
    </row>
    <row r="435" spans="1:8" ht="24.75" customHeight="1">
      <c r="A435" s="44" t="s">
        <v>582</v>
      </c>
      <c r="B435" s="45" t="s">
        <v>3682</v>
      </c>
      <c r="C435" s="45" t="s">
        <v>6693</v>
      </c>
      <c r="D435" s="45" t="s">
        <v>6697</v>
      </c>
      <c r="E435" s="44" t="s">
        <v>6855</v>
      </c>
      <c r="F435" s="37">
        <v>1</v>
      </c>
      <c r="G435" s="37" t="s">
        <v>2568</v>
      </c>
      <c r="H435" s="63">
        <v>6292</v>
      </c>
    </row>
    <row r="436" spans="1:8" ht="24.75" customHeight="1">
      <c r="A436" s="44" t="s">
        <v>2348</v>
      </c>
      <c r="B436" s="45" t="s">
        <v>3676</v>
      </c>
      <c r="C436" s="45" t="s">
        <v>6693</v>
      </c>
      <c r="D436" s="45" t="s">
        <v>6697</v>
      </c>
      <c r="E436" s="44" t="s">
        <v>6855</v>
      </c>
      <c r="F436" s="37">
        <v>1</v>
      </c>
      <c r="G436" s="37" t="s">
        <v>2568</v>
      </c>
      <c r="H436" s="63">
        <v>6249.1</v>
      </c>
    </row>
    <row r="437" spans="1:8" ht="24.75" customHeight="1">
      <c r="A437" s="44" t="s">
        <v>2189</v>
      </c>
      <c r="B437" s="45" t="s">
        <v>5932</v>
      </c>
      <c r="C437" s="45" t="s">
        <v>6693</v>
      </c>
      <c r="D437" s="45" t="s">
        <v>6697</v>
      </c>
      <c r="E437" s="44" t="s">
        <v>6855</v>
      </c>
      <c r="F437" s="37">
        <v>1</v>
      </c>
      <c r="G437" s="37" t="s">
        <v>2568</v>
      </c>
      <c r="H437" s="63">
        <v>5705.7</v>
      </c>
    </row>
    <row r="438" spans="1:8" ht="24.75" customHeight="1">
      <c r="A438" s="44" t="s">
        <v>583</v>
      </c>
      <c r="B438" s="45" t="s">
        <v>3683</v>
      </c>
      <c r="C438" s="45" t="s">
        <v>6693</v>
      </c>
      <c r="D438" s="45" t="s">
        <v>6697</v>
      </c>
      <c r="E438" s="44" t="s">
        <v>6855</v>
      </c>
      <c r="F438" s="37">
        <v>1</v>
      </c>
      <c r="G438" s="37" t="s">
        <v>2568</v>
      </c>
      <c r="H438" s="63">
        <v>3875.3</v>
      </c>
    </row>
    <row r="439" spans="1:8" ht="24.75" customHeight="1">
      <c r="A439" s="44" t="s">
        <v>1878</v>
      </c>
      <c r="B439" s="45" t="s">
        <v>3688</v>
      </c>
      <c r="C439" s="45" t="s">
        <v>6693</v>
      </c>
      <c r="D439" s="45" t="s">
        <v>6697</v>
      </c>
      <c r="E439" s="44" t="s">
        <v>6855</v>
      </c>
      <c r="F439" s="37">
        <v>1</v>
      </c>
      <c r="G439" s="37" t="s">
        <v>2568</v>
      </c>
      <c r="H439" s="63">
        <v>3946.8</v>
      </c>
    </row>
    <row r="440" spans="1:8" ht="24.75" customHeight="1">
      <c r="A440" s="44" t="s">
        <v>49</v>
      </c>
      <c r="B440" s="45" t="s">
        <v>3685</v>
      </c>
      <c r="C440" s="45" t="s">
        <v>6693</v>
      </c>
      <c r="D440" s="45" t="s">
        <v>6697</v>
      </c>
      <c r="E440" s="44" t="s">
        <v>6855</v>
      </c>
      <c r="F440" s="37">
        <v>1</v>
      </c>
      <c r="G440" s="37" t="s">
        <v>2568</v>
      </c>
      <c r="H440" s="63">
        <v>4518.8</v>
      </c>
    </row>
    <row r="441" spans="1:8" ht="24.75" customHeight="1">
      <c r="A441" s="44" t="s">
        <v>1876</v>
      </c>
      <c r="B441" s="45" t="s">
        <v>3686</v>
      </c>
      <c r="C441" s="45" t="s">
        <v>6693</v>
      </c>
      <c r="D441" s="45" t="s">
        <v>6697</v>
      </c>
      <c r="E441" s="44" t="s">
        <v>6855</v>
      </c>
      <c r="F441" s="37">
        <v>1</v>
      </c>
      <c r="G441" s="37" t="s">
        <v>2568</v>
      </c>
      <c r="H441" s="63">
        <v>4576</v>
      </c>
    </row>
    <row r="442" spans="1:8" ht="24.75" customHeight="1">
      <c r="A442" s="44" t="s">
        <v>2190</v>
      </c>
      <c r="B442" s="45" t="s">
        <v>5870</v>
      </c>
      <c r="C442" s="45" t="s">
        <v>6693</v>
      </c>
      <c r="D442" s="45" t="s">
        <v>6698</v>
      </c>
      <c r="E442" s="44"/>
      <c r="F442" s="37">
        <v>1</v>
      </c>
      <c r="G442" s="37" t="s">
        <v>2568</v>
      </c>
      <c r="H442" s="63">
        <v>7922.2</v>
      </c>
    </row>
    <row r="443" spans="1:8" ht="24.75" customHeight="1">
      <c r="A443" s="44" t="s">
        <v>1516</v>
      </c>
      <c r="B443" s="45" t="s">
        <v>5348</v>
      </c>
      <c r="C443" s="45" t="s">
        <v>6693</v>
      </c>
      <c r="D443" s="45" t="s">
        <v>6698</v>
      </c>
      <c r="E443" s="44"/>
      <c r="F443" s="37">
        <v>1</v>
      </c>
      <c r="G443" s="37" t="s">
        <v>6864</v>
      </c>
      <c r="H443" s="63">
        <v>19490.900000000001</v>
      </c>
    </row>
    <row r="444" spans="1:8" ht="24.75" customHeight="1">
      <c r="A444" s="44" t="s">
        <v>3180</v>
      </c>
      <c r="B444" s="45" t="s">
        <v>5365</v>
      </c>
      <c r="C444" s="45" t="s">
        <v>6693</v>
      </c>
      <c r="D444" s="45" t="s">
        <v>6698</v>
      </c>
      <c r="E444" s="44"/>
      <c r="F444" s="37">
        <v>1</v>
      </c>
      <c r="G444" s="37" t="s">
        <v>6864</v>
      </c>
      <c r="H444" s="63">
        <v>6320.6</v>
      </c>
    </row>
    <row r="445" spans="1:8" ht="24.75" customHeight="1">
      <c r="A445" s="44" t="s">
        <v>1818</v>
      </c>
      <c r="B445" s="45" t="s">
        <v>5420</v>
      </c>
      <c r="C445" s="45" t="s">
        <v>6693</v>
      </c>
      <c r="D445" s="45" t="s">
        <v>6698</v>
      </c>
      <c r="E445" s="44" t="s">
        <v>6839</v>
      </c>
      <c r="F445" s="37">
        <v>1</v>
      </c>
      <c r="G445" s="37" t="s">
        <v>6864</v>
      </c>
      <c r="H445" s="63">
        <v>3961.1</v>
      </c>
    </row>
    <row r="446" spans="1:8" ht="24.75" customHeight="1">
      <c r="A446" s="44" t="s">
        <v>1120</v>
      </c>
      <c r="B446" s="45" t="s">
        <v>5680</v>
      </c>
      <c r="C446" s="45" t="s">
        <v>6693</v>
      </c>
      <c r="D446" s="45" t="s">
        <v>6698</v>
      </c>
      <c r="E446" s="44"/>
      <c r="F446" s="37">
        <v>1</v>
      </c>
      <c r="G446" s="37" t="s">
        <v>6864</v>
      </c>
      <c r="H446" s="63">
        <v>17446</v>
      </c>
    </row>
    <row r="447" spans="1:8" ht="24.75" customHeight="1">
      <c r="A447" s="44" t="s">
        <v>442</v>
      </c>
      <c r="B447" s="45" t="s">
        <v>4441</v>
      </c>
      <c r="C447" s="45" t="s">
        <v>6693</v>
      </c>
      <c r="D447" s="45" t="s">
        <v>6698</v>
      </c>
      <c r="E447" s="44" t="s">
        <v>6839</v>
      </c>
      <c r="F447" s="37">
        <v>1</v>
      </c>
      <c r="G447" s="37" t="s">
        <v>6864</v>
      </c>
      <c r="H447" s="63">
        <v>4433</v>
      </c>
    </row>
    <row r="448" spans="1:8" ht="24.75" customHeight="1">
      <c r="A448" s="44" t="s">
        <v>1059</v>
      </c>
      <c r="B448" s="45" t="s">
        <v>5189</v>
      </c>
      <c r="C448" s="45" t="s">
        <v>6693</v>
      </c>
      <c r="D448" s="45" t="s">
        <v>6698</v>
      </c>
      <c r="E448" s="44" t="s">
        <v>6839</v>
      </c>
      <c r="F448" s="37">
        <v>1</v>
      </c>
      <c r="G448" s="37" t="s">
        <v>6864</v>
      </c>
      <c r="H448" s="63">
        <v>4433</v>
      </c>
    </row>
    <row r="449" spans="1:8" ht="24.75" customHeight="1">
      <c r="A449" s="44" t="s">
        <v>1400</v>
      </c>
      <c r="B449" s="45" t="s">
        <v>4947</v>
      </c>
      <c r="C449" s="45" t="s">
        <v>6693</v>
      </c>
      <c r="D449" s="45" t="s">
        <v>6698</v>
      </c>
      <c r="E449" s="44"/>
      <c r="F449" s="37">
        <v>1</v>
      </c>
      <c r="G449" s="37" t="s">
        <v>6864</v>
      </c>
      <c r="H449" s="63">
        <v>6163.3</v>
      </c>
    </row>
    <row r="450" spans="1:8" ht="24.75" customHeight="1">
      <c r="A450" s="44" t="s">
        <v>1004</v>
      </c>
      <c r="B450" s="45" t="s">
        <v>6055</v>
      </c>
      <c r="C450" s="45" t="s">
        <v>6693</v>
      </c>
      <c r="D450" s="45" t="s">
        <v>6698</v>
      </c>
      <c r="E450" s="44" t="s">
        <v>6839</v>
      </c>
      <c r="F450" s="37">
        <v>1</v>
      </c>
      <c r="G450" s="37" t="s">
        <v>6864</v>
      </c>
      <c r="H450" s="63">
        <v>4232.8</v>
      </c>
    </row>
    <row r="451" spans="1:8" ht="24.75" customHeight="1">
      <c r="A451" s="44" t="s">
        <v>1478</v>
      </c>
      <c r="B451" s="45" t="s">
        <v>5050</v>
      </c>
      <c r="C451" s="45" t="s">
        <v>6693</v>
      </c>
      <c r="D451" s="45" t="s">
        <v>6699</v>
      </c>
      <c r="E451" s="44"/>
      <c r="F451" s="37">
        <v>5</v>
      </c>
      <c r="G451" s="37" t="s">
        <v>6864</v>
      </c>
      <c r="H451" s="63">
        <v>3875.3</v>
      </c>
    </row>
    <row r="452" spans="1:8" ht="24.75" customHeight="1">
      <c r="A452" s="44" t="s">
        <v>1447</v>
      </c>
      <c r="B452" s="45" t="s">
        <v>5008</v>
      </c>
      <c r="C452" s="45" t="s">
        <v>6693</v>
      </c>
      <c r="D452" s="45" t="s">
        <v>6699</v>
      </c>
      <c r="E452" s="44"/>
      <c r="F452" s="37">
        <v>1</v>
      </c>
      <c r="G452" s="37" t="s">
        <v>6864</v>
      </c>
      <c r="H452" s="63">
        <v>4447.3</v>
      </c>
    </row>
    <row r="453" spans="1:8" ht="24.75" customHeight="1">
      <c r="A453" s="44" t="s">
        <v>2620</v>
      </c>
      <c r="B453" s="45" t="s">
        <v>5245</v>
      </c>
      <c r="C453" s="45" t="s">
        <v>6693</v>
      </c>
      <c r="D453" s="45" t="s">
        <v>6699</v>
      </c>
      <c r="E453" s="44"/>
      <c r="F453" s="37">
        <v>5</v>
      </c>
      <c r="G453" s="37" t="s">
        <v>6864</v>
      </c>
      <c r="H453" s="63">
        <v>2774.2</v>
      </c>
    </row>
    <row r="454" spans="1:8" ht="24.75" customHeight="1">
      <c r="A454" s="44" t="s">
        <v>1107</v>
      </c>
      <c r="B454" s="45" t="s">
        <v>5090</v>
      </c>
      <c r="C454" s="45" t="s">
        <v>6693</v>
      </c>
      <c r="D454" s="45" t="s">
        <v>6699</v>
      </c>
      <c r="E454" s="44"/>
      <c r="F454" s="37">
        <v>6</v>
      </c>
      <c r="G454" s="37" t="s">
        <v>6864</v>
      </c>
      <c r="H454" s="63">
        <v>2330.9</v>
      </c>
    </row>
    <row r="455" spans="1:8" ht="24.75" customHeight="1">
      <c r="A455" s="44" t="s">
        <v>1596</v>
      </c>
      <c r="B455" s="45" t="s">
        <v>5484</v>
      </c>
      <c r="C455" s="45" t="s">
        <v>6693</v>
      </c>
      <c r="D455" s="45" t="s">
        <v>6699</v>
      </c>
      <c r="E455" s="44"/>
      <c r="F455" s="37">
        <v>2</v>
      </c>
      <c r="G455" s="37" t="s">
        <v>6864</v>
      </c>
      <c r="H455" s="63">
        <v>5062.2</v>
      </c>
    </row>
    <row r="456" spans="1:8" ht="24.75" customHeight="1">
      <c r="A456" s="44" t="s">
        <v>2195</v>
      </c>
      <c r="B456" s="45" t="s">
        <v>5595</v>
      </c>
      <c r="C456" s="45" t="s">
        <v>6693</v>
      </c>
      <c r="D456" s="45" t="s">
        <v>6699</v>
      </c>
      <c r="E456" s="44"/>
      <c r="F456" s="37">
        <v>5</v>
      </c>
      <c r="G456" s="37" t="s">
        <v>6864</v>
      </c>
      <c r="H456" s="63">
        <v>3217.5</v>
      </c>
    </row>
    <row r="457" spans="1:8" ht="24.75" customHeight="1">
      <c r="A457" s="44" t="s">
        <v>2464</v>
      </c>
      <c r="B457" s="45" t="s">
        <v>4841</v>
      </c>
      <c r="C457" s="45" t="s">
        <v>6693</v>
      </c>
      <c r="D457" s="45" t="s">
        <v>6699</v>
      </c>
      <c r="E457" s="44"/>
      <c r="F457" s="37">
        <v>5</v>
      </c>
      <c r="G457" s="37" t="s">
        <v>6864</v>
      </c>
      <c r="H457" s="63">
        <v>3003</v>
      </c>
    </row>
    <row r="458" spans="1:8" ht="24.75" customHeight="1">
      <c r="A458" s="44" t="s">
        <v>776</v>
      </c>
      <c r="B458" s="45" t="s">
        <v>6021</v>
      </c>
      <c r="C458" s="45" t="s">
        <v>6693</v>
      </c>
      <c r="D458" s="45" t="s">
        <v>6699</v>
      </c>
      <c r="E458" s="44"/>
      <c r="F458" s="37">
        <v>1</v>
      </c>
      <c r="G458" s="37" t="s">
        <v>6864</v>
      </c>
      <c r="H458" s="63">
        <v>2831.4</v>
      </c>
    </row>
    <row r="459" spans="1:8" ht="24.75" customHeight="1">
      <c r="A459" s="44" t="s">
        <v>3165</v>
      </c>
      <c r="B459" s="45" t="s">
        <v>5358</v>
      </c>
      <c r="C459" s="45" t="s">
        <v>6693</v>
      </c>
      <c r="D459" s="45" t="s">
        <v>6700</v>
      </c>
      <c r="E459" s="44"/>
      <c r="F459" s="37">
        <v>1</v>
      </c>
      <c r="G459" s="37" t="s">
        <v>2568</v>
      </c>
      <c r="H459" s="63">
        <v>1987.7</v>
      </c>
    </row>
    <row r="460" spans="1:8" ht="24.75" customHeight="1">
      <c r="A460" s="44" t="s">
        <v>3042</v>
      </c>
      <c r="B460" s="45" t="s">
        <v>5535</v>
      </c>
      <c r="C460" s="45" t="s">
        <v>6693</v>
      </c>
      <c r="D460" s="45" t="s">
        <v>6700</v>
      </c>
      <c r="E460" s="44"/>
      <c r="F460" s="37">
        <v>20</v>
      </c>
      <c r="G460" s="37" t="s">
        <v>6864</v>
      </c>
      <c r="H460" s="63">
        <v>1129.7</v>
      </c>
    </row>
    <row r="461" spans="1:8" ht="24.75" customHeight="1">
      <c r="A461" s="44" t="s">
        <v>2155</v>
      </c>
      <c r="B461" s="45" t="s">
        <v>5929</v>
      </c>
      <c r="C461" s="45" t="s">
        <v>6693</v>
      </c>
      <c r="D461" s="45" t="s">
        <v>6700</v>
      </c>
      <c r="E461" s="44"/>
      <c r="F461" s="37">
        <v>1</v>
      </c>
      <c r="G461" s="37" t="s">
        <v>2568</v>
      </c>
      <c r="H461" s="63">
        <v>2159.3000000000002</v>
      </c>
    </row>
    <row r="462" spans="1:8" ht="24.75" customHeight="1">
      <c r="A462" s="44" t="s">
        <v>897</v>
      </c>
      <c r="B462" s="45" t="s">
        <v>5136</v>
      </c>
      <c r="C462" s="45" t="s">
        <v>6693</v>
      </c>
      <c r="D462" s="45" t="s">
        <v>6700</v>
      </c>
      <c r="E462" s="44"/>
      <c r="F462" s="37">
        <v>10</v>
      </c>
      <c r="G462" s="37" t="s">
        <v>6864</v>
      </c>
      <c r="H462" s="63">
        <v>886.6</v>
      </c>
    </row>
    <row r="463" spans="1:8" ht="24.75" customHeight="1">
      <c r="A463" s="44" t="s">
        <v>2477</v>
      </c>
      <c r="B463" s="45" t="s">
        <v>4848</v>
      </c>
      <c r="C463" s="45" t="s">
        <v>6693</v>
      </c>
      <c r="D463" s="45" t="s">
        <v>6700</v>
      </c>
      <c r="E463" s="44"/>
      <c r="F463" s="37">
        <v>1</v>
      </c>
      <c r="G463" s="37" t="s">
        <v>2568</v>
      </c>
      <c r="H463" s="63">
        <v>1873.3</v>
      </c>
    </row>
    <row r="464" spans="1:8" ht="24.75" customHeight="1">
      <c r="A464" s="44" t="s">
        <v>3175</v>
      </c>
      <c r="B464" s="45" t="s">
        <v>5371</v>
      </c>
      <c r="C464" s="45" t="s">
        <v>6693</v>
      </c>
      <c r="D464" s="45" t="s">
        <v>6700</v>
      </c>
      <c r="E464" s="44"/>
      <c r="F464" s="37">
        <v>2</v>
      </c>
      <c r="G464" s="37" t="s">
        <v>6864</v>
      </c>
      <c r="H464" s="63">
        <v>3017.3</v>
      </c>
    </row>
    <row r="465" spans="1:8" ht="24.75" customHeight="1">
      <c r="A465" s="44" t="s">
        <v>3204</v>
      </c>
      <c r="B465" s="45" t="s">
        <v>5386</v>
      </c>
      <c r="C465" s="45" t="s">
        <v>6693</v>
      </c>
      <c r="D465" s="45" t="s">
        <v>6700</v>
      </c>
      <c r="E465" s="44"/>
      <c r="F465" s="37">
        <v>1</v>
      </c>
      <c r="G465" s="37" t="s">
        <v>6864</v>
      </c>
      <c r="H465" s="63">
        <v>55484</v>
      </c>
    </row>
    <row r="466" spans="1:8" ht="24.75" customHeight="1">
      <c r="A466" s="44" t="s">
        <v>2799</v>
      </c>
      <c r="B466" s="45" t="s">
        <v>5798</v>
      </c>
      <c r="C466" s="45" t="s">
        <v>6693</v>
      </c>
      <c r="D466" s="45" t="s">
        <v>6700</v>
      </c>
      <c r="E466" s="44"/>
      <c r="F466" s="37">
        <v>1</v>
      </c>
      <c r="G466" s="37" t="s">
        <v>6864</v>
      </c>
      <c r="H466" s="63">
        <v>35850.1</v>
      </c>
    </row>
    <row r="467" spans="1:8" ht="24.75" customHeight="1">
      <c r="A467" s="44" t="s">
        <v>2214</v>
      </c>
      <c r="B467" s="45" t="s">
        <v>5930</v>
      </c>
      <c r="C467" s="45" t="s">
        <v>6693</v>
      </c>
      <c r="D467" s="45" t="s">
        <v>6700</v>
      </c>
      <c r="E467" s="44"/>
      <c r="F467" s="37">
        <v>1</v>
      </c>
      <c r="G467" s="37" t="s">
        <v>6864</v>
      </c>
      <c r="H467" s="63">
        <v>55198</v>
      </c>
    </row>
    <row r="468" spans="1:8" ht="24.75" customHeight="1">
      <c r="A468" s="44" t="s">
        <v>2472</v>
      </c>
      <c r="B468" s="45" t="s">
        <v>3928</v>
      </c>
      <c r="C468" s="45" t="s">
        <v>6693</v>
      </c>
      <c r="D468" s="45" t="s">
        <v>6700</v>
      </c>
      <c r="E468" s="44"/>
      <c r="F468" s="37">
        <v>1</v>
      </c>
      <c r="G468" s="37" t="s">
        <v>6864</v>
      </c>
      <c r="H468" s="63">
        <v>40383.199999999997</v>
      </c>
    </row>
    <row r="469" spans="1:8" ht="24.75" customHeight="1">
      <c r="A469" s="44" t="s">
        <v>1105</v>
      </c>
      <c r="B469" s="45" t="s">
        <v>5088</v>
      </c>
      <c r="C469" s="45" t="s">
        <v>6693</v>
      </c>
      <c r="D469" s="45" t="s">
        <v>6700</v>
      </c>
      <c r="E469" s="44"/>
      <c r="F469" s="37">
        <v>1</v>
      </c>
      <c r="G469" s="37" t="s">
        <v>6864</v>
      </c>
      <c r="H469" s="63">
        <v>36779.599999999999</v>
      </c>
    </row>
    <row r="470" spans="1:8" ht="24.75" customHeight="1">
      <c r="A470" s="44" t="s">
        <v>1650</v>
      </c>
      <c r="B470" s="45" t="s">
        <v>5414</v>
      </c>
      <c r="C470" s="45" t="s">
        <v>6693</v>
      </c>
      <c r="D470" s="45" t="s">
        <v>6700</v>
      </c>
      <c r="E470" s="44"/>
      <c r="F470" s="37">
        <v>1</v>
      </c>
      <c r="G470" s="37" t="s">
        <v>6864</v>
      </c>
      <c r="H470" s="63">
        <v>51894.7</v>
      </c>
    </row>
    <row r="471" spans="1:8" ht="24.75" customHeight="1">
      <c r="A471" s="44" t="s">
        <v>1009</v>
      </c>
      <c r="B471" s="45" t="s">
        <v>3929</v>
      </c>
      <c r="C471" s="45" t="s">
        <v>6693</v>
      </c>
      <c r="D471" s="45" t="s">
        <v>6700</v>
      </c>
      <c r="E471" s="44"/>
      <c r="F471" s="37">
        <v>1</v>
      </c>
      <c r="G471" s="37" t="s">
        <v>6864</v>
      </c>
      <c r="H471" s="63">
        <v>53896.7</v>
      </c>
    </row>
    <row r="472" spans="1:8" ht="24.75" customHeight="1">
      <c r="A472" s="44" t="s">
        <v>1010</v>
      </c>
      <c r="B472" s="45" t="s">
        <v>3930</v>
      </c>
      <c r="C472" s="45" t="s">
        <v>6693</v>
      </c>
      <c r="D472" s="45" t="s">
        <v>6700</v>
      </c>
      <c r="E472" s="44"/>
      <c r="F472" s="37">
        <v>1</v>
      </c>
      <c r="G472" s="37" t="s">
        <v>6864</v>
      </c>
      <c r="H472" s="63">
        <v>48105.2</v>
      </c>
    </row>
    <row r="473" spans="1:8" ht="24.75" customHeight="1">
      <c r="A473" s="44" t="s">
        <v>605</v>
      </c>
      <c r="B473" s="45" t="s">
        <v>5651</v>
      </c>
      <c r="C473" s="45" t="s">
        <v>6693</v>
      </c>
      <c r="D473" s="45" t="s">
        <v>6700</v>
      </c>
      <c r="E473" s="44"/>
      <c r="F473" s="37">
        <v>1</v>
      </c>
      <c r="G473" s="37" t="s">
        <v>6864</v>
      </c>
      <c r="H473" s="63">
        <v>33176</v>
      </c>
    </row>
    <row r="474" spans="1:8" ht="24.75" customHeight="1">
      <c r="A474" s="44" t="s">
        <v>2630</v>
      </c>
      <c r="B474" s="45" t="s">
        <v>5252</v>
      </c>
      <c r="C474" s="45" t="s">
        <v>6693</v>
      </c>
      <c r="D474" s="45" t="s">
        <v>6700</v>
      </c>
      <c r="E474" s="44"/>
      <c r="F474" s="37">
        <v>1</v>
      </c>
      <c r="G474" s="37" t="s">
        <v>6864</v>
      </c>
      <c r="H474" s="63">
        <v>37923.599999999999</v>
      </c>
    </row>
    <row r="475" spans="1:8" ht="24.75" customHeight="1">
      <c r="A475" s="44" t="s">
        <v>2631</v>
      </c>
      <c r="B475" s="45" t="s">
        <v>5253</v>
      </c>
      <c r="C475" s="45" t="s">
        <v>6693</v>
      </c>
      <c r="D475" s="45" t="s">
        <v>6700</v>
      </c>
      <c r="E475" s="44"/>
      <c r="F475" s="37">
        <v>1</v>
      </c>
      <c r="G475" s="37" t="s">
        <v>6864</v>
      </c>
      <c r="H475" s="63">
        <v>45259.5</v>
      </c>
    </row>
    <row r="476" spans="1:8" ht="24.75" customHeight="1">
      <c r="A476" s="44" t="s">
        <v>1402</v>
      </c>
      <c r="B476" s="45" t="s">
        <v>4949</v>
      </c>
      <c r="C476" s="45" t="s">
        <v>6693</v>
      </c>
      <c r="D476" s="45" t="s">
        <v>6700</v>
      </c>
      <c r="E476" s="44"/>
      <c r="F476" s="37">
        <v>1</v>
      </c>
      <c r="G476" s="37" t="s">
        <v>6864</v>
      </c>
      <c r="H476" s="63">
        <v>50765</v>
      </c>
    </row>
    <row r="477" spans="1:8" ht="24.75" customHeight="1">
      <c r="A477" s="44" t="s">
        <v>782</v>
      </c>
      <c r="B477" s="45" t="s">
        <v>6022</v>
      </c>
      <c r="C477" s="45" t="s">
        <v>6693</v>
      </c>
      <c r="D477" s="45" t="s">
        <v>6700</v>
      </c>
      <c r="E477" s="44"/>
      <c r="F477" s="37">
        <v>1</v>
      </c>
      <c r="G477" s="37" t="s">
        <v>6864</v>
      </c>
      <c r="H477" s="63">
        <v>37766.300000000003</v>
      </c>
    </row>
    <row r="478" spans="1:8" ht="24.75" customHeight="1">
      <c r="A478" s="44" t="s">
        <v>617</v>
      </c>
      <c r="B478" s="45" t="s">
        <v>5663</v>
      </c>
      <c r="C478" s="45" t="s">
        <v>6693</v>
      </c>
      <c r="D478" s="45" t="s">
        <v>6701</v>
      </c>
      <c r="E478" s="44"/>
      <c r="F478" s="37">
        <v>1</v>
      </c>
      <c r="G478" s="37" t="s">
        <v>6864</v>
      </c>
      <c r="H478" s="63">
        <v>19047.599999999999</v>
      </c>
    </row>
    <row r="479" spans="1:8" ht="24.75" customHeight="1">
      <c r="A479" s="44" t="s">
        <v>691</v>
      </c>
      <c r="B479" s="45" t="s">
        <v>5100</v>
      </c>
      <c r="C479" s="45" t="s">
        <v>6693</v>
      </c>
      <c r="D479" s="45" t="s">
        <v>6701</v>
      </c>
      <c r="E479" s="44"/>
      <c r="F479" s="37">
        <v>1</v>
      </c>
      <c r="G479" s="37" t="s">
        <v>6864</v>
      </c>
      <c r="H479" s="63">
        <v>13570.7</v>
      </c>
    </row>
    <row r="480" spans="1:8" ht="24.75" customHeight="1">
      <c r="A480" s="44" t="s">
        <v>1559</v>
      </c>
      <c r="B480" s="45" t="s">
        <v>5418</v>
      </c>
      <c r="C480" s="45" t="s">
        <v>6693</v>
      </c>
      <c r="D480" s="45" t="s">
        <v>6701</v>
      </c>
      <c r="E480" s="44"/>
      <c r="F480" s="37">
        <v>1</v>
      </c>
      <c r="G480" s="37" t="s">
        <v>6864</v>
      </c>
      <c r="H480" s="63">
        <v>15100.8</v>
      </c>
    </row>
    <row r="481" spans="1:8" ht="24.75" customHeight="1">
      <c r="A481" s="44" t="s">
        <v>2635</v>
      </c>
      <c r="B481" s="45" t="s">
        <v>5316</v>
      </c>
      <c r="C481" s="45" t="s">
        <v>6693</v>
      </c>
      <c r="D481" s="45" t="s">
        <v>6701</v>
      </c>
      <c r="E481" s="44"/>
      <c r="F481" s="37">
        <v>1</v>
      </c>
      <c r="G481" s="37" t="s">
        <v>6864</v>
      </c>
      <c r="H481" s="63">
        <v>21164</v>
      </c>
    </row>
    <row r="482" spans="1:8" ht="24.75" customHeight="1">
      <c r="A482" s="44" t="s">
        <v>2386</v>
      </c>
      <c r="B482" s="45" t="s">
        <v>4826</v>
      </c>
      <c r="C482" s="45" t="s">
        <v>6693</v>
      </c>
      <c r="D482" s="45" t="s">
        <v>6701</v>
      </c>
      <c r="E482" s="44"/>
      <c r="F482" s="37">
        <v>1</v>
      </c>
      <c r="G482" s="37" t="s">
        <v>6864</v>
      </c>
      <c r="H482" s="63">
        <v>12283.7</v>
      </c>
    </row>
    <row r="483" spans="1:8" ht="24.75" customHeight="1">
      <c r="A483" s="44" t="s">
        <v>2224</v>
      </c>
      <c r="B483" s="45" t="s">
        <v>5913</v>
      </c>
      <c r="C483" s="45" t="s">
        <v>6693</v>
      </c>
      <c r="D483" s="45" t="s">
        <v>6701</v>
      </c>
      <c r="E483" s="44" t="s">
        <v>956</v>
      </c>
      <c r="F483" s="37">
        <v>1</v>
      </c>
      <c r="G483" s="37" t="s">
        <v>6864</v>
      </c>
      <c r="H483" s="63">
        <v>10238.799999999999</v>
      </c>
    </row>
    <row r="484" spans="1:8" ht="24.75" customHeight="1">
      <c r="A484" s="44" t="s">
        <v>2474</v>
      </c>
      <c r="B484" s="45" t="s">
        <v>5542</v>
      </c>
      <c r="C484" s="45" t="s">
        <v>6693</v>
      </c>
      <c r="D484" s="45" t="s">
        <v>6701</v>
      </c>
      <c r="E484" s="44" t="s">
        <v>956</v>
      </c>
      <c r="F484" s="37">
        <v>1</v>
      </c>
      <c r="G484" s="37" t="s">
        <v>6864</v>
      </c>
      <c r="H484" s="63">
        <v>12012</v>
      </c>
    </row>
    <row r="485" spans="1:8" ht="24.75" customHeight="1">
      <c r="A485" s="44" t="s">
        <v>2388</v>
      </c>
      <c r="B485" s="45" t="s">
        <v>4828</v>
      </c>
      <c r="C485" s="45" t="s">
        <v>6693</v>
      </c>
      <c r="D485" s="45" t="s">
        <v>6701</v>
      </c>
      <c r="E485" s="44"/>
      <c r="F485" s="37">
        <v>1</v>
      </c>
      <c r="G485" s="37" t="s">
        <v>6864</v>
      </c>
      <c r="H485" s="63">
        <v>8379.7999999999993</v>
      </c>
    </row>
    <row r="486" spans="1:8" ht="24.75" customHeight="1">
      <c r="A486" s="44" t="s">
        <v>2387</v>
      </c>
      <c r="B486" s="45" t="s">
        <v>4827</v>
      </c>
      <c r="C486" s="45" t="s">
        <v>6693</v>
      </c>
      <c r="D486" s="45" t="s">
        <v>6701</v>
      </c>
      <c r="E486" s="44" t="s">
        <v>956</v>
      </c>
      <c r="F486" s="37">
        <v>1</v>
      </c>
      <c r="G486" s="37" t="s">
        <v>6864</v>
      </c>
      <c r="H486" s="63">
        <v>11154</v>
      </c>
    </row>
    <row r="487" spans="1:8" ht="24.75" customHeight="1">
      <c r="A487" s="44" t="s">
        <v>786</v>
      </c>
      <c r="B487" s="45" t="s">
        <v>6027</v>
      </c>
      <c r="C487" s="45" t="s">
        <v>6693</v>
      </c>
      <c r="D487" s="45" t="s">
        <v>6701</v>
      </c>
      <c r="E487" s="44"/>
      <c r="F487" s="37">
        <v>1</v>
      </c>
      <c r="G487" s="37" t="s">
        <v>6864</v>
      </c>
      <c r="H487" s="63">
        <v>12584</v>
      </c>
    </row>
    <row r="488" spans="1:8" ht="24.75" customHeight="1">
      <c r="A488" s="44" t="s">
        <v>2636</v>
      </c>
      <c r="B488" s="45" t="s">
        <v>5317</v>
      </c>
      <c r="C488" s="45" t="s">
        <v>6693</v>
      </c>
      <c r="D488" s="45" t="s">
        <v>6701</v>
      </c>
      <c r="E488" s="44"/>
      <c r="F488" s="37">
        <v>1</v>
      </c>
      <c r="G488" s="37" t="s">
        <v>6864</v>
      </c>
      <c r="H488" s="63">
        <v>18361.2</v>
      </c>
    </row>
    <row r="489" spans="1:8" ht="24.75" customHeight="1">
      <c r="A489" s="44" t="s">
        <v>2066</v>
      </c>
      <c r="B489" s="45" t="s">
        <v>5306</v>
      </c>
      <c r="C489" s="45" t="s">
        <v>6693</v>
      </c>
      <c r="D489" s="45" t="s">
        <v>6702</v>
      </c>
      <c r="E489" s="44"/>
      <c r="F489" s="37">
        <v>1</v>
      </c>
      <c r="G489" s="37" t="s">
        <v>6864</v>
      </c>
      <c r="H489" s="63">
        <v>6692.4</v>
      </c>
    </row>
    <row r="490" spans="1:8" ht="24.75" customHeight="1">
      <c r="A490" s="44" t="s">
        <v>707</v>
      </c>
      <c r="B490" s="45" t="s">
        <v>5116</v>
      </c>
      <c r="C490" s="45" t="s">
        <v>6693</v>
      </c>
      <c r="D490" s="45" t="s">
        <v>6702</v>
      </c>
      <c r="E490" s="44" t="s">
        <v>6839</v>
      </c>
      <c r="F490" s="37">
        <v>1</v>
      </c>
      <c r="G490" s="37" t="s">
        <v>6864</v>
      </c>
      <c r="H490" s="63">
        <v>4075.5</v>
      </c>
    </row>
    <row r="491" spans="1:8" ht="24.75" customHeight="1">
      <c r="A491" s="44" t="s">
        <v>1648</v>
      </c>
      <c r="B491" s="45" t="s">
        <v>5416</v>
      </c>
      <c r="C491" s="45" t="s">
        <v>6693</v>
      </c>
      <c r="D491" s="45" t="s">
        <v>6702</v>
      </c>
      <c r="E491" s="44" t="s">
        <v>6839</v>
      </c>
      <c r="F491" s="37">
        <v>1</v>
      </c>
      <c r="G491" s="37" t="s">
        <v>6864</v>
      </c>
      <c r="H491" s="63">
        <v>5977.4</v>
      </c>
    </row>
    <row r="492" spans="1:8" ht="24.75" customHeight="1">
      <c r="A492" s="44" t="s">
        <v>621</v>
      </c>
      <c r="B492" s="45" t="s">
        <v>5667</v>
      </c>
      <c r="C492" s="45" t="s">
        <v>6693</v>
      </c>
      <c r="D492" s="45" t="s">
        <v>6702</v>
      </c>
      <c r="E492" s="44" t="s">
        <v>6839</v>
      </c>
      <c r="F492" s="37">
        <v>1</v>
      </c>
      <c r="G492" s="37" t="s">
        <v>6864</v>
      </c>
      <c r="H492" s="63">
        <v>6263.4</v>
      </c>
    </row>
    <row r="493" spans="1:8" ht="24.75" customHeight="1">
      <c r="A493" s="44" t="s">
        <v>2637</v>
      </c>
      <c r="B493" s="45" t="s">
        <v>5319</v>
      </c>
      <c r="C493" s="45" t="s">
        <v>6693</v>
      </c>
      <c r="D493" s="45" t="s">
        <v>6702</v>
      </c>
      <c r="E493" s="44" t="s">
        <v>6839</v>
      </c>
      <c r="F493" s="37">
        <v>1</v>
      </c>
      <c r="G493" s="37" t="s">
        <v>6864</v>
      </c>
      <c r="H493" s="63">
        <v>4604.6000000000004</v>
      </c>
    </row>
    <row r="494" spans="1:8" ht="24.75" customHeight="1">
      <c r="A494" s="44" t="s">
        <v>2226</v>
      </c>
      <c r="B494" s="45" t="s">
        <v>5590</v>
      </c>
      <c r="C494" s="45" t="s">
        <v>6693</v>
      </c>
      <c r="D494" s="45" t="s">
        <v>6702</v>
      </c>
      <c r="E494" s="44"/>
      <c r="F494" s="37">
        <v>1</v>
      </c>
      <c r="G494" s="37" t="s">
        <v>6864</v>
      </c>
      <c r="H494" s="63">
        <v>8522.7999999999993</v>
      </c>
    </row>
    <row r="495" spans="1:8" ht="24.75" customHeight="1">
      <c r="A495" s="44" t="s">
        <v>2404</v>
      </c>
      <c r="B495" s="45" t="s">
        <v>5318</v>
      </c>
      <c r="C495" s="45" t="s">
        <v>6693</v>
      </c>
      <c r="D495" s="45" t="s">
        <v>6702</v>
      </c>
      <c r="E495" s="44"/>
      <c r="F495" s="37">
        <v>1</v>
      </c>
      <c r="G495" s="37" t="s">
        <v>6864</v>
      </c>
      <c r="H495" s="63">
        <v>6077.5</v>
      </c>
    </row>
    <row r="496" spans="1:8" ht="24.75" customHeight="1">
      <c r="A496" s="44" t="s">
        <v>1412</v>
      </c>
      <c r="B496" s="45" t="s">
        <v>4961</v>
      </c>
      <c r="C496" s="45" t="s">
        <v>6693</v>
      </c>
      <c r="D496" s="45" t="s">
        <v>6702</v>
      </c>
      <c r="E496" s="44"/>
      <c r="F496" s="37">
        <v>1</v>
      </c>
      <c r="G496" s="37" t="s">
        <v>6864</v>
      </c>
      <c r="H496" s="63">
        <v>5076.5</v>
      </c>
    </row>
    <row r="497" spans="1:8" ht="24.75" customHeight="1">
      <c r="A497" s="44" t="s">
        <v>789</v>
      </c>
      <c r="B497" s="45" t="s">
        <v>6016</v>
      </c>
      <c r="C497" s="45" t="s">
        <v>6693</v>
      </c>
      <c r="D497" s="45" t="s">
        <v>6702</v>
      </c>
      <c r="E497" s="44" t="s">
        <v>6839</v>
      </c>
      <c r="F497" s="37">
        <v>1</v>
      </c>
      <c r="G497" s="37" t="s">
        <v>6864</v>
      </c>
      <c r="H497" s="63">
        <v>9652.5</v>
      </c>
    </row>
    <row r="498" spans="1:8" ht="24.75" customHeight="1">
      <c r="A498" s="44" t="s">
        <v>704</v>
      </c>
      <c r="B498" s="45" t="s">
        <v>5113</v>
      </c>
      <c r="C498" s="45" t="s">
        <v>6693</v>
      </c>
      <c r="D498" s="45" t="s">
        <v>6702</v>
      </c>
      <c r="E498" s="44"/>
      <c r="F498" s="37">
        <v>10</v>
      </c>
      <c r="G498" s="37" t="s">
        <v>6864</v>
      </c>
      <c r="H498" s="63">
        <v>443.3</v>
      </c>
    </row>
    <row r="499" spans="1:8" ht="24.75" customHeight="1">
      <c r="A499" s="44" t="s">
        <v>3185</v>
      </c>
      <c r="B499" s="45" t="s">
        <v>5396</v>
      </c>
      <c r="C499" s="45" t="s">
        <v>6693</v>
      </c>
      <c r="D499" s="45" t="s">
        <v>6702</v>
      </c>
      <c r="E499" s="44"/>
      <c r="F499" s="37">
        <v>5</v>
      </c>
      <c r="G499" s="37" t="s">
        <v>6864</v>
      </c>
      <c r="H499" s="63">
        <v>1701.7</v>
      </c>
    </row>
    <row r="500" spans="1:8" ht="24.75" customHeight="1">
      <c r="A500" s="44" t="s">
        <v>632</v>
      </c>
      <c r="B500" s="45" t="s">
        <v>4719</v>
      </c>
      <c r="C500" s="45" t="s">
        <v>6693</v>
      </c>
      <c r="D500" s="45" t="s">
        <v>6702</v>
      </c>
      <c r="E500" s="44"/>
      <c r="F500" s="37">
        <v>5</v>
      </c>
      <c r="G500" s="37" t="s">
        <v>6864</v>
      </c>
      <c r="H500" s="63">
        <v>1987.7</v>
      </c>
    </row>
    <row r="501" spans="1:8" ht="24.75" customHeight="1">
      <c r="A501" s="44" t="s">
        <v>1669</v>
      </c>
      <c r="B501" s="45" t="s">
        <v>5534</v>
      </c>
      <c r="C501" s="45" t="s">
        <v>6693</v>
      </c>
      <c r="D501" s="45" t="s">
        <v>6702</v>
      </c>
      <c r="E501" s="44"/>
      <c r="F501" s="37">
        <v>10</v>
      </c>
      <c r="G501" s="37" t="s">
        <v>6864</v>
      </c>
      <c r="H501" s="63">
        <v>529.1</v>
      </c>
    </row>
    <row r="502" spans="1:8" ht="24.75" customHeight="1">
      <c r="A502" s="44" t="s">
        <v>634</v>
      </c>
      <c r="B502" s="45" t="s">
        <v>4721</v>
      </c>
      <c r="C502" s="45" t="s">
        <v>6693</v>
      </c>
      <c r="D502" s="45" t="s">
        <v>6702</v>
      </c>
      <c r="E502" s="44"/>
      <c r="F502" s="37">
        <v>10</v>
      </c>
      <c r="G502" s="37" t="s">
        <v>6864</v>
      </c>
      <c r="H502" s="63">
        <v>1901.9</v>
      </c>
    </row>
    <row r="503" spans="1:8" ht="24.75" customHeight="1">
      <c r="A503" s="44" t="s">
        <v>633</v>
      </c>
      <c r="B503" s="45" t="s">
        <v>4720</v>
      </c>
      <c r="C503" s="45" t="s">
        <v>6693</v>
      </c>
      <c r="D503" s="45" t="s">
        <v>6702</v>
      </c>
      <c r="E503" s="44"/>
      <c r="F503" s="37">
        <v>10</v>
      </c>
      <c r="G503" s="37" t="s">
        <v>6864</v>
      </c>
      <c r="H503" s="63">
        <v>829.4</v>
      </c>
    </row>
    <row r="504" spans="1:8" ht="24.75" customHeight="1">
      <c r="A504" s="44" t="s">
        <v>2245</v>
      </c>
      <c r="B504" s="45" t="s">
        <v>5591</v>
      </c>
      <c r="C504" s="45" t="s">
        <v>6693</v>
      </c>
      <c r="D504" s="45" t="s">
        <v>6702</v>
      </c>
      <c r="E504" s="44"/>
      <c r="F504" s="37">
        <v>10</v>
      </c>
      <c r="G504" s="37" t="s">
        <v>6864</v>
      </c>
      <c r="H504" s="63">
        <v>886.6</v>
      </c>
    </row>
    <row r="505" spans="1:8" ht="24.75" customHeight="1">
      <c r="A505" s="44" t="s">
        <v>635</v>
      </c>
      <c r="B505" s="45" t="s">
        <v>4722</v>
      </c>
      <c r="C505" s="45" t="s">
        <v>6693</v>
      </c>
      <c r="D505" s="45" t="s">
        <v>6702</v>
      </c>
      <c r="E505" s="44"/>
      <c r="F505" s="37">
        <v>10</v>
      </c>
      <c r="G505" s="37" t="s">
        <v>6864</v>
      </c>
      <c r="H505" s="63">
        <v>1301.3</v>
      </c>
    </row>
    <row r="506" spans="1:8" ht="24.75" customHeight="1">
      <c r="A506" s="44" t="s">
        <v>1465</v>
      </c>
      <c r="B506" s="45" t="s">
        <v>5031</v>
      </c>
      <c r="C506" s="45" t="s">
        <v>6693</v>
      </c>
      <c r="D506" s="45" t="s">
        <v>6702</v>
      </c>
      <c r="E506" s="44"/>
      <c r="F506" s="37">
        <v>5</v>
      </c>
      <c r="G506" s="37" t="s">
        <v>6864</v>
      </c>
      <c r="H506" s="63">
        <v>1430</v>
      </c>
    </row>
    <row r="507" spans="1:8" ht="24.75" customHeight="1">
      <c r="A507" s="44" t="s">
        <v>802</v>
      </c>
      <c r="B507" s="45" t="s">
        <v>6018</v>
      </c>
      <c r="C507" s="45" t="s">
        <v>6693</v>
      </c>
      <c r="D507" s="45" t="s">
        <v>6702</v>
      </c>
      <c r="E507" s="44"/>
      <c r="F507" s="37">
        <v>10</v>
      </c>
      <c r="G507" s="37" t="s">
        <v>6864</v>
      </c>
      <c r="H507" s="63">
        <v>400.4</v>
      </c>
    </row>
    <row r="508" spans="1:8" ht="24.75" customHeight="1">
      <c r="A508" s="44" t="s">
        <v>2745</v>
      </c>
      <c r="B508" s="45" t="s">
        <v>5759</v>
      </c>
      <c r="C508" s="45" t="s">
        <v>6693</v>
      </c>
      <c r="D508" s="45" t="s">
        <v>6703</v>
      </c>
      <c r="E508" s="44" t="s">
        <v>6839</v>
      </c>
      <c r="F508" s="37">
        <v>1</v>
      </c>
      <c r="G508" s="37" t="s">
        <v>6864</v>
      </c>
      <c r="H508" s="63">
        <v>5963.1</v>
      </c>
    </row>
    <row r="509" spans="1:8" ht="24.75" customHeight="1">
      <c r="A509" s="44" t="s">
        <v>2779</v>
      </c>
      <c r="B509" s="45" t="s">
        <v>5776</v>
      </c>
      <c r="C509" s="45" t="s">
        <v>6693</v>
      </c>
      <c r="D509" s="45" t="s">
        <v>6703</v>
      </c>
      <c r="E509" s="44" t="s">
        <v>6839</v>
      </c>
      <c r="F509" s="37">
        <v>1</v>
      </c>
      <c r="G509" s="37" t="s">
        <v>6864</v>
      </c>
      <c r="H509" s="63">
        <v>2473.9</v>
      </c>
    </row>
    <row r="510" spans="1:8" ht="24.75" customHeight="1">
      <c r="A510" s="44" t="s">
        <v>2447</v>
      </c>
      <c r="B510" s="45" t="s">
        <v>4418</v>
      </c>
      <c r="C510" s="45" t="s">
        <v>6693</v>
      </c>
      <c r="D510" s="45" t="s">
        <v>6703</v>
      </c>
      <c r="E510" s="44"/>
      <c r="F510" s="37">
        <v>1</v>
      </c>
      <c r="G510" s="37" t="s">
        <v>6864</v>
      </c>
      <c r="H510" s="63">
        <v>9009</v>
      </c>
    </row>
    <row r="511" spans="1:8" ht="24.75" customHeight="1">
      <c r="A511" s="44" t="s">
        <v>1563</v>
      </c>
      <c r="B511" s="45" t="s">
        <v>5422</v>
      </c>
      <c r="C511" s="45" t="s">
        <v>6693</v>
      </c>
      <c r="D511" s="45" t="s">
        <v>6703</v>
      </c>
      <c r="E511" s="44" t="s">
        <v>6839</v>
      </c>
      <c r="F511" s="37">
        <v>1</v>
      </c>
      <c r="G511" s="37" t="s">
        <v>6864</v>
      </c>
      <c r="H511" s="63">
        <v>13513.5</v>
      </c>
    </row>
    <row r="512" spans="1:8" ht="24.75" customHeight="1">
      <c r="A512" s="44" t="s">
        <v>2448</v>
      </c>
      <c r="B512" s="45" t="s">
        <v>4419</v>
      </c>
      <c r="C512" s="45" t="s">
        <v>6693</v>
      </c>
      <c r="D512" s="45" t="s">
        <v>6703</v>
      </c>
      <c r="E512" s="44"/>
      <c r="F512" s="37">
        <v>1</v>
      </c>
      <c r="G512" s="37" t="s">
        <v>6864</v>
      </c>
      <c r="H512" s="63">
        <v>9009</v>
      </c>
    </row>
    <row r="513" spans="1:8" ht="24.75" customHeight="1">
      <c r="A513" s="44" t="s">
        <v>362</v>
      </c>
      <c r="B513" s="45" t="s">
        <v>5059</v>
      </c>
      <c r="C513" s="45" t="s">
        <v>6693</v>
      </c>
      <c r="D513" s="45" t="s">
        <v>6703</v>
      </c>
      <c r="E513" s="44"/>
      <c r="F513" s="37">
        <v>1</v>
      </c>
      <c r="G513" s="37" t="s">
        <v>6864</v>
      </c>
      <c r="H513" s="63">
        <v>13971.1</v>
      </c>
    </row>
    <row r="514" spans="1:8" ht="24.75" customHeight="1">
      <c r="A514" s="44" t="s">
        <v>2164</v>
      </c>
      <c r="B514" s="45" t="s">
        <v>5561</v>
      </c>
      <c r="C514" s="45" t="s">
        <v>6693</v>
      </c>
      <c r="D514" s="45" t="s">
        <v>6703</v>
      </c>
      <c r="E514" s="44"/>
      <c r="F514" s="37">
        <v>1</v>
      </c>
      <c r="G514" s="37" t="s">
        <v>6864</v>
      </c>
      <c r="H514" s="63">
        <v>12183.6</v>
      </c>
    </row>
    <row r="515" spans="1:8" ht="24.75" customHeight="1">
      <c r="A515" s="44" t="s">
        <v>2165</v>
      </c>
      <c r="B515" s="45" t="s">
        <v>5562</v>
      </c>
      <c r="C515" s="45" t="s">
        <v>6693</v>
      </c>
      <c r="D515" s="45" t="s">
        <v>6703</v>
      </c>
      <c r="E515" s="44"/>
      <c r="F515" s="37">
        <v>1</v>
      </c>
      <c r="G515" s="37" t="s">
        <v>6864</v>
      </c>
      <c r="H515" s="63">
        <v>11897.6</v>
      </c>
    </row>
    <row r="516" spans="1:8" ht="24.75" customHeight="1">
      <c r="A516" s="44" t="s">
        <v>2166</v>
      </c>
      <c r="B516" s="45" t="s">
        <v>5563</v>
      </c>
      <c r="C516" s="45" t="s">
        <v>6693</v>
      </c>
      <c r="D516" s="45" t="s">
        <v>6703</v>
      </c>
      <c r="E516" s="44"/>
      <c r="F516" s="37">
        <v>1</v>
      </c>
      <c r="G516" s="37" t="s">
        <v>6864</v>
      </c>
      <c r="H516" s="63">
        <v>11897.6</v>
      </c>
    </row>
    <row r="517" spans="1:8" ht="24.75" customHeight="1">
      <c r="A517" s="44" t="s">
        <v>2167</v>
      </c>
      <c r="B517" s="45" t="s">
        <v>5564</v>
      </c>
      <c r="C517" s="45" t="s">
        <v>6693</v>
      </c>
      <c r="D517" s="45" t="s">
        <v>6703</v>
      </c>
      <c r="E517" s="44"/>
      <c r="F517" s="37">
        <v>1</v>
      </c>
      <c r="G517" s="37" t="s">
        <v>6864</v>
      </c>
      <c r="H517" s="63">
        <v>12183.6</v>
      </c>
    </row>
    <row r="518" spans="1:8" ht="24.75" customHeight="1">
      <c r="A518" s="44" t="s">
        <v>2449</v>
      </c>
      <c r="B518" s="45" t="s">
        <v>4420</v>
      </c>
      <c r="C518" s="45" t="s">
        <v>6693</v>
      </c>
      <c r="D518" s="45" t="s">
        <v>6703</v>
      </c>
      <c r="E518" s="44"/>
      <c r="F518" s="37">
        <v>1</v>
      </c>
      <c r="G518" s="37" t="s">
        <v>6864</v>
      </c>
      <c r="H518" s="63">
        <v>9009</v>
      </c>
    </row>
    <row r="519" spans="1:8" ht="24.75" customHeight="1">
      <c r="A519" s="44" t="s">
        <v>1561</v>
      </c>
      <c r="B519" s="45" t="s">
        <v>5421</v>
      </c>
      <c r="C519" s="45" t="s">
        <v>6693</v>
      </c>
      <c r="D519" s="45" t="s">
        <v>6703</v>
      </c>
      <c r="E519" s="44" t="s">
        <v>6839</v>
      </c>
      <c r="F519" s="37">
        <v>1</v>
      </c>
      <c r="G519" s="37" t="s">
        <v>6864</v>
      </c>
      <c r="H519" s="63">
        <v>13513.5</v>
      </c>
    </row>
    <row r="520" spans="1:8" ht="24.75" customHeight="1">
      <c r="A520" s="44" t="s">
        <v>2450</v>
      </c>
      <c r="B520" s="45" t="s">
        <v>4421</v>
      </c>
      <c r="C520" s="45" t="s">
        <v>6693</v>
      </c>
      <c r="D520" s="45" t="s">
        <v>6703</v>
      </c>
      <c r="E520" s="44"/>
      <c r="F520" s="37">
        <v>1</v>
      </c>
      <c r="G520" s="37" t="s">
        <v>6864</v>
      </c>
      <c r="H520" s="63">
        <v>9009</v>
      </c>
    </row>
    <row r="521" spans="1:8" ht="24.75" customHeight="1">
      <c r="A521" s="44" t="s">
        <v>361</v>
      </c>
      <c r="B521" s="45" t="s">
        <v>5063</v>
      </c>
      <c r="C521" s="45" t="s">
        <v>6693</v>
      </c>
      <c r="D521" s="45" t="s">
        <v>6703</v>
      </c>
      <c r="E521" s="44"/>
      <c r="F521" s="37">
        <v>1</v>
      </c>
      <c r="G521" s="37" t="s">
        <v>6864</v>
      </c>
      <c r="H521" s="63">
        <v>13971.1</v>
      </c>
    </row>
    <row r="522" spans="1:8" ht="24.75" customHeight="1">
      <c r="A522" s="44" t="s">
        <v>1192</v>
      </c>
      <c r="B522" s="45" t="s">
        <v>6059</v>
      </c>
      <c r="C522" s="45" t="s">
        <v>6693</v>
      </c>
      <c r="D522" s="45" t="s">
        <v>6703</v>
      </c>
      <c r="E522" s="44" t="s">
        <v>6839</v>
      </c>
      <c r="F522" s="37">
        <v>1</v>
      </c>
      <c r="G522" s="37" t="s">
        <v>6864</v>
      </c>
      <c r="H522" s="63">
        <v>13685.1</v>
      </c>
    </row>
    <row r="523" spans="1:8" ht="24.75" customHeight="1">
      <c r="A523" s="44" t="s">
        <v>1827</v>
      </c>
      <c r="B523" s="45" t="s">
        <v>5423</v>
      </c>
      <c r="C523" s="45" t="s">
        <v>6693</v>
      </c>
      <c r="D523" s="45" t="s">
        <v>6703</v>
      </c>
      <c r="E523" s="44" t="s">
        <v>6839</v>
      </c>
      <c r="F523" s="37">
        <v>1</v>
      </c>
      <c r="G523" s="37" t="s">
        <v>6864</v>
      </c>
      <c r="H523" s="63">
        <v>13513.5</v>
      </c>
    </row>
    <row r="524" spans="1:8" ht="24.75" customHeight="1">
      <c r="A524" s="44" t="s">
        <v>363</v>
      </c>
      <c r="B524" s="45" t="s">
        <v>5067</v>
      </c>
      <c r="C524" s="45" t="s">
        <v>6693</v>
      </c>
      <c r="D524" s="45" t="s">
        <v>6703</v>
      </c>
      <c r="E524" s="44"/>
      <c r="F524" s="37">
        <v>1</v>
      </c>
      <c r="G524" s="37" t="s">
        <v>6864</v>
      </c>
      <c r="H524" s="63">
        <v>13971.1</v>
      </c>
    </row>
    <row r="525" spans="1:8" ht="24.75" customHeight="1">
      <c r="A525" s="44" t="s">
        <v>1562</v>
      </c>
      <c r="B525" s="45" t="s">
        <v>5424</v>
      </c>
      <c r="C525" s="45" t="s">
        <v>6693</v>
      </c>
      <c r="D525" s="45" t="s">
        <v>6703</v>
      </c>
      <c r="E525" s="44" t="s">
        <v>6839</v>
      </c>
      <c r="F525" s="37">
        <v>1</v>
      </c>
      <c r="G525" s="37" t="s">
        <v>6864</v>
      </c>
      <c r="H525" s="63">
        <v>13513.5</v>
      </c>
    </row>
    <row r="526" spans="1:8" ht="24.75" customHeight="1">
      <c r="A526" s="44" t="s">
        <v>2451</v>
      </c>
      <c r="B526" s="45" t="s">
        <v>4422</v>
      </c>
      <c r="C526" s="45" t="s">
        <v>6693</v>
      </c>
      <c r="D526" s="45" t="s">
        <v>6703</v>
      </c>
      <c r="E526" s="44"/>
      <c r="F526" s="37">
        <v>1</v>
      </c>
      <c r="G526" s="37" t="s">
        <v>6864</v>
      </c>
      <c r="H526" s="63">
        <v>9009</v>
      </c>
    </row>
    <row r="527" spans="1:8" ht="24.75" customHeight="1">
      <c r="A527" s="44" t="s">
        <v>360</v>
      </c>
      <c r="B527" s="45" t="s">
        <v>5071</v>
      </c>
      <c r="C527" s="45" t="s">
        <v>6693</v>
      </c>
      <c r="D527" s="45" t="s">
        <v>6703</v>
      </c>
      <c r="E527" s="44"/>
      <c r="F527" s="37">
        <v>1</v>
      </c>
      <c r="G527" s="37" t="s">
        <v>6864</v>
      </c>
      <c r="H527" s="63">
        <v>13971.1</v>
      </c>
    </row>
    <row r="528" spans="1:8" ht="24.75" customHeight="1">
      <c r="A528" s="44" t="s">
        <v>2168</v>
      </c>
      <c r="B528" s="45" t="s">
        <v>5552</v>
      </c>
      <c r="C528" s="45" t="s">
        <v>6693</v>
      </c>
      <c r="D528" s="45" t="s">
        <v>6703</v>
      </c>
      <c r="E528" s="44"/>
      <c r="F528" s="37">
        <v>1</v>
      </c>
      <c r="G528" s="37" t="s">
        <v>6864</v>
      </c>
      <c r="H528" s="63">
        <v>17989.400000000001</v>
      </c>
    </row>
    <row r="529" spans="1:8" ht="24.75" customHeight="1">
      <c r="A529" s="44" t="s">
        <v>2169</v>
      </c>
      <c r="B529" s="45" t="s">
        <v>5553</v>
      </c>
      <c r="C529" s="45" t="s">
        <v>6693</v>
      </c>
      <c r="D529" s="45" t="s">
        <v>6703</v>
      </c>
      <c r="E529" s="44" t="s">
        <v>6839</v>
      </c>
      <c r="F529" s="37">
        <v>1</v>
      </c>
      <c r="G529" s="37" t="s">
        <v>6864</v>
      </c>
      <c r="H529" s="63">
        <v>17989.400000000001</v>
      </c>
    </row>
    <row r="530" spans="1:8" ht="24.75" customHeight="1">
      <c r="A530" s="44" t="s">
        <v>2170</v>
      </c>
      <c r="B530" s="45" t="s">
        <v>5554</v>
      </c>
      <c r="C530" s="45" t="s">
        <v>6693</v>
      </c>
      <c r="D530" s="45" t="s">
        <v>6703</v>
      </c>
      <c r="E530" s="44" t="s">
        <v>6839</v>
      </c>
      <c r="F530" s="37">
        <v>1</v>
      </c>
      <c r="G530" s="37" t="s">
        <v>6864</v>
      </c>
      <c r="H530" s="63">
        <v>17989.400000000001</v>
      </c>
    </row>
    <row r="531" spans="1:8" ht="24.75" customHeight="1">
      <c r="A531" s="44" t="s">
        <v>2171</v>
      </c>
      <c r="B531" s="45" t="s">
        <v>5555</v>
      </c>
      <c r="C531" s="45" t="s">
        <v>6693</v>
      </c>
      <c r="D531" s="45" t="s">
        <v>6703</v>
      </c>
      <c r="E531" s="44" t="s">
        <v>6839</v>
      </c>
      <c r="F531" s="37">
        <v>1</v>
      </c>
      <c r="G531" s="37" t="s">
        <v>6864</v>
      </c>
      <c r="H531" s="63">
        <v>17989.400000000001</v>
      </c>
    </row>
    <row r="532" spans="1:8" ht="24.75" customHeight="1">
      <c r="A532" s="44" t="s">
        <v>2452</v>
      </c>
      <c r="B532" s="45" t="s">
        <v>4423</v>
      </c>
      <c r="C532" s="45" t="s">
        <v>6693</v>
      </c>
      <c r="D532" s="45" t="s">
        <v>6703</v>
      </c>
      <c r="E532" s="44"/>
      <c r="F532" s="37">
        <v>1</v>
      </c>
      <c r="G532" s="37" t="s">
        <v>6864</v>
      </c>
      <c r="H532" s="63">
        <v>9009</v>
      </c>
    </row>
    <row r="533" spans="1:8" ht="24.75" customHeight="1">
      <c r="A533" s="44" t="s">
        <v>1566</v>
      </c>
      <c r="B533" s="45" t="s">
        <v>5426</v>
      </c>
      <c r="C533" s="45" t="s">
        <v>6693</v>
      </c>
      <c r="D533" s="45" t="s">
        <v>6703</v>
      </c>
      <c r="E533" s="44" t="s">
        <v>6839</v>
      </c>
      <c r="F533" s="37">
        <v>1</v>
      </c>
      <c r="G533" s="37" t="s">
        <v>6864</v>
      </c>
      <c r="H533" s="63">
        <v>13513.5</v>
      </c>
    </row>
    <row r="534" spans="1:8" ht="24.75" customHeight="1">
      <c r="A534" s="44" t="s">
        <v>2453</v>
      </c>
      <c r="B534" s="45" t="s">
        <v>4424</v>
      </c>
      <c r="C534" s="45" t="s">
        <v>6693</v>
      </c>
      <c r="D534" s="45" t="s">
        <v>6703</v>
      </c>
      <c r="E534" s="44"/>
      <c r="F534" s="37">
        <v>1</v>
      </c>
      <c r="G534" s="37" t="s">
        <v>6864</v>
      </c>
      <c r="H534" s="63">
        <v>9009</v>
      </c>
    </row>
    <row r="535" spans="1:8" ht="24.75" customHeight="1">
      <c r="A535" s="44" t="s">
        <v>354</v>
      </c>
      <c r="B535" s="45" t="s">
        <v>5058</v>
      </c>
      <c r="C535" s="45" t="s">
        <v>6693</v>
      </c>
      <c r="D535" s="45" t="s">
        <v>6703</v>
      </c>
      <c r="E535" s="44"/>
      <c r="F535" s="37">
        <v>1</v>
      </c>
      <c r="G535" s="37" t="s">
        <v>6864</v>
      </c>
      <c r="H535" s="63">
        <v>13971.1</v>
      </c>
    </row>
    <row r="536" spans="1:8" ht="24.75" customHeight="1">
      <c r="A536" s="44" t="s">
        <v>2172</v>
      </c>
      <c r="B536" s="45" t="s">
        <v>5566</v>
      </c>
      <c r="C536" s="45" t="s">
        <v>6693</v>
      </c>
      <c r="D536" s="45" t="s">
        <v>6703</v>
      </c>
      <c r="E536" s="44"/>
      <c r="F536" s="37">
        <v>1</v>
      </c>
      <c r="G536" s="37" t="s">
        <v>6864</v>
      </c>
      <c r="H536" s="63">
        <v>12183.6</v>
      </c>
    </row>
    <row r="537" spans="1:8" ht="24.75" customHeight="1">
      <c r="A537" s="44" t="s">
        <v>2173</v>
      </c>
      <c r="B537" s="45" t="s">
        <v>5567</v>
      </c>
      <c r="C537" s="45" t="s">
        <v>6693</v>
      </c>
      <c r="D537" s="45" t="s">
        <v>6703</v>
      </c>
      <c r="E537" s="44"/>
      <c r="F537" s="37">
        <v>1</v>
      </c>
      <c r="G537" s="37" t="s">
        <v>6864</v>
      </c>
      <c r="H537" s="63">
        <v>11897.6</v>
      </c>
    </row>
    <row r="538" spans="1:8" ht="24.75" customHeight="1">
      <c r="A538" s="44" t="s">
        <v>2174</v>
      </c>
      <c r="B538" s="45" t="s">
        <v>5568</v>
      </c>
      <c r="C538" s="45" t="s">
        <v>6693</v>
      </c>
      <c r="D538" s="45" t="s">
        <v>6703</v>
      </c>
      <c r="E538" s="44"/>
      <c r="F538" s="37">
        <v>1</v>
      </c>
      <c r="G538" s="37" t="s">
        <v>6864</v>
      </c>
      <c r="H538" s="63">
        <v>11897.6</v>
      </c>
    </row>
    <row r="539" spans="1:8" ht="24.75" customHeight="1">
      <c r="A539" s="44" t="s">
        <v>2175</v>
      </c>
      <c r="B539" s="45" t="s">
        <v>5569</v>
      </c>
      <c r="C539" s="45" t="s">
        <v>6693</v>
      </c>
      <c r="D539" s="45" t="s">
        <v>6703</v>
      </c>
      <c r="E539" s="44"/>
      <c r="F539" s="37">
        <v>1</v>
      </c>
      <c r="G539" s="37" t="s">
        <v>6864</v>
      </c>
      <c r="H539" s="63">
        <v>12183.6</v>
      </c>
    </row>
    <row r="540" spans="1:8" ht="24.75" customHeight="1">
      <c r="A540" s="44" t="s">
        <v>2454</v>
      </c>
      <c r="B540" s="45" t="s">
        <v>4425</v>
      </c>
      <c r="C540" s="45" t="s">
        <v>6693</v>
      </c>
      <c r="D540" s="45" t="s">
        <v>6703</v>
      </c>
      <c r="E540" s="44"/>
      <c r="F540" s="37">
        <v>1</v>
      </c>
      <c r="G540" s="37" t="s">
        <v>6864</v>
      </c>
      <c r="H540" s="63">
        <v>9009</v>
      </c>
    </row>
    <row r="541" spans="1:8" ht="24.75" customHeight="1">
      <c r="A541" s="44" t="s">
        <v>1564</v>
      </c>
      <c r="B541" s="45" t="s">
        <v>5425</v>
      </c>
      <c r="C541" s="45" t="s">
        <v>6693</v>
      </c>
      <c r="D541" s="45" t="s">
        <v>6703</v>
      </c>
      <c r="E541" s="44" t="s">
        <v>6839</v>
      </c>
      <c r="F541" s="37">
        <v>1</v>
      </c>
      <c r="G541" s="37" t="s">
        <v>6864</v>
      </c>
      <c r="H541" s="63">
        <v>13513.5</v>
      </c>
    </row>
    <row r="542" spans="1:8" ht="24.75" customHeight="1">
      <c r="A542" s="44" t="s">
        <v>2455</v>
      </c>
      <c r="B542" s="45" t="s">
        <v>4426</v>
      </c>
      <c r="C542" s="45" t="s">
        <v>6693</v>
      </c>
      <c r="D542" s="45" t="s">
        <v>6703</v>
      </c>
      <c r="E542" s="44"/>
      <c r="F542" s="37">
        <v>1</v>
      </c>
      <c r="G542" s="37" t="s">
        <v>6864</v>
      </c>
      <c r="H542" s="63">
        <v>9009</v>
      </c>
    </row>
    <row r="543" spans="1:8" ht="24.75" customHeight="1">
      <c r="A543" s="44" t="s">
        <v>353</v>
      </c>
      <c r="B543" s="45" t="s">
        <v>5062</v>
      </c>
      <c r="C543" s="45" t="s">
        <v>6693</v>
      </c>
      <c r="D543" s="45" t="s">
        <v>6703</v>
      </c>
      <c r="E543" s="44"/>
      <c r="F543" s="37">
        <v>1</v>
      </c>
      <c r="G543" s="37" t="s">
        <v>6864</v>
      </c>
      <c r="H543" s="63">
        <v>13971.1</v>
      </c>
    </row>
    <row r="544" spans="1:8" ht="24.75" customHeight="1">
      <c r="A544" s="44" t="s">
        <v>1005</v>
      </c>
      <c r="B544" s="45" t="s">
        <v>6058</v>
      </c>
      <c r="C544" s="45" t="s">
        <v>6693</v>
      </c>
      <c r="D544" s="45" t="s">
        <v>6703</v>
      </c>
      <c r="E544" s="44" t="s">
        <v>6839</v>
      </c>
      <c r="F544" s="37">
        <v>1</v>
      </c>
      <c r="G544" s="37" t="s">
        <v>6864</v>
      </c>
      <c r="H544" s="63">
        <v>13685.1</v>
      </c>
    </row>
    <row r="545" spans="1:8" ht="24.75" customHeight="1">
      <c r="A545" s="44" t="s">
        <v>1828</v>
      </c>
      <c r="B545" s="45" t="s">
        <v>5427</v>
      </c>
      <c r="C545" s="45" t="s">
        <v>6693</v>
      </c>
      <c r="D545" s="45" t="s">
        <v>6703</v>
      </c>
      <c r="E545" s="44" t="s">
        <v>6839</v>
      </c>
      <c r="F545" s="37">
        <v>1</v>
      </c>
      <c r="G545" s="37" t="s">
        <v>6864</v>
      </c>
      <c r="H545" s="63">
        <v>13513.5</v>
      </c>
    </row>
    <row r="546" spans="1:8" ht="24.75" customHeight="1">
      <c r="A546" s="44" t="s">
        <v>355</v>
      </c>
      <c r="B546" s="45" t="s">
        <v>5066</v>
      </c>
      <c r="C546" s="45" t="s">
        <v>6693</v>
      </c>
      <c r="D546" s="45" t="s">
        <v>6703</v>
      </c>
      <c r="E546" s="44"/>
      <c r="F546" s="37">
        <v>1</v>
      </c>
      <c r="G546" s="37" t="s">
        <v>6864</v>
      </c>
      <c r="H546" s="63">
        <v>13971.1</v>
      </c>
    </row>
    <row r="547" spans="1:8" ht="24.75" customHeight="1">
      <c r="A547" s="44" t="s">
        <v>1565</v>
      </c>
      <c r="B547" s="45" t="s">
        <v>5428</v>
      </c>
      <c r="C547" s="45" t="s">
        <v>6693</v>
      </c>
      <c r="D547" s="45" t="s">
        <v>6703</v>
      </c>
      <c r="E547" s="44" t="s">
        <v>6839</v>
      </c>
      <c r="F547" s="37">
        <v>1</v>
      </c>
      <c r="G547" s="37" t="s">
        <v>6864</v>
      </c>
      <c r="H547" s="63">
        <v>13513.5</v>
      </c>
    </row>
    <row r="548" spans="1:8" ht="24.75" customHeight="1">
      <c r="A548" s="44" t="s">
        <v>2456</v>
      </c>
      <c r="B548" s="45" t="s">
        <v>4427</v>
      </c>
      <c r="C548" s="45" t="s">
        <v>6693</v>
      </c>
      <c r="D548" s="45" t="s">
        <v>6703</v>
      </c>
      <c r="E548" s="44"/>
      <c r="F548" s="37">
        <v>1</v>
      </c>
      <c r="G548" s="37" t="s">
        <v>6864</v>
      </c>
      <c r="H548" s="63">
        <v>9009</v>
      </c>
    </row>
    <row r="549" spans="1:8" ht="24.75" customHeight="1">
      <c r="A549" s="44" t="s">
        <v>352</v>
      </c>
      <c r="B549" s="45" t="s">
        <v>5070</v>
      </c>
      <c r="C549" s="45" t="s">
        <v>6693</v>
      </c>
      <c r="D549" s="45" t="s">
        <v>6703</v>
      </c>
      <c r="E549" s="44"/>
      <c r="F549" s="37">
        <v>1</v>
      </c>
      <c r="G549" s="37" t="s">
        <v>6864</v>
      </c>
      <c r="H549" s="63">
        <v>13971.1</v>
      </c>
    </row>
    <row r="550" spans="1:8" ht="24.75" customHeight="1">
      <c r="A550" s="44" t="s">
        <v>2176</v>
      </c>
      <c r="B550" s="45" t="s">
        <v>5556</v>
      </c>
      <c r="C550" s="45" t="s">
        <v>6693</v>
      </c>
      <c r="D550" s="45" t="s">
        <v>6703</v>
      </c>
      <c r="E550" s="44"/>
      <c r="F550" s="37">
        <v>1</v>
      </c>
      <c r="G550" s="37" t="s">
        <v>6864</v>
      </c>
      <c r="H550" s="63">
        <v>17989.400000000001</v>
      </c>
    </row>
    <row r="551" spans="1:8" ht="24.75" customHeight="1">
      <c r="A551" s="44" t="s">
        <v>2177</v>
      </c>
      <c r="B551" s="45" t="s">
        <v>5557</v>
      </c>
      <c r="C551" s="45" t="s">
        <v>6693</v>
      </c>
      <c r="D551" s="45" t="s">
        <v>6703</v>
      </c>
      <c r="E551" s="44"/>
      <c r="F551" s="37">
        <v>1</v>
      </c>
      <c r="G551" s="37" t="s">
        <v>6864</v>
      </c>
      <c r="H551" s="63">
        <v>17989.400000000001</v>
      </c>
    </row>
    <row r="552" spans="1:8" ht="24.75" customHeight="1">
      <c r="A552" s="44" t="s">
        <v>2178</v>
      </c>
      <c r="B552" s="45" t="s">
        <v>5558</v>
      </c>
      <c r="C552" s="45" t="s">
        <v>6693</v>
      </c>
      <c r="D552" s="45" t="s">
        <v>6703</v>
      </c>
      <c r="E552" s="44"/>
      <c r="F552" s="37">
        <v>1</v>
      </c>
      <c r="G552" s="37" t="s">
        <v>6864</v>
      </c>
      <c r="H552" s="63">
        <v>17989.400000000001</v>
      </c>
    </row>
    <row r="553" spans="1:8" ht="24.75" customHeight="1">
      <c r="A553" s="44" t="s">
        <v>2179</v>
      </c>
      <c r="B553" s="45" t="s">
        <v>5559</v>
      </c>
      <c r="C553" s="45" t="s">
        <v>6693</v>
      </c>
      <c r="D553" s="45" t="s">
        <v>6703</v>
      </c>
      <c r="E553" s="44"/>
      <c r="F553" s="37">
        <v>1</v>
      </c>
      <c r="G553" s="37" t="s">
        <v>6864</v>
      </c>
      <c r="H553" s="63">
        <v>17989.400000000001</v>
      </c>
    </row>
    <row r="554" spans="1:8" ht="24.75" customHeight="1">
      <c r="A554" s="44" t="s">
        <v>2064</v>
      </c>
      <c r="B554" s="45" t="s">
        <v>5304</v>
      </c>
      <c r="C554" s="45" t="s">
        <v>6693</v>
      </c>
      <c r="D554" s="45" t="s">
        <v>6703</v>
      </c>
      <c r="E554" s="44"/>
      <c r="F554" s="37">
        <v>1</v>
      </c>
      <c r="G554" s="37" t="s">
        <v>6864</v>
      </c>
      <c r="H554" s="63">
        <v>23423.4</v>
      </c>
    </row>
    <row r="555" spans="1:8" ht="24.75" customHeight="1">
      <c r="A555" s="44" t="s">
        <v>1569</v>
      </c>
      <c r="B555" s="45" t="s">
        <v>5430</v>
      </c>
      <c r="C555" s="45" t="s">
        <v>6693</v>
      </c>
      <c r="D555" s="45" t="s">
        <v>6703</v>
      </c>
      <c r="E555" s="44" t="s">
        <v>6839</v>
      </c>
      <c r="F555" s="37">
        <v>1</v>
      </c>
      <c r="G555" s="37" t="s">
        <v>6864</v>
      </c>
      <c r="H555" s="63">
        <v>12626.9</v>
      </c>
    </row>
    <row r="556" spans="1:8" ht="24.75" customHeight="1">
      <c r="A556" s="44" t="s">
        <v>1567</v>
      </c>
      <c r="B556" s="45" t="s">
        <v>5429</v>
      </c>
      <c r="C556" s="45" t="s">
        <v>6693</v>
      </c>
      <c r="D556" s="45" t="s">
        <v>6703</v>
      </c>
      <c r="E556" s="44" t="s">
        <v>6839</v>
      </c>
      <c r="F556" s="37">
        <v>1</v>
      </c>
      <c r="G556" s="37" t="s">
        <v>6864</v>
      </c>
      <c r="H556" s="63">
        <v>12626.9</v>
      </c>
    </row>
    <row r="557" spans="1:8" ht="24.75" customHeight="1">
      <c r="A557" s="44" t="s">
        <v>1829</v>
      </c>
      <c r="B557" s="45" t="s">
        <v>5431</v>
      </c>
      <c r="C557" s="45" t="s">
        <v>6693</v>
      </c>
      <c r="D557" s="45" t="s">
        <v>6703</v>
      </c>
      <c r="E557" s="44" t="s">
        <v>6839</v>
      </c>
      <c r="F557" s="37">
        <v>1</v>
      </c>
      <c r="G557" s="37" t="s">
        <v>6864</v>
      </c>
      <c r="H557" s="63">
        <v>12626.9</v>
      </c>
    </row>
    <row r="558" spans="1:8" ht="24.75" customHeight="1">
      <c r="A558" s="44" t="s">
        <v>1568</v>
      </c>
      <c r="B558" s="45" t="s">
        <v>5432</v>
      </c>
      <c r="C558" s="45" t="s">
        <v>6693</v>
      </c>
      <c r="D558" s="45" t="s">
        <v>6703</v>
      </c>
      <c r="E558" s="44" t="s">
        <v>6839</v>
      </c>
      <c r="F558" s="37">
        <v>1</v>
      </c>
      <c r="G558" s="37" t="s">
        <v>6864</v>
      </c>
      <c r="H558" s="63">
        <v>12626.9</v>
      </c>
    </row>
    <row r="559" spans="1:8" ht="24.75" customHeight="1">
      <c r="A559" s="44" t="s">
        <v>1572</v>
      </c>
      <c r="B559" s="45" t="s">
        <v>5434</v>
      </c>
      <c r="C559" s="45" t="s">
        <v>6693</v>
      </c>
      <c r="D559" s="45" t="s">
        <v>6703</v>
      </c>
      <c r="E559" s="44" t="s">
        <v>6839</v>
      </c>
      <c r="F559" s="37">
        <v>1</v>
      </c>
      <c r="G559" s="37" t="s">
        <v>6864</v>
      </c>
      <c r="H559" s="63">
        <v>12626.9</v>
      </c>
    </row>
    <row r="560" spans="1:8" ht="24.75" customHeight="1">
      <c r="A560" s="44" t="s">
        <v>1570</v>
      </c>
      <c r="B560" s="45" t="s">
        <v>5433</v>
      </c>
      <c r="C560" s="45" t="s">
        <v>6693</v>
      </c>
      <c r="D560" s="45" t="s">
        <v>6703</v>
      </c>
      <c r="E560" s="44" t="s">
        <v>6839</v>
      </c>
      <c r="F560" s="37">
        <v>1</v>
      </c>
      <c r="G560" s="37" t="s">
        <v>6864</v>
      </c>
      <c r="H560" s="63">
        <v>12626.9</v>
      </c>
    </row>
    <row r="561" spans="1:8" ht="24.75" customHeight="1">
      <c r="A561" s="44" t="s">
        <v>1830</v>
      </c>
      <c r="B561" s="45" t="s">
        <v>5435</v>
      </c>
      <c r="C561" s="45" t="s">
        <v>6693</v>
      </c>
      <c r="D561" s="45" t="s">
        <v>6703</v>
      </c>
      <c r="E561" s="44" t="s">
        <v>6839</v>
      </c>
      <c r="F561" s="37">
        <v>1</v>
      </c>
      <c r="G561" s="37" t="s">
        <v>6864</v>
      </c>
      <c r="H561" s="63">
        <v>12626.9</v>
      </c>
    </row>
    <row r="562" spans="1:8" ht="24.75" customHeight="1">
      <c r="A562" s="44" t="s">
        <v>1571</v>
      </c>
      <c r="B562" s="45" t="s">
        <v>5436</v>
      </c>
      <c r="C562" s="45" t="s">
        <v>6693</v>
      </c>
      <c r="D562" s="45" t="s">
        <v>6703</v>
      </c>
      <c r="E562" s="44" t="s">
        <v>6839</v>
      </c>
      <c r="F562" s="37">
        <v>1</v>
      </c>
      <c r="G562" s="37" t="s">
        <v>6864</v>
      </c>
      <c r="H562" s="63">
        <v>12626.9</v>
      </c>
    </row>
    <row r="563" spans="1:8" ht="24.75" customHeight="1">
      <c r="A563" s="44" t="s">
        <v>2065</v>
      </c>
      <c r="B563" s="45" t="s">
        <v>5305</v>
      </c>
      <c r="C563" s="45" t="s">
        <v>6693</v>
      </c>
      <c r="D563" s="45" t="s">
        <v>6703</v>
      </c>
      <c r="E563" s="44"/>
      <c r="F563" s="37">
        <v>1</v>
      </c>
      <c r="G563" s="37" t="s">
        <v>6864</v>
      </c>
      <c r="H563" s="63">
        <v>57057</v>
      </c>
    </row>
    <row r="564" spans="1:8" ht="24.75" customHeight="1">
      <c r="A564" s="44" t="s">
        <v>2458</v>
      </c>
      <c r="B564" s="45" t="s">
        <v>4428</v>
      </c>
      <c r="C564" s="45" t="s">
        <v>6693</v>
      </c>
      <c r="D564" s="45" t="s">
        <v>6703</v>
      </c>
      <c r="E564" s="44"/>
      <c r="F564" s="37">
        <v>1</v>
      </c>
      <c r="G564" s="37" t="s">
        <v>6864</v>
      </c>
      <c r="H564" s="63">
        <v>14786.2</v>
      </c>
    </row>
    <row r="565" spans="1:8" ht="24.75" customHeight="1">
      <c r="A565" s="44" t="s">
        <v>2459</v>
      </c>
      <c r="B565" s="45" t="s">
        <v>4429</v>
      </c>
      <c r="C565" s="45" t="s">
        <v>6693</v>
      </c>
      <c r="D565" s="45" t="s">
        <v>6703</v>
      </c>
      <c r="E565" s="44"/>
      <c r="F565" s="37">
        <v>1</v>
      </c>
      <c r="G565" s="37" t="s">
        <v>2568</v>
      </c>
      <c r="H565" s="63">
        <v>15544.1</v>
      </c>
    </row>
    <row r="566" spans="1:8" ht="24.75" customHeight="1">
      <c r="A566" s="44" t="s">
        <v>2460</v>
      </c>
      <c r="B566" s="45" t="s">
        <v>4430</v>
      </c>
      <c r="C566" s="45" t="s">
        <v>6693</v>
      </c>
      <c r="D566" s="45" t="s">
        <v>6703</v>
      </c>
      <c r="E566" s="44"/>
      <c r="F566" s="37">
        <v>1</v>
      </c>
      <c r="G566" s="37" t="s">
        <v>6864</v>
      </c>
      <c r="H566" s="63">
        <v>15544.1</v>
      </c>
    </row>
    <row r="567" spans="1:8" ht="24.75" customHeight="1">
      <c r="A567" s="44" t="s">
        <v>2184</v>
      </c>
      <c r="B567" s="45" t="s">
        <v>5868</v>
      </c>
      <c r="C567" s="45" t="s">
        <v>6693</v>
      </c>
      <c r="D567" s="45" t="s">
        <v>6703</v>
      </c>
      <c r="E567" s="44"/>
      <c r="F567" s="37">
        <v>1</v>
      </c>
      <c r="G567" s="37" t="s">
        <v>6864</v>
      </c>
      <c r="H567" s="63">
        <v>15501.2</v>
      </c>
    </row>
    <row r="568" spans="1:8" ht="24.75" customHeight="1">
      <c r="A568" s="44" t="s">
        <v>2461</v>
      </c>
      <c r="B568" s="45" t="s">
        <v>4431</v>
      </c>
      <c r="C568" s="45" t="s">
        <v>6693</v>
      </c>
      <c r="D568" s="45" t="s">
        <v>6703</v>
      </c>
      <c r="E568" s="44"/>
      <c r="F568" s="37">
        <v>1</v>
      </c>
      <c r="G568" s="37" t="s">
        <v>6864</v>
      </c>
      <c r="H568" s="63">
        <v>15544.1</v>
      </c>
    </row>
    <row r="569" spans="1:8" ht="24.75" customHeight="1">
      <c r="A569" s="44" t="s">
        <v>2462</v>
      </c>
      <c r="B569" s="45" t="s">
        <v>4432</v>
      </c>
      <c r="C569" s="45" t="s">
        <v>6693</v>
      </c>
      <c r="D569" s="45" t="s">
        <v>6703</v>
      </c>
      <c r="E569" s="44"/>
      <c r="F569" s="37">
        <v>1</v>
      </c>
      <c r="G569" s="37" t="s">
        <v>6864</v>
      </c>
      <c r="H569" s="63">
        <v>15544.1</v>
      </c>
    </row>
    <row r="570" spans="1:8" ht="24.75" customHeight="1">
      <c r="A570" s="44" t="s">
        <v>1374</v>
      </c>
      <c r="B570" s="45" t="s">
        <v>6053</v>
      </c>
      <c r="C570" s="45" t="s">
        <v>6693</v>
      </c>
      <c r="D570" s="45" t="s">
        <v>6703</v>
      </c>
      <c r="E570" s="44" t="s">
        <v>6839</v>
      </c>
      <c r="F570" s="37">
        <v>1</v>
      </c>
      <c r="G570" s="37" t="s">
        <v>6864</v>
      </c>
      <c r="H570" s="63">
        <v>29829.8</v>
      </c>
    </row>
    <row r="571" spans="1:8" ht="24.75" customHeight="1">
      <c r="A571" s="44" t="s">
        <v>1821</v>
      </c>
      <c r="B571" s="45" t="s">
        <v>5438</v>
      </c>
      <c r="C571" s="45" t="s">
        <v>6693</v>
      </c>
      <c r="D571" s="45" t="s">
        <v>6703</v>
      </c>
      <c r="E571" s="44" t="s">
        <v>6839</v>
      </c>
      <c r="F571" s="37">
        <v>1</v>
      </c>
      <c r="G571" s="37" t="s">
        <v>6864</v>
      </c>
      <c r="H571" s="63">
        <v>5434</v>
      </c>
    </row>
    <row r="572" spans="1:8" ht="24.75" customHeight="1">
      <c r="A572" s="44" t="s">
        <v>1327</v>
      </c>
      <c r="B572" s="45" t="s">
        <v>5619</v>
      </c>
      <c r="C572" s="45" t="s">
        <v>6693</v>
      </c>
      <c r="D572" s="45" t="s">
        <v>6703</v>
      </c>
      <c r="E572" s="44" t="s">
        <v>6839</v>
      </c>
      <c r="F572" s="37">
        <v>1</v>
      </c>
      <c r="G572" s="37" t="s">
        <v>6864</v>
      </c>
      <c r="H572" s="63">
        <v>3374.8</v>
      </c>
    </row>
    <row r="573" spans="1:8" ht="24.75" customHeight="1">
      <c r="A573" s="44" t="s">
        <v>1820</v>
      </c>
      <c r="B573" s="45" t="s">
        <v>5437</v>
      </c>
      <c r="C573" s="45" t="s">
        <v>6693</v>
      </c>
      <c r="D573" s="45" t="s">
        <v>6703</v>
      </c>
      <c r="E573" s="44" t="s">
        <v>6839</v>
      </c>
      <c r="F573" s="37">
        <v>1</v>
      </c>
      <c r="G573" s="37" t="s">
        <v>6864</v>
      </c>
      <c r="H573" s="63">
        <v>5434</v>
      </c>
    </row>
    <row r="574" spans="1:8" ht="24.75" customHeight="1">
      <c r="A574" s="44" t="s">
        <v>1326</v>
      </c>
      <c r="B574" s="45" t="s">
        <v>5618</v>
      </c>
      <c r="C574" s="45" t="s">
        <v>6693</v>
      </c>
      <c r="D574" s="45" t="s">
        <v>6703</v>
      </c>
      <c r="E574" s="44" t="s">
        <v>6839</v>
      </c>
      <c r="F574" s="37">
        <v>1</v>
      </c>
      <c r="G574" s="37" t="s">
        <v>6864</v>
      </c>
      <c r="H574" s="63">
        <v>3374.8</v>
      </c>
    </row>
    <row r="575" spans="1:8" ht="24.75" customHeight="1">
      <c r="A575" s="44" t="s">
        <v>1832</v>
      </c>
      <c r="B575" s="45" t="s">
        <v>5439</v>
      </c>
      <c r="C575" s="45" t="s">
        <v>6693</v>
      </c>
      <c r="D575" s="45" t="s">
        <v>6703</v>
      </c>
      <c r="E575" s="44" t="s">
        <v>6839</v>
      </c>
      <c r="F575" s="37">
        <v>1</v>
      </c>
      <c r="G575" s="37" t="s">
        <v>6864</v>
      </c>
      <c r="H575" s="63">
        <v>5434</v>
      </c>
    </row>
    <row r="576" spans="1:8" ht="24.75" customHeight="1">
      <c r="A576" s="44" t="s">
        <v>1329</v>
      </c>
      <c r="B576" s="45" t="s">
        <v>5621</v>
      </c>
      <c r="C576" s="45" t="s">
        <v>6693</v>
      </c>
      <c r="D576" s="45" t="s">
        <v>6703</v>
      </c>
      <c r="E576" s="44" t="s">
        <v>6839</v>
      </c>
      <c r="F576" s="37">
        <v>1</v>
      </c>
      <c r="G576" s="37" t="s">
        <v>6864</v>
      </c>
      <c r="H576" s="63">
        <v>3374.8</v>
      </c>
    </row>
    <row r="577" spans="1:8" ht="24.75" customHeight="1">
      <c r="A577" s="44" t="s">
        <v>1822</v>
      </c>
      <c r="B577" s="45" t="s">
        <v>5440</v>
      </c>
      <c r="C577" s="45" t="s">
        <v>6693</v>
      </c>
      <c r="D577" s="45" t="s">
        <v>6703</v>
      </c>
      <c r="E577" s="44" t="s">
        <v>6839</v>
      </c>
      <c r="F577" s="37">
        <v>1</v>
      </c>
      <c r="G577" s="37" t="s">
        <v>6864</v>
      </c>
      <c r="H577" s="63">
        <v>5434</v>
      </c>
    </row>
    <row r="578" spans="1:8" ht="24.75" customHeight="1">
      <c r="A578" s="44" t="s">
        <v>1328</v>
      </c>
      <c r="B578" s="45" t="s">
        <v>5620</v>
      </c>
      <c r="C578" s="45" t="s">
        <v>6693</v>
      </c>
      <c r="D578" s="45" t="s">
        <v>6703</v>
      </c>
      <c r="E578" s="44" t="s">
        <v>6839</v>
      </c>
      <c r="F578" s="37">
        <v>1</v>
      </c>
      <c r="G578" s="37" t="s">
        <v>6864</v>
      </c>
      <c r="H578" s="63">
        <v>3374.8</v>
      </c>
    </row>
    <row r="579" spans="1:8" ht="24.75" customHeight="1">
      <c r="A579" s="44" t="s">
        <v>356</v>
      </c>
      <c r="B579" s="45" t="s">
        <v>5060</v>
      </c>
      <c r="C579" s="45" t="s">
        <v>6693</v>
      </c>
      <c r="D579" s="45" t="s">
        <v>6703</v>
      </c>
      <c r="E579" s="44"/>
      <c r="F579" s="37">
        <v>1</v>
      </c>
      <c r="G579" s="37" t="s">
        <v>6864</v>
      </c>
      <c r="H579" s="63">
        <v>24181.3</v>
      </c>
    </row>
    <row r="580" spans="1:8" ht="24.75" customHeight="1">
      <c r="A580" s="44" t="s">
        <v>359</v>
      </c>
      <c r="B580" s="45" t="s">
        <v>5064</v>
      </c>
      <c r="C580" s="45" t="s">
        <v>6693</v>
      </c>
      <c r="D580" s="45" t="s">
        <v>6703</v>
      </c>
      <c r="E580" s="44"/>
      <c r="F580" s="37">
        <v>1</v>
      </c>
      <c r="G580" s="37" t="s">
        <v>2568</v>
      </c>
      <c r="H580" s="63">
        <v>23094.5</v>
      </c>
    </row>
    <row r="581" spans="1:8" ht="24.75" customHeight="1">
      <c r="A581" s="44" t="s">
        <v>357</v>
      </c>
      <c r="B581" s="45" t="s">
        <v>5068</v>
      </c>
      <c r="C581" s="45" t="s">
        <v>6693</v>
      </c>
      <c r="D581" s="45" t="s">
        <v>6703</v>
      </c>
      <c r="E581" s="44"/>
      <c r="F581" s="37">
        <v>1</v>
      </c>
      <c r="G581" s="37" t="s">
        <v>2568</v>
      </c>
      <c r="H581" s="63">
        <v>23094.5</v>
      </c>
    </row>
    <row r="582" spans="1:8" ht="24.75" customHeight="1">
      <c r="A582" s="44" t="s">
        <v>358</v>
      </c>
      <c r="B582" s="45" t="s">
        <v>5072</v>
      </c>
      <c r="C582" s="45" t="s">
        <v>6693</v>
      </c>
      <c r="D582" s="45" t="s">
        <v>6703</v>
      </c>
      <c r="E582" s="44"/>
      <c r="F582" s="37">
        <v>1</v>
      </c>
      <c r="G582" s="37" t="s">
        <v>2568</v>
      </c>
      <c r="H582" s="63">
        <v>23094.5</v>
      </c>
    </row>
    <row r="583" spans="1:8" ht="24.75" customHeight="1">
      <c r="A583" s="44" t="s">
        <v>2394</v>
      </c>
      <c r="B583" s="45" t="s">
        <v>6345</v>
      </c>
      <c r="C583" s="45" t="s">
        <v>6693</v>
      </c>
      <c r="D583" s="45" t="s">
        <v>6703</v>
      </c>
      <c r="E583" s="44"/>
      <c r="F583" s="37">
        <v>1</v>
      </c>
      <c r="G583" s="37" t="s">
        <v>6864</v>
      </c>
      <c r="H583" s="63">
        <v>12183.6</v>
      </c>
    </row>
    <row r="584" spans="1:8" ht="24.75" customHeight="1">
      <c r="A584" s="44" t="s">
        <v>438</v>
      </c>
      <c r="B584" s="45" t="s">
        <v>6349</v>
      </c>
      <c r="C584" s="45" t="s">
        <v>6693</v>
      </c>
      <c r="D584" s="45" t="s">
        <v>6703</v>
      </c>
      <c r="E584" s="44"/>
      <c r="F584" s="37">
        <v>1</v>
      </c>
      <c r="G584" s="37" t="s">
        <v>6864</v>
      </c>
      <c r="H584" s="63">
        <v>5448.3</v>
      </c>
    </row>
    <row r="585" spans="1:8" ht="24.75" customHeight="1">
      <c r="A585" s="44" t="s">
        <v>1319</v>
      </c>
      <c r="B585" s="45" t="s">
        <v>5611</v>
      </c>
      <c r="C585" s="45" t="s">
        <v>6693</v>
      </c>
      <c r="D585" s="45" t="s">
        <v>6703</v>
      </c>
      <c r="E585" s="44" t="s">
        <v>6839</v>
      </c>
      <c r="F585" s="37">
        <v>1</v>
      </c>
      <c r="G585" s="37" t="s">
        <v>6864</v>
      </c>
      <c r="H585" s="63">
        <v>6320.6</v>
      </c>
    </row>
    <row r="586" spans="1:8" ht="24.75" customHeight="1">
      <c r="A586" s="44" t="s">
        <v>2740</v>
      </c>
      <c r="B586" s="45" t="s">
        <v>5757</v>
      </c>
      <c r="C586" s="45" t="s">
        <v>6693</v>
      </c>
      <c r="D586" s="45" t="s">
        <v>6703</v>
      </c>
      <c r="E586" s="44" t="s">
        <v>6839</v>
      </c>
      <c r="F586" s="37">
        <v>1</v>
      </c>
      <c r="G586" s="37" t="s">
        <v>6864</v>
      </c>
      <c r="H586" s="63">
        <v>12798.5</v>
      </c>
    </row>
    <row r="587" spans="1:8" ht="24.75" customHeight="1">
      <c r="A587" s="44" t="s">
        <v>2773</v>
      </c>
      <c r="B587" s="45" t="s">
        <v>5770</v>
      </c>
      <c r="C587" s="45" t="s">
        <v>6693</v>
      </c>
      <c r="D587" s="45" t="s">
        <v>6703</v>
      </c>
      <c r="E587" s="44" t="s">
        <v>6839</v>
      </c>
      <c r="F587" s="37">
        <v>1</v>
      </c>
      <c r="G587" s="37" t="s">
        <v>6864</v>
      </c>
      <c r="H587" s="63">
        <v>12555.4</v>
      </c>
    </row>
    <row r="588" spans="1:8" ht="24.75" customHeight="1">
      <c r="A588" s="44" t="s">
        <v>2772</v>
      </c>
      <c r="B588" s="45" t="s">
        <v>5769</v>
      </c>
      <c r="C588" s="45" t="s">
        <v>6693</v>
      </c>
      <c r="D588" s="45" t="s">
        <v>6703</v>
      </c>
      <c r="E588" s="44" t="s">
        <v>6839</v>
      </c>
      <c r="F588" s="37">
        <v>1</v>
      </c>
      <c r="G588" s="37" t="s">
        <v>6864</v>
      </c>
      <c r="H588" s="63">
        <v>12555.4</v>
      </c>
    </row>
    <row r="589" spans="1:8" ht="24.75" customHeight="1">
      <c r="A589" s="44" t="s">
        <v>2771</v>
      </c>
      <c r="B589" s="45" t="s">
        <v>5768</v>
      </c>
      <c r="C589" s="45" t="s">
        <v>6693</v>
      </c>
      <c r="D589" s="45" t="s">
        <v>6703</v>
      </c>
      <c r="E589" s="44" t="s">
        <v>6839</v>
      </c>
      <c r="F589" s="37">
        <v>1</v>
      </c>
      <c r="G589" s="37" t="s">
        <v>6864</v>
      </c>
      <c r="H589" s="63">
        <v>4962.1000000000004</v>
      </c>
    </row>
    <row r="590" spans="1:8" ht="24.75" customHeight="1">
      <c r="A590" s="44" t="s">
        <v>2770</v>
      </c>
      <c r="B590" s="45" t="s">
        <v>5767</v>
      </c>
      <c r="C590" s="45" t="s">
        <v>6693</v>
      </c>
      <c r="D590" s="45" t="s">
        <v>6703</v>
      </c>
      <c r="E590" s="44" t="s">
        <v>6839</v>
      </c>
      <c r="F590" s="37">
        <v>1</v>
      </c>
      <c r="G590" s="37" t="s">
        <v>6864</v>
      </c>
      <c r="H590" s="63">
        <v>4962.1000000000004</v>
      </c>
    </row>
    <row r="591" spans="1:8" ht="24.75" customHeight="1">
      <c r="A591" s="44" t="s">
        <v>2614</v>
      </c>
      <c r="B591" s="45" t="s">
        <v>5244</v>
      </c>
      <c r="C591" s="45" t="s">
        <v>6693</v>
      </c>
      <c r="D591" s="45" t="s">
        <v>6703</v>
      </c>
      <c r="E591" s="44"/>
      <c r="F591" s="37">
        <v>1</v>
      </c>
      <c r="G591" s="37" t="s">
        <v>6864</v>
      </c>
      <c r="H591" s="63">
        <v>12183.6</v>
      </c>
    </row>
    <row r="592" spans="1:8" ht="24.75" customHeight="1">
      <c r="A592" s="44" t="s">
        <v>425</v>
      </c>
      <c r="B592" s="45" t="s">
        <v>5637</v>
      </c>
      <c r="C592" s="45" t="s">
        <v>6693</v>
      </c>
      <c r="D592" s="45" t="s">
        <v>6703</v>
      </c>
      <c r="E592" s="44" t="s">
        <v>6839</v>
      </c>
      <c r="F592" s="37">
        <v>1</v>
      </c>
      <c r="G592" s="37" t="s">
        <v>6864</v>
      </c>
      <c r="H592" s="63">
        <v>4232.8</v>
      </c>
    </row>
    <row r="593" spans="1:8" ht="24.75" customHeight="1">
      <c r="A593" s="44" t="s">
        <v>1000</v>
      </c>
      <c r="B593" s="45" t="s">
        <v>4452</v>
      </c>
      <c r="C593" s="45" t="s">
        <v>6693</v>
      </c>
      <c r="D593" s="45" t="s">
        <v>6703</v>
      </c>
      <c r="E593" s="44"/>
      <c r="F593" s="37">
        <v>1</v>
      </c>
      <c r="G593" s="37" t="s">
        <v>6864</v>
      </c>
      <c r="H593" s="63">
        <v>7750.6</v>
      </c>
    </row>
    <row r="594" spans="1:8" ht="24.75" customHeight="1">
      <c r="A594" s="44" t="s">
        <v>197</v>
      </c>
      <c r="B594" s="45" t="s">
        <v>5636</v>
      </c>
      <c r="C594" s="45" t="s">
        <v>6693</v>
      </c>
      <c r="D594" s="45" t="s">
        <v>6703</v>
      </c>
      <c r="E594" s="44" t="s">
        <v>6839</v>
      </c>
      <c r="F594" s="37">
        <v>1</v>
      </c>
      <c r="G594" s="37" t="s">
        <v>6864</v>
      </c>
      <c r="H594" s="63">
        <v>4232.8</v>
      </c>
    </row>
    <row r="595" spans="1:8" ht="24.75" customHeight="1">
      <c r="A595" s="44" t="s">
        <v>1001</v>
      </c>
      <c r="B595" s="45" t="s">
        <v>4453</v>
      </c>
      <c r="C595" s="45" t="s">
        <v>6693</v>
      </c>
      <c r="D595" s="45" t="s">
        <v>6703</v>
      </c>
      <c r="E595" s="44"/>
      <c r="F595" s="37">
        <v>1</v>
      </c>
      <c r="G595" s="37" t="s">
        <v>6864</v>
      </c>
      <c r="H595" s="63">
        <v>7750.6</v>
      </c>
    </row>
    <row r="596" spans="1:8" ht="24.75" customHeight="1">
      <c r="A596" s="44" t="s">
        <v>296</v>
      </c>
      <c r="B596" s="45" t="s">
        <v>5639</v>
      </c>
      <c r="C596" s="45" t="s">
        <v>6693</v>
      </c>
      <c r="D596" s="45" t="s">
        <v>6703</v>
      </c>
      <c r="E596" s="44" t="s">
        <v>6839</v>
      </c>
      <c r="F596" s="37">
        <v>1</v>
      </c>
      <c r="G596" s="37" t="s">
        <v>6864</v>
      </c>
      <c r="H596" s="63">
        <v>4232.8</v>
      </c>
    </row>
    <row r="597" spans="1:8" ht="24.75" customHeight="1">
      <c r="A597" s="44" t="s">
        <v>516</v>
      </c>
      <c r="B597" s="45" t="s">
        <v>4454</v>
      </c>
      <c r="C597" s="45" t="s">
        <v>6693</v>
      </c>
      <c r="D597" s="45" t="s">
        <v>6703</v>
      </c>
      <c r="E597" s="44"/>
      <c r="F597" s="37">
        <v>1</v>
      </c>
      <c r="G597" s="37" t="s">
        <v>6864</v>
      </c>
      <c r="H597" s="63">
        <v>7750.6</v>
      </c>
    </row>
    <row r="598" spans="1:8" ht="24.75" customHeight="1">
      <c r="A598" s="44" t="s">
        <v>426</v>
      </c>
      <c r="B598" s="45" t="s">
        <v>5638</v>
      </c>
      <c r="C598" s="45" t="s">
        <v>6693</v>
      </c>
      <c r="D598" s="45" t="s">
        <v>6703</v>
      </c>
      <c r="E598" s="44"/>
      <c r="F598" s="37">
        <v>1</v>
      </c>
      <c r="G598" s="37" t="s">
        <v>6864</v>
      </c>
      <c r="H598" s="63">
        <v>4232.8</v>
      </c>
    </row>
    <row r="599" spans="1:8" ht="24.75" customHeight="1">
      <c r="A599" s="44" t="s">
        <v>523</v>
      </c>
      <c r="B599" s="45" t="s">
        <v>4461</v>
      </c>
      <c r="C599" s="45" t="s">
        <v>6693</v>
      </c>
      <c r="D599" s="45" t="s">
        <v>6703</v>
      </c>
      <c r="E599" s="44"/>
      <c r="F599" s="37">
        <v>1</v>
      </c>
      <c r="G599" s="37" t="s">
        <v>6864</v>
      </c>
      <c r="H599" s="63">
        <v>7750.6</v>
      </c>
    </row>
    <row r="600" spans="1:8" ht="24.75" customHeight="1">
      <c r="A600" s="44" t="s">
        <v>598</v>
      </c>
      <c r="B600" s="45" t="s">
        <v>5646</v>
      </c>
      <c r="C600" s="45" t="s">
        <v>6693</v>
      </c>
      <c r="D600" s="45" t="s">
        <v>6703</v>
      </c>
      <c r="E600" s="44" t="s">
        <v>6839</v>
      </c>
      <c r="F600" s="37">
        <v>1</v>
      </c>
      <c r="G600" s="37" t="s">
        <v>6864</v>
      </c>
      <c r="H600" s="63">
        <v>4218.5</v>
      </c>
    </row>
    <row r="601" spans="1:8" ht="24.75" customHeight="1">
      <c r="A601" s="44" t="s">
        <v>524</v>
      </c>
      <c r="B601" s="45" t="s">
        <v>4462</v>
      </c>
      <c r="C601" s="45" t="s">
        <v>6693</v>
      </c>
      <c r="D601" s="45" t="s">
        <v>6703</v>
      </c>
      <c r="E601" s="44"/>
      <c r="F601" s="37">
        <v>1</v>
      </c>
      <c r="G601" s="37" t="s">
        <v>6864</v>
      </c>
      <c r="H601" s="63">
        <v>7750.6</v>
      </c>
    </row>
    <row r="602" spans="1:8" ht="24.75" customHeight="1">
      <c r="A602" s="44" t="s">
        <v>600</v>
      </c>
      <c r="B602" s="45" t="s">
        <v>5647</v>
      </c>
      <c r="C602" s="45" t="s">
        <v>6693</v>
      </c>
      <c r="D602" s="45" t="s">
        <v>6703</v>
      </c>
      <c r="E602" s="44" t="s">
        <v>6839</v>
      </c>
      <c r="F602" s="37">
        <v>1</v>
      </c>
      <c r="G602" s="37" t="s">
        <v>6864</v>
      </c>
      <c r="H602" s="63">
        <v>4218.5</v>
      </c>
    </row>
    <row r="603" spans="1:8" ht="24.75" customHeight="1">
      <c r="A603" s="44" t="s">
        <v>2052</v>
      </c>
      <c r="B603" s="45" t="s">
        <v>5291</v>
      </c>
      <c r="C603" s="45" t="s">
        <v>6693</v>
      </c>
      <c r="D603" s="45" t="s">
        <v>6703</v>
      </c>
      <c r="E603" s="44"/>
      <c r="F603" s="37">
        <v>1</v>
      </c>
      <c r="G603" s="37" t="s">
        <v>6864</v>
      </c>
      <c r="H603" s="63">
        <v>10524.8</v>
      </c>
    </row>
    <row r="604" spans="1:8" ht="24.75" customHeight="1">
      <c r="A604" s="44" t="s">
        <v>1193</v>
      </c>
      <c r="B604" s="45" t="s">
        <v>6060</v>
      </c>
      <c r="C604" s="45" t="s">
        <v>6693</v>
      </c>
      <c r="D604" s="45" t="s">
        <v>6703</v>
      </c>
      <c r="E604" s="44"/>
      <c r="F604" s="37">
        <v>1</v>
      </c>
      <c r="G604" s="37" t="s">
        <v>6864</v>
      </c>
      <c r="H604" s="63">
        <v>2416.6999999999998</v>
      </c>
    </row>
    <row r="605" spans="1:8" ht="24.75" customHeight="1">
      <c r="A605" s="44" t="s">
        <v>1122</v>
      </c>
      <c r="B605" s="45" t="s">
        <v>5682</v>
      </c>
      <c r="C605" s="45" t="s">
        <v>6693</v>
      </c>
      <c r="D605" s="45" t="s">
        <v>6703</v>
      </c>
      <c r="E605" s="44" t="s">
        <v>6839</v>
      </c>
      <c r="F605" s="37">
        <v>1</v>
      </c>
      <c r="G605" s="37" t="s">
        <v>6864</v>
      </c>
      <c r="H605" s="63">
        <v>10253.1</v>
      </c>
    </row>
    <row r="606" spans="1:8" ht="24.75" customHeight="1">
      <c r="A606" s="44" t="s">
        <v>3104</v>
      </c>
      <c r="B606" s="45" t="s">
        <v>5409</v>
      </c>
      <c r="C606" s="45" t="s">
        <v>6693</v>
      </c>
      <c r="D606" s="45" t="s">
        <v>6703</v>
      </c>
      <c r="E606" s="44"/>
      <c r="F606" s="37">
        <v>1</v>
      </c>
      <c r="G606" s="37" t="s">
        <v>6865</v>
      </c>
      <c r="H606" s="63">
        <v>21750.3</v>
      </c>
    </row>
    <row r="607" spans="1:8" ht="24.75" customHeight="1">
      <c r="A607" s="44" t="s">
        <v>2393</v>
      </c>
      <c r="B607" s="45" t="s">
        <v>4415</v>
      </c>
      <c r="C607" s="45" t="s">
        <v>6693</v>
      </c>
      <c r="D607" s="45" t="s">
        <v>6703</v>
      </c>
      <c r="E607" s="44"/>
      <c r="F607" s="37">
        <v>1</v>
      </c>
      <c r="G607" s="37" t="s">
        <v>6864</v>
      </c>
      <c r="H607" s="63">
        <v>10296</v>
      </c>
    </row>
    <row r="608" spans="1:8" ht="24.75" customHeight="1">
      <c r="A608" s="44" t="s">
        <v>2051</v>
      </c>
      <c r="B608" s="45" t="s">
        <v>5290</v>
      </c>
      <c r="C608" s="45" t="s">
        <v>6693</v>
      </c>
      <c r="D608" s="45" t="s">
        <v>6703</v>
      </c>
      <c r="E608" s="44"/>
      <c r="F608" s="37">
        <v>1</v>
      </c>
      <c r="G608" s="37" t="s">
        <v>6864</v>
      </c>
      <c r="H608" s="63">
        <v>15472.6</v>
      </c>
    </row>
    <row r="609" spans="1:8" ht="24.75" customHeight="1">
      <c r="A609" s="44" t="s">
        <v>2395</v>
      </c>
      <c r="B609" s="45" t="s">
        <v>4416</v>
      </c>
      <c r="C609" s="45" t="s">
        <v>6693</v>
      </c>
      <c r="D609" s="45" t="s">
        <v>6703</v>
      </c>
      <c r="E609" s="44"/>
      <c r="F609" s="37">
        <v>1</v>
      </c>
      <c r="G609" s="37" t="s">
        <v>6864</v>
      </c>
      <c r="H609" s="63">
        <v>10296</v>
      </c>
    </row>
    <row r="610" spans="1:8" ht="24.75" customHeight="1">
      <c r="A610" s="44" t="s">
        <v>2396</v>
      </c>
      <c r="B610" s="45" t="s">
        <v>4417</v>
      </c>
      <c r="C610" s="45" t="s">
        <v>6693</v>
      </c>
      <c r="D610" s="45" t="s">
        <v>6703</v>
      </c>
      <c r="E610" s="44"/>
      <c r="F610" s="37">
        <v>1</v>
      </c>
      <c r="G610" s="37" t="s">
        <v>6864</v>
      </c>
      <c r="H610" s="63">
        <v>10296</v>
      </c>
    </row>
    <row r="611" spans="1:8" ht="24.75" customHeight="1">
      <c r="A611" s="44" t="s">
        <v>2193</v>
      </c>
      <c r="B611" s="45" t="s">
        <v>5872</v>
      </c>
      <c r="C611" s="45" t="s">
        <v>6693</v>
      </c>
      <c r="D611" s="45" t="s">
        <v>6703</v>
      </c>
      <c r="E611" s="44"/>
      <c r="F611" s="37">
        <v>1</v>
      </c>
      <c r="G611" s="37" t="s">
        <v>6864</v>
      </c>
      <c r="H611" s="63">
        <v>14943.5</v>
      </c>
    </row>
    <row r="612" spans="1:8" ht="24.75" customHeight="1">
      <c r="A612" s="44" t="s">
        <v>66</v>
      </c>
      <c r="B612" s="45" t="s">
        <v>5709</v>
      </c>
      <c r="C612" s="45" t="s">
        <v>6693</v>
      </c>
      <c r="D612" s="45" t="s">
        <v>6703</v>
      </c>
      <c r="E612" s="44" t="s">
        <v>6839</v>
      </c>
      <c r="F612" s="37">
        <v>1</v>
      </c>
      <c r="G612" s="37" t="s">
        <v>6864</v>
      </c>
      <c r="H612" s="63">
        <v>10253.1</v>
      </c>
    </row>
    <row r="613" spans="1:8" ht="24.75" customHeight="1">
      <c r="A613" s="44" t="s">
        <v>3105</v>
      </c>
      <c r="B613" s="45" t="s">
        <v>5410</v>
      </c>
      <c r="C613" s="45" t="s">
        <v>6693</v>
      </c>
      <c r="D613" s="45" t="s">
        <v>6703</v>
      </c>
      <c r="E613" s="44"/>
      <c r="F613" s="37">
        <v>1</v>
      </c>
      <c r="G613" s="37" t="s">
        <v>6865</v>
      </c>
      <c r="H613" s="63">
        <v>21750.3</v>
      </c>
    </row>
    <row r="614" spans="1:8" ht="24.75" customHeight="1">
      <c r="A614" s="44" t="s">
        <v>67</v>
      </c>
      <c r="B614" s="45" t="s">
        <v>5710</v>
      </c>
      <c r="C614" s="45" t="s">
        <v>6693</v>
      </c>
      <c r="D614" s="45" t="s">
        <v>6703</v>
      </c>
      <c r="E614" s="44" t="s">
        <v>6839</v>
      </c>
      <c r="F614" s="37">
        <v>1</v>
      </c>
      <c r="G614" s="37" t="s">
        <v>6864</v>
      </c>
      <c r="H614" s="63">
        <v>10253.1</v>
      </c>
    </row>
    <row r="615" spans="1:8" ht="24.75" customHeight="1">
      <c r="A615" s="44" t="s">
        <v>68</v>
      </c>
      <c r="B615" s="45" t="s">
        <v>5711</v>
      </c>
      <c r="C615" s="45" t="s">
        <v>6693</v>
      </c>
      <c r="D615" s="45" t="s">
        <v>6703</v>
      </c>
      <c r="E615" s="44" t="s">
        <v>6839</v>
      </c>
      <c r="F615" s="37">
        <v>1</v>
      </c>
      <c r="G615" s="37" t="s">
        <v>6864</v>
      </c>
      <c r="H615" s="63">
        <v>10253.1</v>
      </c>
    </row>
    <row r="616" spans="1:8" ht="24.75" customHeight="1">
      <c r="A616" s="44" t="s">
        <v>3106</v>
      </c>
      <c r="B616" s="45" t="s">
        <v>5411</v>
      </c>
      <c r="C616" s="45" t="s">
        <v>6693</v>
      </c>
      <c r="D616" s="45" t="s">
        <v>6703</v>
      </c>
      <c r="E616" s="44"/>
      <c r="F616" s="37">
        <v>1</v>
      </c>
      <c r="G616" s="37" t="s">
        <v>6865</v>
      </c>
      <c r="H616" s="63">
        <v>21750.3</v>
      </c>
    </row>
    <row r="617" spans="1:8" ht="24.75" customHeight="1">
      <c r="A617" s="44" t="s">
        <v>2191</v>
      </c>
      <c r="B617" s="45" t="s">
        <v>5874</v>
      </c>
      <c r="C617" s="45" t="s">
        <v>6693</v>
      </c>
      <c r="D617" s="45" t="s">
        <v>6703</v>
      </c>
      <c r="E617" s="44"/>
      <c r="F617" s="37">
        <v>1</v>
      </c>
      <c r="G617" s="37" t="s">
        <v>6864</v>
      </c>
      <c r="H617" s="63">
        <v>7478.9</v>
      </c>
    </row>
    <row r="618" spans="1:8" ht="24.75" customHeight="1">
      <c r="A618" s="44" t="s">
        <v>1195</v>
      </c>
      <c r="B618" s="45" t="s">
        <v>6062</v>
      </c>
      <c r="C618" s="45" t="s">
        <v>6693</v>
      </c>
      <c r="D618" s="45" t="s">
        <v>6703</v>
      </c>
      <c r="E618" s="44" t="s">
        <v>6839</v>
      </c>
      <c r="F618" s="37">
        <v>1</v>
      </c>
      <c r="G618" s="37" t="s">
        <v>6864</v>
      </c>
      <c r="H618" s="63">
        <v>2445.3000000000002</v>
      </c>
    </row>
    <row r="619" spans="1:8" ht="24.75" customHeight="1">
      <c r="A619" s="44" t="s">
        <v>2192</v>
      </c>
      <c r="B619" s="45" t="s">
        <v>5875</v>
      </c>
      <c r="C619" s="45" t="s">
        <v>6693</v>
      </c>
      <c r="D619" s="45" t="s">
        <v>6703</v>
      </c>
      <c r="E619" s="44"/>
      <c r="F619" s="37">
        <v>1</v>
      </c>
      <c r="G619" s="37" t="s">
        <v>6864</v>
      </c>
      <c r="H619" s="63">
        <v>7478.9</v>
      </c>
    </row>
    <row r="620" spans="1:8" ht="24.75" customHeight="1">
      <c r="A620" s="44" t="s">
        <v>1194</v>
      </c>
      <c r="B620" s="45" t="s">
        <v>6061</v>
      </c>
      <c r="C620" s="45" t="s">
        <v>6693</v>
      </c>
      <c r="D620" s="45" t="s">
        <v>6703</v>
      </c>
      <c r="E620" s="44" t="s">
        <v>6839</v>
      </c>
      <c r="F620" s="37">
        <v>1</v>
      </c>
      <c r="G620" s="37" t="s">
        <v>6864</v>
      </c>
      <c r="H620" s="63">
        <v>2445.3000000000002</v>
      </c>
    </row>
    <row r="621" spans="1:8" ht="24.75" customHeight="1">
      <c r="A621" s="44" t="s">
        <v>3158</v>
      </c>
      <c r="B621" s="45" t="s">
        <v>5629</v>
      </c>
      <c r="C621" s="45" t="s">
        <v>6693</v>
      </c>
      <c r="D621" s="45" t="s">
        <v>6703</v>
      </c>
      <c r="E621" s="44" t="s">
        <v>6839</v>
      </c>
      <c r="F621" s="37">
        <v>1</v>
      </c>
      <c r="G621" s="37" t="s">
        <v>6864</v>
      </c>
      <c r="H621" s="63">
        <v>12112.1</v>
      </c>
    </row>
    <row r="622" spans="1:8" ht="24.75" customHeight="1">
      <c r="A622" s="44" t="s">
        <v>3157</v>
      </c>
      <c r="B622" s="45" t="s">
        <v>5623</v>
      </c>
      <c r="C622" s="45" t="s">
        <v>6693</v>
      </c>
      <c r="D622" s="45" t="s">
        <v>6703</v>
      </c>
      <c r="E622" s="44" t="s">
        <v>6839</v>
      </c>
      <c r="F622" s="37">
        <v>1</v>
      </c>
      <c r="G622" s="37" t="s">
        <v>6864</v>
      </c>
      <c r="H622" s="63">
        <v>12112.1</v>
      </c>
    </row>
    <row r="623" spans="1:8" ht="24.75" customHeight="1">
      <c r="A623" s="44" t="s">
        <v>2767</v>
      </c>
      <c r="B623" s="45" t="s">
        <v>5855</v>
      </c>
      <c r="C623" s="45" t="s">
        <v>6693</v>
      </c>
      <c r="D623" s="45" t="s">
        <v>6703</v>
      </c>
      <c r="E623" s="44" t="s">
        <v>6839</v>
      </c>
      <c r="F623" s="37">
        <v>1</v>
      </c>
      <c r="G623" s="37" t="s">
        <v>6864</v>
      </c>
      <c r="H623" s="63">
        <v>16187.6</v>
      </c>
    </row>
    <row r="624" spans="1:8" ht="24.75" customHeight="1">
      <c r="A624" s="44" t="s">
        <v>2768</v>
      </c>
      <c r="B624" s="45" t="s">
        <v>5856</v>
      </c>
      <c r="C624" s="45" t="s">
        <v>6693</v>
      </c>
      <c r="D624" s="45" t="s">
        <v>6703</v>
      </c>
      <c r="E624" s="44" t="s">
        <v>6839</v>
      </c>
      <c r="F624" s="37">
        <v>1</v>
      </c>
      <c r="G624" s="37" t="s">
        <v>6864</v>
      </c>
      <c r="H624" s="63">
        <v>16187.6</v>
      </c>
    </row>
    <row r="625" spans="1:8" ht="24.75" customHeight="1">
      <c r="A625" s="44" t="s">
        <v>2769</v>
      </c>
      <c r="B625" s="45" t="s">
        <v>5857</v>
      </c>
      <c r="C625" s="45" t="s">
        <v>6693</v>
      </c>
      <c r="D625" s="45" t="s">
        <v>6703</v>
      </c>
      <c r="E625" s="44" t="s">
        <v>6839</v>
      </c>
      <c r="F625" s="37">
        <v>1</v>
      </c>
      <c r="G625" s="37" t="s">
        <v>6864</v>
      </c>
      <c r="H625" s="63">
        <v>16187.6</v>
      </c>
    </row>
    <row r="626" spans="1:8" ht="24.75" customHeight="1">
      <c r="A626" s="44" t="s">
        <v>2764</v>
      </c>
      <c r="B626" s="45" t="s">
        <v>5766</v>
      </c>
      <c r="C626" s="45" t="s">
        <v>6693</v>
      </c>
      <c r="D626" s="45" t="s">
        <v>6703</v>
      </c>
      <c r="E626" s="44" t="s">
        <v>6839</v>
      </c>
      <c r="F626" s="37">
        <v>1</v>
      </c>
      <c r="G626" s="37" t="s">
        <v>6864</v>
      </c>
      <c r="H626" s="63">
        <v>4132.7</v>
      </c>
    </row>
    <row r="627" spans="1:8" ht="24.75" customHeight="1">
      <c r="A627" s="44" t="s">
        <v>885</v>
      </c>
      <c r="B627" s="45" t="s">
        <v>5628</v>
      </c>
      <c r="C627" s="45" t="s">
        <v>6693</v>
      </c>
      <c r="D627" s="45" t="s">
        <v>6703</v>
      </c>
      <c r="E627" s="44" t="s">
        <v>6839</v>
      </c>
      <c r="F627" s="37">
        <v>1</v>
      </c>
      <c r="G627" s="37" t="s">
        <v>6864</v>
      </c>
      <c r="H627" s="63">
        <v>11625.9</v>
      </c>
    </row>
    <row r="628" spans="1:8" ht="24.75" customHeight="1">
      <c r="A628" s="44" t="s">
        <v>888</v>
      </c>
      <c r="B628" s="45" t="s">
        <v>5631</v>
      </c>
      <c r="C628" s="45" t="s">
        <v>6693</v>
      </c>
      <c r="D628" s="45" t="s">
        <v>6703</v>
      </c>
      <c r="E628" s="44" t="s">
        <v>6839</v>
      </c>
      <c r="F628" s="37">
        <v>1</v>
      </c>
      <c r="G628" s="37" t="s">
        <v>6864</v>
      </c>
      <c r="H628" s="63">
        <v>11625.9</v>
      </c>
    </row>
    <row r="629" spans="1:8" ht="24.75" customHeight="1">
      <c r="A629" s="44" t="s">
        <v>887</v>
      </c>
      <c r="B629" s="45" t="s">
        <v>5630</v>
      </c>
      <c r="C629" s="45" t="s">
        <v>6693</v>
      </c>
      <c r="D629" s="45" t="s">
        <v>6703</v>
      </c>
      <c r="E629" s="44" t="s">
        <v>6839</v>
      </c>
      <c r="F629" s="37">
        <v>1</v>
      </c>
      <c r="G629" s="37" t="s">
        <v>6864</v>
      </c>
      <c r="H629" s="63">
        <v>11625.9</v>
      </c>
    </row>
    <row r="630" spans="1:8" ht="24.75" customHeight="1">
      <c r="A630" s="44" t="s">
        <v>2765</v>
      </c>
      <c r="B630" s="45" t="s">
        <v>5852</v>
      </c>
      <c r="C630" s="45" t="s">
        <v>6693</v>
      </c>
      <c r="D630" s="45" t="s">
        <v>6703</v>
      </c>
      <c r="E630" s="44" t="s">
        <v>6839</v>
      </c>
      <c r="F630" s="37">
        <v>1</v>
      </c>
      <c r="G630" s="37" t="s">
        <v>6864</v>
      </c>
      <c r="H630" s="63">
        <v>16187.6</v>
      </c>
    </row>
    <row r="631" spans="1:8" ht="24.75" customHeight="1">
      <c r="A631" s="44" t="s">
        <v>2971</v>
      </c>
      <c r="B631" s="45" t="s">
        <v>5853</v>
      </c>
      <c r="C631" s="45" t="s">
        <v>6693</v>
      </c>
      <c r="D631" s="45" t="s">
        <v>6703</v>
      </c>
      <c r="E631" s="44" t="s">
        <v>6839</v>
      </c>
      <c r="F631" s="37">
        <v>1</v>
      </c>
      <c r="G631" s="37" t="s">
        <v>6864</v>
      </c>
      <c r="H631" s="63">
        <v>16187.6</v>
      </c>
    </row>
    <row r="632" spans="1:8" ht="24.75" customHeight="1">
      <c r="A632" s="44" t="s">
        <v>2766</v>
      </c>
      <c r="B632" s="45" t="s">
        <v>5854</v>
      </c>
      <c r="C632" s="45" t="s">
        <v>6693</v>
      </c>
      <c r="D632" s="45" t="s">
        <v>6703</v>
      </c>
      <c r="E632" s="44" t="s">
        <v>6839</v>
      </c>
      <c r="F632" s="37">
        <v>1</v>
      </c>
      <c r="G632" s="37" t="s">
        <v>6864</v>
      </c>
      <c r="H632" s="63">
        <v>16187.6</v>
      </c>
    </row>
    <row r="633" spans="1:8" ht="24.75" customHeight="1">
      <c r="A633" s="44" t="s">
        <v>2763</v>
      </c>
      <c r="B633" s="45" t="s">
        <v>5765</v>
      </c>
      <c r="C633" s="45" t="s">
        <v>6693</v>
      </c>
      <c r="D633" s="45" t="s">
        <v>6703</v>
      </c>
      <c r="E633" s="44" t="s">
        <v>6839</v>
      </c>
      <c r="F633" s="37">
        <v>1</v>
      </c>
      <c r="G633" s="37" t="s">
        <v>6864</v>
      </c>
      <c r="H633" s="63">
        <v>4132.7</v>
      </c>
    </row>
    <row r="634" spans="1:8" ht="24.75" customHeight="1">
      <c r="A634" s="44" t="s">
        <v>1330</v>
      </c>
      <c r="B634" s="45" t="s">
        <v>5622</v>
      </c>
      <c r="C634" s="45" t="s">
        <v>6693</v>
      </c>
      <c r="D634" s="45" t="s">
        <v>6703</v>
      </c>
      <c r="E634" s="44" t="s">
        <v>6839</v>
      </c>
      <c r="F634" s="37">
        <v>1</v>
      </c>
      <c r="G634" s="37" t="s">
        <v>6864</v>
      </c>
      <c r="H634" s="63">
        <v>11625.9</v>
      </c>
    </row>
    <row r="635" spans="1:8" ht="24.75" customHeight="1">
      <c r="A635" s="44" t="s">
        <v>1333</v>
      </c>
      <c r="B635" s="45" t="s">
        <v>5625</v>
      </c>
      <c r="C635" s="45" t="s">
        <v>6693</v>
      </c>
      <c r="D635" s="45" t="s">
        <v>6703</v>
      </c>
      <c r="E635" s="44" t="s">
        <v>6839</v>
      </c>
      <c r="F635" s="37">
        <v>1</v>
      </c>
      <c r="G635" s="37" t="s">
        <v>6864</v>
      </c>
      <c r="H635" s="63">
        <v>11625.9</v>
      </c>
    </row>
    <row r="636" spans="1:8" ht="24.75" customHeight="1">
      <c r="A636" s="44" t="s">
        <v>1332</v>
      </c>
      <c r="B636" s="45" t="s">
        <v>5624</v>
      </c>
      <c r="C636" s="45" t="s">
        <v>6693</v>
      </c>
      <c r="D636" s="45" t="s">
        <v>6703</v>
      </c>
      <c r="E636" s="44" t="s">
        <v>6839</v>
      </c>
      <c r="F636" s="37">
        <v>1</v>
      </c>
      <c r="G636" s="37" t="s">
        <v>6864</v>
      </c>
      <c r="H636" s="63">
        <v>11625.9</v>
      </c>
    </row>
    <row r="637" spans="1:8" ht="24.75" customHeight="1">
      <c r="A637" s="44" t="s">
        <v>441</v>
      </c>
      <c r="B637" s="45" t="s">
        <v>4440</v>
      </c>
      <c r="C637" s="45" t="s">
        <v>6693</v>
      </c>
      <c r="D637" s="45" t="s">
        <v>6703</v>
      </c>
      <c r="E637" s="44"/>
      <c r="F637" s="37">
        <v>1</v>
      </c>
      <c r="G637" s="37" t="s">
        <v>6864</v>
      </c>
      <c r="H637" s="63">
        <v>5863</v>
      </c>
    </row>
    <row r="638" spans="1:8" ht="24.75" customHeight="1">
      <c r="A638" s="44" t="s">
        <v>439</v>
      </c>
      <c r="B638" s="45" t="s">
        <v>4438</v>
      </c>
      <c r="C638" s="45" t="s">
        <v>6693</v>
      </c>
      <c r="D638" s="45" t="s">
        <v>6703</v>
      </c>
      <c r="E638" s="44"/>
      <c r="F638" s="37">
        <v>1</v>
      </c>
      <c r="G638" s="37" t="s">
        <v>6864</v>
      </c>
      <c r="H638" s="63">
        <v>5448.3</v>
      </c>
    </row>
    <row r="639" spans="1:8" ht="24.75" customHeight="1">
      <c r="A639" s="44" t="s">
        <v>2754</v>
      </c>
      <c r="B639" s="45" t="s">
        <v>5762</v>
      </c>
      <c r="C639" s="45" t="s">
        <v>6693</v>
      </c>
      <c r="D639" s="45" t="s">
        <v>6703</v>
      </c>
      <c r="E639" s="44" t="s">
        <v>6839</v>
      </c>
      <c r="F639" s="37">
        <v>1</v>
      </c>
      <c r="G639" s="37" t="s">
        <v>6864</v>
      </c>
      <c r="H639" s="63">
        <v>8465.6</v>
      </c>
    </row>
    <row r="640" spans="1:8" ht="24.75" customHeight="1">
      <c r="A640" s="44" t="s">
        <v>440</v>
      </c>
      <c r="B640" s="45" t="s">
        <v>4439</v>
      </c>
      <c r="C640" s="45" t="s">
        <v>6693</v>
      </c>
      <c r="D640" s="45" t="s">
        <v>6703</v>
      </c>
      <c r="E640" s="44"/>
      <c r="F640" s="37">
        <v>1</v>
      </c>
      <c r="G640" s="37" t="s">
        <v>6864</v>
      </c>
      <c r="H640" s="63">
        <v>5863</v>
      </c>
    </row>
    <row r="641" spans="1:8" ht="24.75" customHeight="1">
      <c r="A641" s="44" t="s">
        <v>2659</v>
      </c>
      <c r="B641" s="45" t="s">
        <v>5342</v>
      </c>
      <c r="C641" s="45" t="s">
        <v>6693</v>
      </c>
      <c r="D641" s="45" t="s">
        <v>6703</v>
      </c>
      <c r="E641" s="44"/>
      <c r="F641" s="37">
        <v>1</v>
      </c>
      <c r="G641" s="37" t="s">
        <v>6864</v>
      </c>
      <c r="H641" s="63">
        <v>2574</v>
      </c>
    </row>
    <row r="642" spans="1:8" ht="24.75" customHeight="1">
      <c r="A642" s="44" t="s">
        <v>3090</v>
      </c>
      <c r="B642" s="45" t="s">
        <v>5367</v>
      </c>
      <c r="C642" s="45" t="s">
        <v>6693</v>
      </c>
      <c r="D642" s="45" t="s">
        <v>6703</v>
      </c>
      <c r="E642" s="44"/>
      <c r="F642" s="37">
        <v>1</v>
      </c>
      <c r="G642" s="37" t="s">
        <v>6864</v>
      </c>
      <c r="H642" s="63">
        <v>27827.8</v>
      </c>
    </row>
    <row r="643" spans="1:8" ht="24.75" customHeight="1">
      <c r="A643" s="44" t="s">
        <v>1323</v>
      </c>
      <c r="B643" s="45" t="s">
        <v>5615</v>
      </c>
      <c r="C643" s="45" t="s">
        <v>6693</v>
      </c>
      <c r="D643" s="45" t="s">
        <v>6703</v>
      </c>
      <c r="E643" s="44" t="s">
        <v>6839</v>
      </c>
      <c r="F643" s="37">
        <v>1</v>
      </c>
      <c r="G643" s="37" t="s">
        <v>6864</v>
      </c>
      <c r="H643" s="63">
        <v>8251.1</v>
      </c>
    </row>
    <row r="644" spans="1:8" ht="24.75" customHeight="1">
      <c r="A644" s="44" t="s">
        <v>519</v>
      </c>
      <c r="B644" s="45" t="s">
        <v>4457</v>
      </c>
      <c r="C644" s="45" t="s">
        <v>6693</v>
      </c>
      <c r="D644" s="45" t="s">
        <v>6703</v>
      </c>
      <c r="E644" s="44"/>
      <c r="F644" s="37">
        <v>1</v>
      </c>
      <c r="G644" s="37" t="s">
        <v>6864</v>
      </c>
      <c r="H644" s="63">
        <v>3346.2</v>
      </c>
    </row>
    <row r="645" spans="1:8" ht="24.75" customHeight="1">
      <c r="A645" s="44" t="s">
        <v>2775</v>
      </c>
      <c r="B645" s="45" t="s">
        <v>5772</v>
      </c>
      <c r="C645" s="45" t="s">
        <v>6693</v>
      </c>
      <c r="D645" s="45" t="s">
        <v>6703</v>
      </c>
      <c r="E645" s="44" t="s">
        <v>6839</v>
      </c>
      <c r="F645" s="37">
        <v>1</v>
      </c>
      <c r="G645" s="37" t="s">
        <v>6864</v>
      </c>
      <c r="H645" s="63">
        <v>4962.1000000000004</v>
      </c>
    </row>
    <row r="646" spans="1:8" ht="24.75" customHeight="1">
      <c r="A646" s="44" t="s">
        <v>2741</v>
      </c>
      <c r="B646" s="45" t="s">
        <v>5758</v>
      </c>
      <c r="C646" s="45" t="s">
        <v>6693</v>
      </c>
      <c r="D646" s="45" t="s">
        <v>6703</v>
      </c>
      <c r="E646" s="44" t="s">
        <v>6839</v>
      </c>
      <c r="F646" s="37">
        <v>1</v>
      </c>
      <c r="G646" s="37" t="s">
        <v>6864</v>
      </c>
      <c r="H646" s="63">
        <v>6392.1</v>
      </c>
    </row>
    <row r="647" spans="1:8" ht="24.75" customHeight="1">
      <c r="A647" s="44" t="s">
        <v>2774</v>
      </c>
      <c r="B647" s="45" t="s">
        <v>5771</v>
      </c>
      <c r="C647" s="45" t="s">
        <v>6693</v>
      </c>
      <c r="D647" s="45" t="s">
        <v>6703</v>
      </c>
      <c r="E647" s="44" t="s">
        <v>6839</v>
      </c>
      <c r="F647" s="37">
        <v>1</v>
      </c>
      <c r="G647" s="37" t="s">
        <v>6864</v>
      </c>
      <c r="H647" s="63">
        <v>4962.1000000000004</v>
      </c>
    </row>
    <row r="648" spans="1:8" ht="24.75" customHeight="1">
      <c r="A648" s="44" t="s">
        <v>517</v>
      </c>
      <c r="B648" s="45" t="s">
        <v>4455</v>
      </c>
      <c r="C648" s="45" t="s">
        <v>6693</v>
      </c>
      <c r="D648" s="45" t="s">
        <v>6703</v>
      </c>
      <c r="E648" s="44"/>
      <c r="F648" s="37">
        <v>1</v>
      </c>
      <c r="G648" s="37" t="s">
        <v>6864</v>
      </c>
      <c r="H648" s="63">
        <v>3346.2</v>
      </c>
    </row>
    <row r="649" spans="1:8" ht="24.75" customHeight="1">
      <c r="A649" s="44" t="s">
        <v>518</v>
      </c>
      <c r="B649" s="45" t="s">
        <v>4456</v>
      </c>
      <c r="C649" s="45" t="s">
        <v>6693</v>
      </c>
      <c r="D649" s="45" t="s">
        <v>6703</v>
      </c>
      <c r="E649" s="44"/>
      <c r="F649" s="37">
        <v>1</v>
      </c>
      <c r="G649" s="37" t="s">
        <v>6864</v>
      </c>
      <c r="H649" s="63">
        <v>3346.2</v>
      </c>
    </row>
    <row r="650" spans="1:8" ht="24.75" customHeight="1">
      <c r="A650" s="44" t="s">
        <v>2742</v>
      </c>
      <c r="B650" s="45" t="s">
        <v>5858</v>
      </c>
      <c r="C650" s="45" t="s">
        <v>6693</v>
      </c>
      <c r="D650" s="45" t="s">
        <v>6703</v>
      </c>
      <c r="E650" s="44" t="s">
        <v>6839</v>
      </c>
      <c r="F650" s="37">
        <v>1</v>
      </c>
      <c r="G650" s="37" t="s">
        <v>6864</v>
      </c>
      <c r="H650" s="63">
        <v>31588.7</v>
      </c>
    </row>
    <row r="651" spans="1:8" ht="24.75" customHeight="1">
      <c r="A651" s="44" t="s">
        <v>994</v>
      </c>
      <c r="B651" s="45" t="s">
        <v>4446</v>
      </c>
      <c r="C651" s="45" t="s">
        <v>6693</v>
      </c>
      <c r="D651" s="45" t="s">
        <v>6703</v>
      </c>
      <c r="E651" s="44"/>
      <c r="F651" s="37">
        <v>1</v>
      </c>
      <c r="G651" s="37" t="s">
        <v>6864</v>
      </c>
      <c r="H651" s="63">
        <v>20963.8</v>
      </c>
    </row>
    <row r="652" spans="1:8" ht="24.75" customHeight="1">
      <c r="A652" s="44" t="s">
        <v>1322</v>
      </c>
      <c r="B652" s="45" t="s">
        <v>5614</v>
      </c>
      <c r="C652" s="45" t="s">
        <v>6693</v>
      </c>
      <c r="D652" s="45" t="s">
        <v>6703</v>
      </c>
      <c r="E652" s="44" t="s">
        <v>6839</v>
      </c>
      <c r="F652" s="37">
        <v>1</v>
      </c>
      <c r="G652" s="37" t="s">
        <v>6864</v>
      </c>
      <c r="H652" s="63">
        <v>8251.1</v>
      </c>
    </row>
    <row r="653" spans="1:8" ht="24.75" customHeight="1">
      <c r="A653" s="44" t="s">
        <v>2743</v>
      </c>
      <c r="B653" s="45" t="s">
        <v>5859</v>
      </c>
      <c r="C653" s="45" t="s">
        <v>6693</v>
      </c>
      <c r="D653" s="45" t="s">
        <v>6703</v>
      </c>
      <c r="E653" s="44" t="s">
        <v>6839</v>
      </c>
      <c r="F653" s="37">
        <v>1</v>
      </c>
      <c r="G653" s="37" t="s">
        <v>6864</v>
      </c>
      <c r="H653" s="63">
        <v>31588.7</v>
      </c>
    </row>
    <row r="654" spans="1:8" ht="24.75" customHeight="1">
      <c r="A654" s="44" t="s">
        <v>2750</v>
      </c>
      <c r="B654" s="45" t="s">
        <v>5864</v>
      </c>
      <c r="C654" s="45" t="s">
        <v>6693</v>
      </c>
      <c r="D654" s="45" t="s">
        <v>6703</v>
      </c>
      <c r="E654" s="44" t="s">
        <v>6839</v>
      </c>
      <c r="F654" s="37">
        <v>1</v>
      </c>
      <c r="G654" s="37" t="s">
        <v>6864</v>
      </c>
      <c r="H654" s="63">
        <v>14671.8</v>
      </c>
    </row>
    <row r="655" spans="1:8" ht="24.75" customHeight="1">
      <c r="A655" s="44" t="s">
        <v>2751</v>
      </c>
      <c r="B655" s="45" t="s">
        <v>5865</v>
      </c>
      <c r="C655" s="45" t="s">
        <v>6693</v>
      </c>
      <c r="D655" s="45" t="s">
        <v>6703</v>
      </c>
      <c r="E655" s="44" t="s">
        <v>6839</v>
      </c>
      <c r="F655" s="37">
        <v>1</v>
      </c>
      <c r="G655" s="37" t="s">
        <v>6864</v>
      </c>
      <c r="H655" s="63">
        <v>14671.8</v>
      </c>
    </row>
    <row r="656" spans="1:8" ht="24.75" customHeight="1">
      <c r="A656" s="44" t="s">
        <v>2752</v>
      </c>
      <c r="B656" s="45" t="s">
        <v>5866</v>
      </c>
      <c r="C656" s="45" t="s">
        <v>6693</v>
      </c>
      <c r="D656" s="45" t="s">
        <v>6703</v>
      </c>
      <c r="E656" s="44" t="s">
        <v>6839</v>
      </c>
      <c r="F656" s="37">
        <v>1</v>
      </c>
      <c r="G656" s="37" t="s">
        <v>6864</v>
      </c>
      <c r="H656" s="63">
        <v>14671.8</v>
      </c>
    </row>
    <row r="657" spans="1:8" ht="24.75" customHeight="1">
      <c r="A657" s="44" t="s">
        <v>2753</v>
      </c>
      <c r="B657" s="45" t="s">
        <v>5761</v>
      </c>
      <c r="C657" s="45" t="s">
        <v>6693</v>
      </c>
      <c r="D657" s="45" t="s">
        <v>6703</v>
      </c>
      <c r="E657" s="44" t="s">
        <v>6839</v>
      </c>
      <c r="F657" s="37">
        <v>1</v>
      </c>
      <c r="G657" s="37" t="s">
        <v>6864</v>
      </c>
      <c r="H657" s="63">
        <v>13513.5</v>
      </c>
    </row>
    <row r="658" spans="1:8" ht="24.75" customHeight="1">
      <c r="A658" s="44" t="s">
        <v>435</v>
      </c>
      <c r="B658" s="45" t="s">
        <v>4435</v>
      </c>
      <c r="C658" s="45" t="s">
        <v>6693</v>
      </c>
      <c r="D658" s="45" t="s">
        <v>6703</v>
      </c>
      <c r="E658" s="44"/>
      <c r="F658" s="37">
        <v>1</v>
      </c>
      <c r="G658" s="37" t="s">
        <v>6864</v>
      </c>
      <c r="H658" s="63">
        <v>14929.2</v>
      </c>
    </row>
    <row r="659" spans="1:8" ht="24.75" customHeight="1">
      <c r="A659" s="44" t="s">
        <v>436</v>
      </c>
      <c r="B659" s="45" t="s">
        <v>4436</v>
      </c>
      <c r="C659" s="45" t="s">
        <v>6693</v>
      </c>
      <c r="D659" s="45" t="s">
        <v>6703</v>
      </c>
      <c r="E659" s="44"/>
      <c r="F659" s="37">
        <v>1</v>
      </c>
      <c r="G659" s="37" t="s">
        <v>6864</v>
      </c>
      <c r="H659" s="63">
        <v>14929.2</v>
      </c>
    </row>
    <row r="660" spans="1:8" ht="24.75" customHeight="1">
      <c r="A660" s="44" t="s">
        <v>437</v>
      </c>
      <c r="B660" s="45" t="s">
        <v>4437</v>
      </c>
      <c r="C660" s="45" t="s">
        <v>6693</v>
      </c>
      <c r="D660" s="45" t="s">
        <v>6703</v>
      </c>
      <c r="E660" s="44"/>
      <c r="F660" s="37">
        <v>1</v>
      </c>
      <c r="G660" s="37" t="s">
        <v>6864</v>
      </c>
      <c r="H660" s="63">
        <v>14929.2</v>
      </c>
    </row>
    <row r="661" spans="1:8" ht="24.75" customHeight="1">
      <c r="A661" s="44" t="s">
        <v>995</v>
      </c>
      <c r="B661" s="45" t="s">
        <v>4447</v>
      </c>
      <c r="C661" s="45" t="s">
        <v>6693</v>
      </c>
      <c r="D661" s="45" t="s">
        <v>6703</v>
      </c>
      <c r="E661" s="44"/>
      <c r="F661" s="37">
        <v>1</v>
      </c>
      <c r="G661" s="37" t="s">
        <v>6864</v>
      </c>
      <c r="H661" s="63">
        <v>20963.8</v>
      </c>
    </row>
    <row r="662" spans="1:8" ht="24.75" customHeight="1">
      <c r="A662" s="44" t="s">
        <v>1325</v>
      </c>
      <c r="B662" s="45" t="s">
        <v>5617</v>
      </c>
      <c r="C662" s="45" t="s">
        <v>6693</v>
      </c>
      <c r="D662" s="45" t="s">
        <v>6703</v>
      </c>
      <c r="E662" s="44" t="s">
        <v>6839</v>
      </c>
      <c r="F662" s="37">
        <v>1</v>
      </c>
      <c r="G662" s="37" t="s">
        <v>6864</v>
      </c>
      <c r="H662" s="63">
        <v>8251.1</v>
      </c>
    </row>
    <row r="663" spans="1:8" ht="24.75" customHeight="1">
      <c r="A663" s="44" t="s">
        <v>996</v>
      </c>
      <c r="B663" s="45" t="s">
        <v>4448</v>
      </c>
      <c r="C663" s="45" t="s">
        <v>6693</v>
      </c>
      <c r="D663" s="45" t="s">
        <v>6703</v>
      </c>
      <c r="E663" s="44"/>
      <c r="F663" s="37">
        <v>1</v>
      </c>
      <c r="G663" s="37" t="s">
        <v>6864</v>
      </c>
      <c r="H663" s="63">
        <v>20963.8</v>
      </c>
    </row>
    <row r="664" spans="1:8" ht="24.75" customHeight="1">
      <c r="A664" s="44" t="s">
        <v>1324</v>
      </c>
      <c r="B664" s="45" t="s">
        <v>5616</v>
      </c>
      <c r="C664" s="45" t="s">
        <v>6693</v>
      </c>
      <c r="D664" s="45" t="s">
        <v>6703</v>
      </c>
      <c r="E664" s="44" t="s">
        <v>6839</v>
      </c>
      <c r="F664" s="37">
        <v>1</v>
      </c>
      <c r="G664" s="37" t="s">
        <v>6864</v>
      </c>
      <c r="H664" s="63">
        <v>8251.1</v>
      </c>
    </row>
    <row r="665" spans="1:8" ht="24.75" customHeight="1">
      <c r="A665" s="44" t="s">
        <v>2744</v>
      </c>
      <c r="B665" s="45" t="s">
        <v>5860</v>
      </c>
      <c r="C665" s="45" t="s">
        <v>6693</v>
      </c>
      <c r="D665" s="45" t="s">
        <v>6703</v>
      </c>
      <c r="E665" s="44" t="s">
        <v>6839</v>
      </c>
      <c r="F665" s="37">
        <v>1</v>
      </c>
      <c r="G665" s="37" t="s">
        <v>6864</v>
      </c>
      <c r="H665" s="63">
        <v>31588.7</v>
      </c>
    </row>
    <row r="666" spans="1:8" ht="24.75" customHeight="1">
      <c r="A666" s="44" t="s">
        <v>2377</v>
      </c>
      <c r="B666" s="45" t="s">
        <v>4405</v>
      </c>
      <c r="C666" s="45" t="s">
        <v>6693</v>
      </c>
      <c r="D666" s="45" t="s">
        <v>6703</v>
      </c>
      <c r="E666" s="44"/>
      <c r="F666" s="37">
        <v>1</v>
      </c>
      <c r="G666" s="37" t="s">
        <v>6864</v>
      </c>
      <c r="H666" s="63">
        <v>17546.099999999999</v>
      </c>
    </row>
    <row r="667" spans="1:8" ht="24.75" customHeight="1">
      <c r="A667" s="44" t="s">
        <v>1576</v>
      </c>
      <c r="B667" s="45" t="s">
        <v>5443</v>
      </c>
      <c r="C667" s="45" t="s">
        <v>6693</v>
      </c>
      <c r="D667" s="45" t="s">
        <v>6703</v>
      </c>
      <c r="E667" s="44" t="s">
        <v>6839</v>
      </c>
      <c r="F667" s="37">
        <v>1</v>
      </c>
      <c r="G667" s="37" t="s">
        <v>6864</v>
      </c>
      <c r="H667" s="63">
        <v>18132.400000000001</v>
      </c>
    </row>
    <row r="668" spans="1:8" ht="24.75" customHeight="1">
      <c r="A668" s="44" t="s">
        <v>3094</v>
      </c>
      <c r="B668" s="45" t="s">
        <v>5381</v>
      </c>
      <c r="C668" s="45" t="s">
        <v>6693</v>
      </c>
      <c r="D668" s="45" t="s">
        <v>6703</v>
      </c>
      <c r="E668" s="44"/>
      <c r="F668" s="37">
        <v>1</v>
      </c>
      <c r="G668" s="37" t="s">
        <v>6864</v>
      </c>
      <c r="H668" s="63">
        <v>31088.2</v>
      </c>
    </row>
    <row r="669" spans="1:8" ht="24.75" customHeight="1">
      <c r="A669" s="44" t="s">
        <v>2389</v>
      </c>
      <c r="B669" s="45" t="s">
        <v>4411</v>
      </c>
      <c r="C669" s="45" t="s">
        <v>6693</v>
      </c>
      <c r="D669" s="45" t="s">
        <v>6703</v>
      </c>
      <c r="E669" s="44"/>
      <c r="F669" s="37">
        <v>1</v>
      </c>
      <c r="G669" s="37" t="s">
        <v>6864</v>
      </c>
      <c r="H669" s="63">
        <v>10296</v>
      </c>
    </row>
    <row r="670" spans="1:8" ht="24.75" customHeight="1">
      <c r="A670" s="44" t="s">
        <v>2205</v>
      </c>
      <c r="B670" s="45" t="s">
        <v>5575</v>
      </c>
      <c r="C670" s="45" t="s">
        <v>6693</v>
      </c>
      <c r="D670" s="45" t="s">
        <v>6703</v>
      </c>
      <c r="E670" s="44"/>
      <c r="F670" s="37">
        <v>1</v>
      </c>
      <c r="G670" s="37" t="s">
        <v>6864</v>
      </c>
      <c r="H670" s="63">
        <v>22150.7</v>
      </c>
    </row>
    <row r="671" spans="1:8" ht="24.75" customHeight="1">
      <c r="A671" s="44" t="s">
        <v>2378</v>
      </c>
      <c r="B671" s="45" t="s">
        <v>4406</v>
      </c>
      <c r="C671" s="45" t="s">
        <v>6693</v>
      </c>
      <c r="D671" s="45" t="s">
        <v>6703</v>
      </c>
      <c r="E671" s="44"/>
      <c r="F671" s="37">
        <v>1</v>
      </c>
      <c r="G671" s="37" t="s">
        <v>6864</v>
      </c>
      <c r="H671" s="63">
        <v>17546.099999999999</v>
      </c>
    </row>
    <row r="672" spans="1:8" ht="24.75" customHeight="1">
      <c r="A672" s="44" t="s">
        <v>348</v>
      </c>
      <c r="B672" s="45" t="s">
        <v>4939</v>
      </c>
      <c r="C672" s="45" t="s">
        <v>6693</v>
      </c>
      <c r="D672" s="45" t="s">
        <v>6703</v>
      </c>
      <c r="E672" s="44"/>
      <c r="F672" s="37">
        <v>1</v>
      </c>
      <c r="G672" s="37" t="s">
        <v>6864</v>
      </c>
      <c r="H672" s="63">
        <v>19448</v>
      </c>
    </row>
    <row r="673" spans="1:8" ht="24.75" customHeight="1">
      <c r="A673" s="44" t="s">
        <v>2390</v>
      </c>
      <c r="B673" s="45" t="s">
        <v>4412</v>
      </c>
      <c r="C673" s="45" t="s">
        <v>6693</v>
      </c>
      <c r="D673" s="45" t="s">
        <v>6703</v>
      </c>
      <c r="E673" s="44"/>
      <c r="F673" s="37">
        <v>1</v>
      </c>
      <c r="G673" s="37" t="s">
        <v>6864</v>
      </c>
      <c r="H673" s="63">
        <v>10296</v>
      </c>
    </row>
    <row r="674" spans="1:8" ht="24.75" customHeight="1">
      <c r="A674" s="44" t="s">
        <v>2206</v>
      </c>
      <c r="B674" s="45" t="s">
        <v>5576</v>
      </c>
      <c r="C674" s="45" t="s">
        <v>6693</v>
      </c>
      <c r="D674" s="45" t="s">
        <v>6703</v>
      </c>
      <c r="E674" s="44"/>
      <c r="F674" s="37">
        <v>1</v>
      </c>
      <c r="G674" s="37" t="s">
        <v>6864</v>
      </c>
      <c r="H674" s="63">
        <v>22150.7</v>
      </c>
    </row>
    <row r="675" spans="1:8" ht="24.75" customHeight="1">
      <c r="A675" s="44" t="s">
        <v>2379</v>
      </c>
      <c r="B675" s="45" t="s">
        <v>6354</v>
      </c>
      <c r="C675" s="45" t="s">
        <v>6693</v>
      </c>
      <c r="D675" s="45" t="s">
        <v>6703</v>
      </c>
      <c r="E675" s="44"/>
      <c r="F675" s="37">
        <v>1</v>
      </c>
      <c r="G675" s="37" t="s">
        <v>6864</v>
      </c>
      <c r="H675" s="63">
        <v>17546.099999999999</v>
      </c>
    </row>
    <row r="676" spans="1:8" ht="24.75" customHeight="1">
      <c r="A676" s="44" t="s">
        <v>2747</v>
      </c>
      <c r="B676" s="45" t="s">
        <v>5861</v>
      </c>
      <c r="C676" s="45" t="s">
        <v>6693</v>
      </c>
      <c r="D676" s="45" t="s">
        <v>6703</v>
      </c>
      <c r="E676" s="44" t="s">
        <v>6839</v>
      </c>
      <c r="F676" s="37">
        <v>1</v>
      </c>
      <c r="G676" s="37" t="s">
        <v>6864</v>
      </c>
      <c r="H676" s="63">
        <v>14914.9</v>
      </c>
    </row>
    <row r="677" spans="1:8" ht="24.75" customHeight="1">
      <c r="A677" s="44" t="s">
        <v>2748</v>
      </c>
      <c r="B677" s="45" t="s">
        <v>5862</v>
      </c>
      <c r="C677" s="45" t="s">
        <v>6693</v>
      </c>
      <c r="D677" s="45" t="s">
        <v>6703</v>
      </c>
      <c r="E677" s="44" t="s">
        <v>6839</v>
      </c>
      <c r="F677" s="37">
        <v>1</v>
      </c>
      <c r="G677" s="37" t="s">
        <v>6864</v>
      </c>
      <c r="H677" s="63">
        <v>14914.9</v>
      </c>
    </row>
    <row r="678" spans="1:8" ht="24.75" customHeight="1">
      <c r="A678" s="44" t="s">
        <v>2749</v>
      </c>
      <c r="B678" s="45" t="s">
        <v>5863</v>
      </c>
      <c r="C678" s="45" t="s">
        <v>6693</v>
      </c>
      <c r="D678" s="45" t="s">
        <v>6703</v>
      </c>
      <c r="E678" s="44" t="s">
        <v>6839</v>
      </c>
      <c r="F678" s="37">
        <v>1</v>
      </c>
      <c r="G678" s="37" t="s">
        <v>6864</v>
      </c>
      <c r="H678" s="63">
        <v>14914.9</v>
      </c>
    </row>
    <row r="679" spans="1:8" ht="24.75" customHeight="1">
      <c r="A679" s="44" t="s">
        <v>2746</v>
      </c>
      <c r="B679" s="45" t="s">
        <v>5760</v>
      </c>
      <c r="C679" s="45" t="s">
        <v>6693</v>
      </c>
      <c r="D679" s="45" t="s">
        <v>6703</v>
      </c>
      <c r="E679" s="44" t="s">
        <v>6839</v>
      </c>
      <c r="F679" s="37">
        <v>1</v>
      </c>
      <c r="G679" s="37" t="s">
        <v>6864</v>
      </c>
      <c r="H679" s="63">
        <v>7707.7</v>
      </c>
    </row>
    <row r="680" spans="1:8" ht="24.75" customHeight="1">
      <c r="A680" s="44" t="s">
        <v>2061</v>
      </c>
      <c r="B680" s="45" t="s">
        <v>5301</v>
      </c>
      <c r="C680" s="45" t="s">
        <v>6693</v>
      </c>
      <c r="D680" s="45" t="s">
        <v>6703</v>
      </c>
      <c r="E680" s="44"/>
      <c r="F680" s="37">
        <v>1</v>
      </c>
      <c r="G680" s="37" t="s">
        <v>6864</v>
      </c>
      <c r="H680" s="63">
        <v>22265.1</v>
      </c>
    </row>
    <row r="681" spans="1:8" ht="24.75" customHeight="1">
      <c r="A681" s="44" t="s">
        <v>997</v>
      </c>
      <c r="B681" s="45" t="s">
        <v>4449</v>
      </c>
      <c r="C681" s="45" t="s">
        <v>6693</v>
      </c>
      <c r="D681" s="45" t="s">
        <v>6703</v>
      </c>
      <c r="E681" s="44"/>
      <c r="F681" s="37">
        <v>1</v>
      </c>
      <c r="G681" s="37" t="s">
        <v>6864</v>
      </c>
      <c r="H681" s="63">
        <v>27727.7</v>
      </c>
    </row>
    <row r="682" spans="1:8" ht="24.75" customHeight="1">
      <c r="A682" s="44" t="s">
        <v>1574</v>
      </c>
      <c r="B682" s="45" t="s">
        <v>5442</v>
      </c>
      <c r="C682" s="45" t="s">
        <v>6693</v>
      </c>
      <c r="D682" s="45" t="s">
        <v>6703</v>
      </c>
      <c r="E682" s="44" t="s">
        <v>6839</v>
      </c>
      <c r="F682" s="37">
        <v>1</v>
      </c>
      <c r="G682" s="37" t="s">
        <v>6864</v>
      </c>
      <c r="H682" s="63">
        <v>18132.400000000001</v>
      </c>
    </row>
    <row r="683" spans="1:8" ht="24.75" customHeight="1">
      <c r="A683" s="44" t="s">
        <v>3095</v>
      </c>
      <c r="B683" s="45" t="s">
        <v>5382</v>
      </c>
      <c r="C683" s="45" t="s">
        <v>6693</v>
      </c>
      <c r="D683" s="45" t="s">
        <v>6703</v>
      </c>
      <c r="E683" s="44"/>
      <c r="F683" s="37">
        <v>1</v>
      </c>
      <c r="G683" s="37" t="s">
        <v>6864</v>
      </c>
      <c r="H683" s="63">
        <v>31088.2</v>
      </c>
    </row>
    <row r="684" spans="1:8" ht="24.75" customHeight="1">
      <c r="A684" s="44" t="s">
        <v>2391</v>
      </c>
      <c r="B684" s="45" t="s">
        <v>4413</v>
      </c>
      <c r="C684" s="45" t="s">
        <v>6693</v>
      </c>
      <c r="D684" s="45" t="s">
        <v>6703</v>
      </c>
      <c r="E684" s="44"/>
      <c r="F684" s="37">
        <v>1</v>
      </c>
      <c r="G684" s="37" t="s">
        <v>6864</v>
      </c>
      <c r="H684" s="63">
        <v>10296</v>
      </c>
    </row>
    <row r="685" spans="1:8" ht="24.75" customHeight="1">
      <c r="A685" s="44" t="s">
        <v>2207</v>
      </c>
      <c r="B685" s="45" t="s">
        <v>5577</v>
      </c>
      <c r="C685" s="45" t="s">
        <v>6693</v>
      </c>
      <c r="D685" s="45" t="s">
        <v>6703</v>
      </c>
      <c r="E685" s="44"/>
      <c r="F685" s="37">
        <v>1</v>
      </c>
      <c r="G685" s="37" t="s">
        <v>6864</v>
      </c>
      <c r="H685" s="63">
        <v>22150.7</v>
      </c>
    </row>
    <row r="686" spans="1:8" ht="24.75" customHeight="1">
      <c r="A686" s="44" t="s">
        <v>2476</v>
      </c>
      <c r="B686" s="45" t="s">
        <v>5543</v>
      </c>
      <c r="C686" s="45" t="s">
        <v>6693</v>
      </c>
      <c r="D686" s="45" t="s">
        <v>6703</v>
      </c>
      <c r="E686" s="44"/>
      <c r="F686" s="37">
        <v>1</v>
      </c>
      <c r="G686" s="37" t="s">
        <v>6864</v>
      </c>
      <c r="H686" s="63">
        <v>24395.8</v>
      </c>
    </row>
    <row r="687" spans="1:8" ht="24.75" customHeight="1">
      <c r="A687" s="44" t="s">
        <v>2380</v>
      </c>
      <c r="B687" s="45" t="s">
        <v>4407</v>
      </c>
      <c r="C687" s="45" t="s">
        <v>6693</v>
      </c>
      <c r="D687" s="45" t="s">
        <v>6703</v>
      </c>
      <c r="E687" s="44"/>
      <c r="F687" s="37">
        <v>1</v>
      </c>
      <c r="G687" s="37" t="s">
        <v>6864</v>
      </c>
      <c r="H687" s="63">
        <v>17546.099999999999</v>
      </c>
    </row>
    <row r="688" spans="1:8" ht="24.75" customHeight="1">
      <c r="A688" s="44" t="s">
        <v>349</v>
      </c>
      <c r="B688" s="45" t="s">
        <v>4940</v>
      </c>
      <c r="C688" s="45" t="s">
        <v>6693</v>
      </c>
      <c r="D688" s="45" t="s">
        <v>6703</v>
      </c>
      <c r="E688" s="44"/>
      <c r="F688" s="37">
        <v>1</v>
      </c>
      <c r="G688" s="37" t="s">
        <v>6864</v>
      </c>
      <c r="H688" s="63">
        <v>19448</v>
      </c>
    </row>
    <row r="689" spans="1:8" ht="24.75" customHeight="1">
      <c r="A689" s="44" t="s">
        <v>541</v>
      </c>
      <c r="B689" s="45" t="s">
        <v>6054</v>
      </c>
      <c r="C689" s="45" t="s">
        <v>6693</v>
      </c>
      <c r="D689" s="45" t="s">
        <v>6703</v>
      </c>
      <c r="E689" s="44" t="s">
        <v>6839</v>
      </c>
      <c r="F689" s="37">
        <v>1</v>
      </c>
      <c r="G689" s="37" t="s">
        <v>6864</v>
      </c>
      <c r="H689" s="63">
        <v>18404.099999999999</v>
      </c>
    </row>
    <row r="690" spans="1:8" ht="24.75" customHeight="1">
      <c r="A690" s="44" t="s">
        <v>998</v>
      </c>
      <c r="B690" s="45" t="s">
        <v>4450</v>
      </c>
      <c r="C690" s="45" t="s">
        <v>6693</v>
      </c>
      <c r="D690" s="45" t="s">
        <v>6703</v>
      </c>
      <c r="E690" s="44"/>
      <c r="F690" s="37">
        <v>1</v>
      </c>
      <c r="G690" s="37" t="s">
        <v>6864</v>
      </c>
      <c r="H690" s="63">
        <v>27727.7</v>
      </c>
    </row>
    <row r="691" spans="1:8" ht="24.75" customHeight="1">
      <c r="A691" s="44" t="s">
        <v>1833</v>
      </c>
      <c r="B691" s="45" t="s">
        <v>5444</v>
      </c>
      <c r="C691" s="45" t="s">
        <v>6693</v>
      </c>
      <c r="D691" s="45" t="s">
        <v>6703</v>
      </c>
      <c r="E691" s="44" t="s">
        <v>6839</v>
      </c>
      <c r="F691" s="37">
        <v>1</v>
      </c>
      <c r="G691" s="37" t="s">
        <v>6864</v>
      </c>
      <c r="H691" s="63">
        <v>18132.400000000001</v>
      </c>
    </row>
    <row r="692" spans="1:8" ht="24.75" customHeight="1">
      <c r="A692" s="44" t="s">
        <v>351</v>
      </c>
      <c r="B692" s="45" t="s">
        <v>4941</v>
      </c>
      <c r="C692" s="45" t="s">
        <v>6693</v>
      </c>
      <c r="D692" s="45" t="s">
        <v>6703</v>
      </c>
      <c r="E692" s="44"/>
      <c r="F692" s="37">
        <v>1</v>
      </c>
      <c r="G692" s="37" t="s">
        <v>6864</v>
      </c>
      <c r="H692" s="63">
        <v>19448</v>
      </c>
    </row>
    <row r="693" spans="1:8" ht="24.75" customHeight="1">
      <c r="A693" s="44" t="s">
        <v>999</v>
      </c>
      <c r="B693" s="45" t="s">
        <v>4451</v>
      </c>
      <c r="C693" s="45" t="s">
        <v>6693</v>
      </c>
      <c r="D693" s="45" t="s">
        <v>6703</v>
      </c>
      <c r="E693" s="44"/>
      <c r="F693" s="37">
        <v>1</v>
      </c>
      <c r="G693" s="37" t="s">
        <v>6864</v>
      </c>
      <c r="H693" s="63">
        <v>27727.7</v>
      </c>
    </row>
    <row r="694" spans="1:8" ht="24.75" customHeight="1">
      <c r="A694" s="44" t="s">
        <v>1575</v>
      </c>
      <c r="B694" s="45" t="s">
        <v>5445</v>
      </c>
      <c r="C694" s="45" t="s">
        <v>6693</v>
      </c>
      <c r="D694" s="45" t="s">
        <v>6703</v>
      </c>
      <c r="E694" s="44" t="s">
        <v>6839</v>
      </c>
      <c r="F694" s="37">
        <v>1</v>
      </c>
      <c r="G694" s="37" t="s">
        <v>6864</v>
      </c>
      <c r="H694" s="63">
        <v>18132.400000000001</v>
      </c>
    </row>
    <row r="695" spans="1:8" ht="24.75" customHeight="1">
      <c r="A695" s="44" t="s">
        <v>3096</v>
      </c>
      <c r="B695" s="45" t="s">
        <v>5383</v>
      </c>
      <c r="C695" s="45" t="s">
        <v>6693</v>
      </c>
      <c r="D695" s="45" t="s">
        <v>6703</v>
      </c>
      <c r="E695" s="44"/>
      <c r="F695" s="37">
        <v>1</v>
      </c>
      <c r="G695" s="37" t="s">
        <v>6864</v>
      </c>
      <c r="H695" s="63">
        <v>31088.2</v>
      </c>
    </row>
    <row r="696" spans="1:8" ht="24.75" customHeight="1">
      <c r="A696" s="44" t="s">
        <v>2392</v>
      </c>
      <c r="B696" s="45" t="s">
        <v>4414</v>
      </c>
      <c r="C696" s="45" t="s">
        <v>6693</v>
      </c>
      <c r="D696" s="45" t="s">
        <v>6703</v>
      </c>
      <c r="E696" s="44"/>
      <c r="F696" s="37">
        <v>1</v>
      </c>
      <c r="G696" s="37" t="s">
        <v>6864</v>
      </c>
      <c r="H696" s="63">
        <v>10296</v>
      </c>
    </row>
    <row r="697" spans="1:8" ht="24.75" customHeight="1">
      <c r="A697" s="44" t="s">
        <v>2208</v>
      </c>
      <c r="B697" s="45" t="s">
        <v>5578</v>
      </c>
      <c r="C697" s="45" t="s">
        <v>6693</v>
      </c>
      <c r="D697" s="45" t="s">
        <v>6703</v>
      </c>
      <c r="E697" s="44"/>
      <c r="F697" s="37">
        <v>1</v>
      </c>
      <c r="G697" s="37" t="s">
        <v>6864</v>
      </c>
      <c r="H697" s="63">
        <v>22150.7</v>
      </c>
    </row>
    <row r="698" spans="1:8" ht="24.75" customHeight="1">
      <c r="A698" s="44" t="s">
        <v>350</v>
      </c>
      <c r="B698" s="45" t="s">
        <v>4942</v>
      </c>
      <c r="C698" s="45" t="s">
        <v>6693</v>
      </c>
      <c r="D698" s="45" t="s">
        <v>6703</v>
      </c>
      <c r="E698" s="44"/>
      <c r="F698" s="37">
        <v>1</v>
      </c>
      <c r="G698" s="37" t="s">
        <v>6864</v>
      </c>
      <c r="H698" s="63">
        <v>19448</v>
      </c>
    </row>
    <row r="699" spans="1:8" ht="24.75" customHeight="1">
      <c r="A699" s="44" t="s">
        <v>2778</v>
      </c>
      <c r="B699" s="45" t="s">
        <v>5775</v>
      </c>
      <c r="C699" s="45" t="s">
        <v>6693</v>
      </c>
      <c r="D699" s="45" t="s">
        <v>6703</v>
      </c>
      <c r="E699" s="44" t="s">
        <v>6839</v>
      </c>
      <c r="F699" s="37">
        <v>1</v>
      </c>
      <c r="G699" s="37" t="s">
        <v>6864</v>
      </c>
      <c r="H699" s="63">
        <v>10124.4</v>
      </c>
    </row>
    <row r="700" spans="1:8" ht="24.75" customHeight="1">
      <c r="A700" s="44" t="s">
        <v>2470</v>
      </c>
      <c r="B700" s="45" t="s">
        <v>5539</v>
      </c>
      <c r="C700" s="45" t="s">
        <v>6693</v>
      </c>
      <c r="D700" s="45" t="s">
        <v>6703</v>
      </c>
      <c r="E700" s="44"/>
      <c r="F700" s="37">
        <v>1</v>
      </c>
      <c r="G700" s="37" t="s">
        <v>6864</v>
      </c>
      <c r="H700" s="63">
        <v>7550.4</v>
      </c>
    </row>
    <row r="701" spans="1:8" ht="24.75" customHeight="1">
      <c r="A701" s="44" t="s">
        <v>2381</v>
      </c>
      <c r="B701" s="45" t="s">
        <v>4408</v>
      </c>
      <c r="C701" s="45" t="s">
        <v>6693</v>
      </c>
      <c r="D701" s="45" t="s">
        <v>6703</v>
      </c>
      <c r="E701" s="44"/>
      <c r="F701" s="37">
        <v>1</v>
      </c>
      <c r="G701" s="37" t="s">
        <v>6864</v>
      </c>
      <c r="H701" s="63">
        <v>17131.400000000001</v>
      </c>
    </row>
    <row r="702" spans="1:8" ht="24.75" customHeight="1">
      <c r="A702" s="44" t="s">
        <v>1138</v>
      </c>
      <c r="B702" s="45" t="s">
        <v>5609</v>
      </c>
      <c r="C702" s="45" t="s">
        <v>6693</v>
      </c>
      <c r="D702" s="45" t="s">
        <v>6703</v>
      </c>
      <c r="E702" s="44" t="s">
        <v>6839</v>
      </c>
      <c r="F702" s="37">
        <v>1</v>
      </c>
      <c r="G702" s="37" t="s">
        <v>6864</v>
      </c>
      <c r="H702" s="63">
        <v>5762.9</v>
      </c>
    </row>
    <row r="703" spans="1:8" ht="24.75" customHeight="1">
      <c r="A703" s="44" t="s">
        <v>2471</v>
      </c>
      <c r="B703" s="45" t="s">
        <v>5540</v>
      </c>
      <c r="C703" s="45" t="s">
        <v>6693</v>
      </c>
      <c r="D703" s="45" t="s">
        <v>6703</v>
      </c>
      <c r="E703" s="44"/>
      <c r="F703" s="37">
        <v>1</v>
      </c>
      <c r="G703" s="37" t="s">
        <v>6864</v>
      </c>
      <c r="H703" s="63">
        <v>4819.1000000000004</v>
      </c>
    </row>
    <row r="704" spans="1:8" ht="24.75" customHeight="1">
      <c r="A704" s="44" t="s">
        <v>542</v>
      </c>
      <c r="B704" s="45" t="s">
        <v>6056</v>
      </c>
      <c r="C704" s="45" t="s">
        <v>6693</v>
      </c>
      <c r="D704" s="45" t="s">
        <v>6703</v>
      </c>
      <c r="E704" s="44"/>
      <c r="F704" s="37">
        <v>1</v>
      </c>
      <c r="G704" s="37" t="s">
        <v>6864</v>
      </c>
      <c r="H704" s="63">
        <v>4018.3</v>
      </c>
    </row>
    <row r="705" spans="1:8" ht="24.75" customHeight="1">
      <c r="A705" s="44" t="s">
        <v>2063</v>
      </c>
      <c r="B705" s="45" t="s">
        <v>5303</v>
      </c>
      <c r="C705" s="45" t="s">
        <v>6693</v>
      </c>
      <c r="D705" s="45" t="s">
        <v>6703</v>
      </c>
      <c r="E705" s="44"/>
      <c r="F705" s="37">
        <v>1</v>
      </c>
      <c r="G705" s="37" t="s">
        <v>6864</v>
      </c>
      <c r="H705" s="63">
        <v>14028.3</v>
      </c>
    </row>
    <row r="706" spans="1:8" ht="24.75" customHeight="1">
      <c r="A706" s="44" t="s">
        <v>443</v>
      </c>
      <c r="B706" s="45" t="s">
        <v>4442</v>
      </c>
      <c r="C706" s="45" t="s">
        <v>6693</v>
      </c>
      <c r="D706" s="45" t="s">
        <v>6703</v>
      </c>
      <c r="E706" s="44"/>
      <c r="F706" s="37">
        <v>1</v>
      </c>
      <c r="G706" s="37" t="s">
        <v>6864</v>
      </c>
      <c r="H706" s="63">
        <v>9380.7999999999993</v>
      </c>
    </row>
    <row r="707" spans="1:8" ht="24.75" customHeight="1">
      <c r="A707" s="44" t="s">
        <v>1573</v>
      </c>
      <c r="B707" s="45" t="s">
        <v>5441</v>
      </c>
      <c r="C707" s="45" t="s">
        <v>6693</v>
      </c>
      <c r="D707" s="45" t="s">
        <v>6703</v>
      </c>
      <c r="E707" s="44" t="s">
        <v>6839</v>
      </c>
      <c r="F707" s="37">
        <v>1</v>
      </c>
      <c r="G707" s="37" t="s">
        <v>6864</v>
      </c>
      <c r="H707" s="63">
        <v>17560.400000000001</v>
      </c>
    </row>
    <row r="708" spans="1:8" ht="24.75" customHeight="1">
      <c r="A708" s="44" t="s">
        <v>3181</v>
      </c>
      <c r="B708" s="45" t="s">
        <v>5384</v>
      </c>
      <c r="C708" s="45" t="s">
        <v>6693</v>
      </c>
      <c r="D708" s="45" t="s">
        <v>6703</v>
      </c>
      <c r="E708" s="44"/>
      <c r="F708" s="37">
        <v>1</v>
      </c>
      <c r="G708" s="37" t="s">
        <v>6864</v>
      </c>
      <c r="H708" s="63">
        <v>33933.9</v>
      </c>
    </row>
    <row r="709" spans="1:8" ht="24.75" customHeight="1">
      <c r="A709" s="44" t="s">
        <v>1119</v>
      </c>
      <c r="B709" s="45" t="s">
        <v>5679</v>
      </c>
      <c r="C709" s="45" t="s">
        <v>6693</v>
      </c>
      <c r="D709" s="45" t="s">
        <v>6703</v>
      </c>
      <c r="E709" s="44" t="s">
        <v>6839</v>
      </c>
      <c r="F709" s="37">
        <v>1</v>
      </c>
      <c r="G709" s="37" t="s">
        <v>6864</v>
      </c>
      <c r="H709" s="63">
        <v>6477.9</v>
      </c>
    </row>
    <row r="710" spans="1:8" ht="24.75" customHeight="1">
      <c r="A710" s="44" t="s">
        <v>2906</v>
      </c>
      <c r="B710" s="45" t="s">
        <v>4410</v>
      </c>
      <c r="C710" s="45" t="s">
        <v>6693</v>
      </c>
      <c r="D710" s="45" t="s">
        <v>6703</v>
      </c>
      <c r="E710" s="44"/>
      <c r="F710" s="37">
        <v>1</v>
      </c>
      <c r="G710" s="37" t="s">
        <v>6864</v>
      </c>
      <c r="H710" s="63">
        <v>9509.5</v>
      </c>
    </row>
    <row r="711" spans="1:8" ht="24.75" customHeight="1">
      <c r="A711" s="44" t="s">
        <v>2209</v>
      </c>
      <c r="B711" s="45" t="s">
        <v>5869</v>
      </c>
      <c r="C711" s="45" t="s">
        <v>6693</v>
      </c>
      <c r="D711" s="45" t="s">
        <v>6703</v>
      </c>
      <c r="E711" s="44"/>
      <c r="F711" s="37">
        <v>1</v>
      </c>
      <c r="G711" s="37" t="s">
        <v>6864</v>
      </c>
      <c r="H711" s="63">
        <v>7750.6</v>
      </c>
    </row>
    <row r="712" spans="1:8" ht="24.75" customHeight="1">
      <c r="A712" s="44" t="s">
        <v>1401</v>
      </c>
      <c r="B712" s="45" t="s">
        <v>4948</v>
      </c>
      <c r="C712" s="45" t="s">
        <v>6693</v>
      </c>
      <c r="D712" s="45" t="s">
        <v>6703</v>
      </c>
      <c r="E712" s="44"/>
      <c r="F712" s="37">
        <v>1</v>
      </c>
      <c r="G712" s="37" t="s">
        <v>6864</v>
      </c>
      <c r="H712" s="63">
        <v>13685.1</v>
      </c>
    </row>
    <row r="713" spans="1:8" ht="24.75" customHeight="1">
      <c r="A713" s="44" t="s">
        <v>543</v>
      </c>
      <c r="B713" s="45" t="s">
        <v>6057</v>
      </c>
      <c r="C713" s="45" t="s">
        <v>6693</v>
      </c>
      <c r="D713" s="45" t="s">
        <v>6703</v>
      </c>
      <c r="E713" s="44" t="s">
        <v>6839</v>
      </c>
      <c r="F713" s="37">
        <v>1</v>
      </c>
      <c r="G713" s="37" t="s">
        <v>6864</v>
      </c>
      <c r="H713" s="63">
        <v>6921.2</v>
      </c>
    </row>
    <row r="714" spans="1:8" ht="24.75" customHeight="1">
      <c r="A714" s="44" t="s">
        <v>2382</v>
      </c>
      <c r="B714" s="45" t="s">
        <v>4409</v>
      </c>
      <c r="C714" s="45" t="s">
        <v>6693</v>
      </c>
      <c r="D714" s="45" t="s">
        <v>6703</v>
      </c>
      <c r="E714" s="44"/>
      <c r="F714" s="37">
        <v>1</v>
      </c>
      <c r="G714" s="37" t="s">
        <v>6864</v>
      </c>
      <c r="H714" s="63">
        <v>12441</v>
      </c>
    </row>
    <row r="715" spans="1:8" ht="24.75" customHeight="1">
      <c r="A715" s="44" t="s">
        <v>129</v>
      </c>
      <c r="B715" s="45" t="s">
        <v>5753</v>
      </c>
      <c r="C715" s="45" t="s">
        <v>6693</v>
      </c>
      <c r="D715" s="45" t="s">
        <v>6703</v>
      </c>
      <c r="E715" s="44"/>
      <c r="F715" s="37">
        <v>1</v>
      </c>
      <c r="G715" s="37" t="s">
        <v>6864</v>
      </c>
      <c r="H715" s="63">
        <v>19734</v>
      </c>
    </row>
    <row r="716" spans="1:8" ht="24.75" customHeight="1">
      <c r="A716" s="44" t="s">
        <v>190</v>
      </c>
      <c r="B716" s="45" t="s">
        <v>4443</v>
      </c>
      <c r="C716" s="45" t="s">
        <v>6693</v>
      </c>
      <c r="D716" s="45" t="s">
        <v>6703</v>
      </c>
      <c r="E716" s="44"/>
      <c r="F716" s="37">
        <v>1</v>
      </c>
      <c r="G716" s="37" t="s">
        <v>6864</v>
      </c>
      <c r="H716" s="63">
        <v>26340.6</v>
      </c>
    </row>
    <row r="717" spans="1:8" ht="24.75" customHeight="1">
      <c r="A717" s="44" t="s">
        <v>128</v>
      </c>
      <c r="B717" s="45" t="s">
        <v>5752</v>
      </c>
      <c r="C717" s="45" t="s">
        <v>6693</v>
      </c>
      <c r="D717" s="45" t="s">
        <v>6703</v>
      </c>
      <c r="E717" s="44" t="s">
        <v>6839</v>
      </c>
      <c r="F717" s="37">
        <v>1</v>
      </c>
      <c r="G717" s="37" t="s">
        <v>6864</v>
      </c>
      <c r="H717" s="63">
        <v>19734</v>
      </c>
    </row>
    <row r="718" spans="1:8" ht="24.75" customHeight="1">
      <c r="A718" s="44" t="s">
        <v>191</v>
      </c>
      <c r="B718" s="45" t="s">
        <v>4444</v>
      </c>
      <c r="C718" s="45" t="s">
        <v>6693</v>
      </c>
      <c r="D718" s="45" t="s">
        <v>6703</v>
      </c>
      <c r="E718" s="44"/>
      <c r="F718" s="37">
        <v>1</v>
      </c>
      <c r="G718" s="37" t="s">
        <v>6864</v>
      </c>
      <c r="H718" s="63">
        <v>26340.6</v>
      </c>
    </row>
    <row r="719" spans="1:8" ht="24.75" customHeight="1">
      <c r="A719" s="44" t="s">
        <v>131</v>
      </c>
      <c r="B719" s="45" t="s">
        <v>5755</v>
      </c>
      <c r="C719" s="45" t="s">
        <v>6693</v>
      </c>
      <c r="D719" s="45" t="s">
        <v>6703</v>
      </c>
      <c r="E719" s="44"/>
      <c r="F719" s="37">
        <v>1</v>
      </c>
      <c r="G719" s="37" t="s">
        <v>6864</v>
      </c>
      <c r="H719" s="63">
        <v>19734</v>
      </c>
    </row>
    <row r="720" spans="1:8" ht="24.75" customHeight="1">
      <c r="A720" s="44" t="s">
        <v>192</v>
      </c>
      <c r="B720" s="45" t="s">
        <v>4445</v>
      </c>
      <c r="C720" s="45" t="s">
        <v>6693</v>
      </c>
      <c r="D720" s="45" t="s">
        <v>6703</v>
      </c>
      <c r="E720" s="44"/>
      <c r="F720" s="37">
        <v>1</v>
      </c>
      <c r="G720" s="37" t="s">
        <v>6864</v>
      </c>
      <c r="H720" s="63">
        <v>26340.6</v>
      </c>
    </row>
    <row r="721" spans="1:8" ht="24.75" customHeight="1">
      <c r="A721" s="44" t="s">
        <v>130</v>
      </c>
      <c r="B721" s="45" t="s">
        <v>5754</v>
      </c>
      <c r="C721" s="45" t="s">
        <v>6693</v>
      </c>
      <c r="D721" s="45" t="s">
        <v>6703</v>
      </c>
      <c r="E721" s="44"/>
      <c r="F721" s="37">
        <v>1</v>
      </c>
      <c r="G721" s="37" t="s">
        <v>6864</v>
      </c>
      <c r="H721" s="63">
        <v>19734</v>
      </c>
    </row>
    <row r="722" spans="1:8" ht="24.75" customHeight="1">
      <c r="A722" s="44" t="s">
        <v>2762</v>
      </c>
      <c r="B722" s="45" t="s">
        <v>5764</v>
      </c>
      <c r="C722" s="45" t="s">
        <v>6693</v>
      </c>
      <c r="D722" s="45" t="s">
        <v>6703</v>
      </c>
      <c r="E722" s="44" t="s">
        <v>6839</v>
      </c>
      <c r="F722" s="37">
        <v>1</v>
      </c>
      <c r="G722" s="37" t="s">
        <v>6864</v>
      </c>
      <c r="H722" s="63">
        <v>2473.9</v>
      </c>
    </row>
    <row r="723" spans="1:8" ht="24.75" customHeight="1">
      <c r="A723" s="44" t="s">
        <v>2761</v>
      </c>
      <c r="B723" s="45" t="s">
        <v>5763</v>
      </c>
      <c r="C723" s="45" t="s">
        <v>6693</v>
      </c>
      <c r="D723" s="45" t="s">
        <v>6703</v>
      </c>
      <c r="E723" s="44" t="s">
        <v>6839</v>
      </c>
      <c r="F723" s="37">
        <v>1</v>
      </c>
      <c r="G723" s="37" t="s">
        <v>6864</v>
      </c>
      <c r="H723" s="63">
        <v>2473.9</v>
      </c>
    </row>
    <row r="724" spans="1:8" ht="24.75" customHeight="1">
      <c r="A724" s="44" t="s">
        <v>124</v>
      </c>
      <c r="B724" s="45" t="s">
        <v>5748</v>
      </c>
      <c r="C724" s="45" t="s">
        <v>6693</v>
      </c>
      <c r="D724" s="45" t="s">
        <v>6703</v>
      </c>
      <c r="E724" s="44"/>
      <c r="F724" s="37">
        <v>1</v>
      </c>
      <c r="G724" s="37" t="s">
        <v>6864</v>
      </c>
      <c r="H724" s="63">
        <v>19734</v>
      </c>
    </row>
    <row r="725" spans="1:8" ht="24.75" customHeight="1">
      <c r="A725" s="44" t="s">
        <v>520</v>
      </c>
      <c r="B725" s="45" t="s">
        <v>4458</v>
      </c>
      <c r="C725" s="45" t="s">
        <v>6693</v>
      </c>
      <c r="D725" s="45" t="s">
        <v>6703</v>
      </c>
      <c r="E725" s="44"/>
      <c r="F725" s="37">
        <v>1</v>
      </c>
      <c r="G725" s="37" t="s">
        <v>6864</v>
      </c>
      <c r="H725" s="63">
        <v>26340.6</v>
      </c>
    </row>
    <row r="726" spans="1:8" ht="24.75" customHeight="1">
      <c r="A726" s="44" t="s">
        <v>123</v>
      </c>
      <c r="B726" s="45" t="s">
        <v>5747</v>
      </c>
      <c r="C726" s="45" t="s">
        <v>6693</v>
      </c>
      <c r="D726" s="45" t="s">
        <v>6703</v>
      </c>
      <c r="E726" s="44"/>
      <c r="F726" s="37">
        <v>1</v>
      </c>
      <c r="G726" s="37" t="s">
        <v>6864</v>
      </c>
      <c r="H726" s="63">
        <v>19734</v>
      </c>
    </row>
    <row r="727" spans="1:8" ht="24.75" customHeight="1">
      <c r="A727" s="44" t="s">
        <v>521</v>
      </c>
      <c r="B727" s="45" t="s">
        <v>4459</v>
      </c>
      <c r="C727" s="45" t="s">
        <v>6693</v>
      </c>
      <c r="D727" s="45" t="s">
        <v>6703</v>
      </c>
      <c r="E727" s="44"/>
      <c r="F727" s="37">
        <v>1</v>
      </c>
      <c r="G727" s="37" t="s">
        <v>6864</v>
      </c>
      <c r="H727" s="63">
        <v>26340.6</v>
      </c>
    </row>
    <row r="728" spans="1:8" ht="24.75" customHeight="1">
      <c r="A728" s="44" t="s">
        <v>126</v>
      </c>
      <c r="B728" s="45" t="s">
        <v>5750</v>
      </c>
      <c r="C728" s="45" t="s">
        <v>6693</v>
      </c>
      <c r="D728" s="45" t="s">
        <v>6703</v>
      </c>
      <c r="E728" s="44"/>
      <c r="F728" s="37">
        <v>1</v>
      </c>
      <c r="G728" s="37" t="s">
        <v>6864</v>
      </c>
      <c r="H728" s="63">
        <v>19734</v>
      </c>
    </row>
    <row r="729" spans="1:8" ht="24.75" customHeight="1">
      <c r="A729" s="44" t="s">
        <v>522</v>
      </c>
      <c r="B729" s="45" t="s">
        <v>4460</v>
      </c>
      <c r="C729" s="45" t="s">
        <v>6693</v>
      </c>
      <c r="D729" s="45" t="s">
        <v>6703</v>
      </c>
      <c r="E729" s="44"/>
      <c r="F729" s="37">
        <v>1</v>
      </c>
      <c r="G729" s="37" t="s">
        <v>6864</v>
      </c>
      <c r="H729" s="63">
        <v>26340.6</v>
      </c>
    </row>
    <row r="730" spans="1:8" ht="24.75" customHeight="1">
      <c r="A730" s="44" t="s">
        <v>125</v>
      </c>
      <c r="B730" s="45" t="s">
        <v>5749</v>
      </c>
      <c r="C730" s="45" t="s">
        <v>6693</v>
      </c>
      <c r="D730" s="45" t="s">
        <v>6703</v>
      </c>
      <c r="E730" s="44"/>
      <c r="F730" s="37">
        <v>1</v>
      </c>
      <c r="G730" s="37" t="s">
        <v>6864</v>
      </c>
      <c r="H730" s="63">
        <v>19734</v>
      </c>
    </row>
    <row r="731" spans="1:8" ht="24.75" customHeight="1">
      <c r="A731" s="44" t="s">
        <v>2758</v>
      </c>
      <c r="B731" s="45" t="s">
        <v>5828</v>
      </c>
      <c r="C731" s="45" t="s">
        <v>6693</v>
      </c>
      <c r="D731" s="45" t="s">
        <v>6703</v>
      </c>
      <c r="E731" s="44" t="s">
        <v>6839</v>
      </c>
      <c r="F731" s="37">
        <v>1</v>
      </c>
      <c r="G731" s="37" t="s">
        <v>6864</v>
      </c>
      <c r="H731" s="63">
        <v>26869.7</v>
      </c>
    </row>
    <row r="732" spans="1:8" ht="24.75" customHeight="1">
      <c r="A732" s="44" t="s">
        <v>2759</v>
      </c>
      <c r="B732" s="45" t="s">
        <v>5829</v>
      </c>
      <c r="C732" s="45" t="s">
        <v>6693</v>
      </c>
      <c r="D732" s="45" t="s">
        <v>6703</v>
      </c>
      <c r="E732" s="44" t="s">
        <v>6839</v>
      </c>
      <c r="F732" s="37">
        <v>1</v>
      </c>
      <c r="G732" s="37" t="s">
        <v>6864</v>
      </c>
      <c r="H732" s="63">
        <v>26869.7</v>
      </c>
    </row>
    <row r="733" spans="1:8" ht="24.75" customHeight="1">
      <c r="A733" s="44" t="s">
        <v>2760</v>
      </c>
      <c r="B733" s="45" t="s">
        <v>5830</v>
      </c>
      <c r="C733" s="45" t="s">
        <v>6693</v>
      </c>
      <c r="D733" s="45" t="s">
        <v>6703</v>
      </c>
      <c r="E733" s="44" t="s">
        <v>6839</v>
      </c>
      <c r="F733" s="37">
        <v>1</v>
      </c>
      <c r="G733" s="37" t="s">
        <v>6864</v>
      </c>
      <c r="H733" s="63">
        <v>26869.7</v>
      </c>
    </row>
    <row r="734" spans="1:8" ht="24.75" customHeight="1">
      <c r="A734" s="44" t="s">
        <v>2755</v>
      </c>
      <c r="B734" s="45" t="s">
        <v>5823</v>
      </c>
      <c r="C734" s="45" t="s">
        <v>6693</v>
      </c>
      <c r="D734" s="45" t="s">
        <v>6703</v>
      </c>
      <c r="E734" s="44" t="s">
        <v>6839</v>
      </c>
      <c r="F734" s="37">
        <v>1</v>
      </c>
      <c r="G734" s="37" t="s">
        <v>6864</v>
      </c>
      <c r="H734" s="63">
        <v>26869.7</v>
      </c>
    </row>
    <row r="735" spans="1:8" ht="24.75" customHeight="1">
      <c r="A735" s="44" t="s">
        <v>2756</v>
      </c>
      <c r="B735" s="45" t="s">
        <v>5824</v>
      </c>
      <c r="C735" s="45" t="s">
        <v>6693</v>
      </c>
      <c r="D735" s="45" t="s">
        <v>6703</v>
      </c>
      <c r="E735" s="44" t="s">
        <v>6839</v>
      </c>
      <c r="F735" s="37">
        <v>1</v>
      </c>
      <c r="G735" s="37" t="s">
        <v>6864</v>
      </c>
      <c r="H735" s="63">
        <v>26869.7</v>
      </c>
    </row>
    <row r="736" spans="1:8" ht="24.75" customHeight="1">
      <c r="A736" s="44" t="s">
        <v>2757</v>
      </c>
      <c r="B736" s="45" t="s">
        <v>5825</v>
      </c>
      <c r="C736" s="45" t="s">
        <v>6693</v>
      </c>
      <c r="D736" s="45" t="s">
        <v>6703</v>
      </c>
      <c r="E736" s="44" t="s">
        <v>6839</v>
      </c>
      <c r="F736" s="37">
        <v>1</v>
      </c>
      <c r="G736" s="37" t="s">
        <v>6864</v>
      </c>
      <c r="H736" s="63">
        <v>26869.7</v>
      </c>
    </row>
    <row r="737" spans="1:8" ht="24.75" customHeight="1">
      <c r="A737" s="44" t="s">
        <v>3182</v>
      </c>
      <c r="B737" s="45" t="s">
        <v>5413</v>
      </c>
      <c r="C737" s="45" t="s">
        <v>6693</v>
      </c>
      <c r="D737" s="45" t="s">
        <v>6703</v>
      </c>
      <c r="E737" s="44" t="s">
        <v>956</v>
      </c>
      <c r="F737" s="37">
        <v>1</v>
      </c>
      <c r="G737" s="37" t="s">
        <v>6864</v>
      </c>
      <c r="H737" s="63">
        <v>7693.4</v>
      </c>
    </row>
    <row r="738" spans="1:8" ht="24.75" customHeight="1">
      <c r="A738" s="44" t="s">
        <v>1277</v>
      </c>
      <c r="B738" s="45" t="s">
        <v>4466</v>
      </c>
      <c r="C738" s="45" t="s">
        <v>6693</v>
      </c>
      <c r="D738" s="45" t="s">
        <v>6703</v>
      </c>
      <c r="E738" s="44"/>
      <c r="F738" s="37">
        <v>1</v>
      </c>
      <c r="G738" s="37" t="s">
        <v>6864</v>
      </c>
      <c r="H738" s="63">
        <v>23266.1</v>
      </c>
    </row>
    <row r="739" spans="1:8" ht="24.75" customHeight="1">
      <c r="A739" s="44" t="s">
        <v>1275</v>
      </c>
      <c r="B739" s="45" t="s">
        <v>4464</v>
      </c>
      <c r="C739" s="45" t="s">
        <v>6693</v>
      </c>
      <c r="D739" s="45" t="s">
        <v>6703</v>
      </c>
      <c r="E739" s="44"/>
      <c r="F739" s="37">
        <v>1</v>
      </c>
      <c r="G739" s="37" t="s">
        <v>6864</v>
      </c>
      <c r="H739" s="63">
        <v>23266.1</v>
      </c>
    </row>
    <row r="740" spans="1:8" ht="24.75" customHeight="1">
      <c r="A740" s="44" t="s">
        <v>1020</v>
      </c>
      <c r="B740" s="45" t="s">
        <v>4463</v>
      </c>
      <c r="C740" s="45" t="s">
        <v>6693</v>
      </c>
      <c r="D740" s="45" t="s">
        <v>6703</v>
      </c>
      <c r="E740" s="44"/>
      <c r="F740" s="37">
        <v>1</v>
      </c>
      <c r="G740" s="37" t="s">
        <v>6864</v>
      </c>
      <c r="H740" s="63">
        <v>23266.1</v>
      </c>
    </row>
    <row r="741" spans="1:8" ht="24.75" customHeight="1">
      <c r="A741" s="44" t="s">
        <v>1276</v>
      </c>
      <c r="B741" s="45" t="s">
        <v>4465</v>
      </c>
      <c r="C741" s="45" t="s">
        <v>6693</v>
      </c>
      <c r="D741" s="45" t="s">
        <v>6703</v>
      </c>
      <c r="E741" s="44"/>
      <c r="F741" s="37">
        <v>1</v>
      </c>
      <c r="G741" s="37" t="s">
        <v>6864</v>
      </c>
      <c r="H741" s="63">
        <v>23266.1</v>
      </c>
    </row>
    <row r="742" spans="1:8" ht="24.75" customHeight="1">
      <c r="A742" s="44" t="s">
        <v>2776</v>
      </c>
      <c r="B742" s="45" t="s">
        <v>5773</v>
      </c>
      <c r="C742" s="45" t="s">
        <v>6693</v>
      </c>
      <c r="D742" s="45" t="s">
        <v>6703</v>
      </c>
      <c r="E742" s="44" t="s">
        <v>6839</v>
      </c>
      <c r="F742" s="37">
        <v>1</v>
      </c>
      <c r="G742" s="37" t="s">
        <v>6864</v>
      </c>
      <c r="H742" s="63">
        <v>3517.8</v>
      </c>
    </row>
    <row r="743" spans="1:8" ht="24.75" customHeight="1">
      <c r="A743" s="44" t="s">
        <v>2777</v>
      </c>
      <c r="B743" s="45" t="s">
        <v>5774</v>
      </c>
      <c r="C743" s="45" t="s">
        <v>6693</v>
      </c>
      <c r="D743" s="45" t="s">
        <v>6703</v>
      </c>
      <c r="E743" s="44" t="s">
        <v>6839</v>
      </c>
      <c r="F743" s="37">
        <v>1</v>
      </c>
      <c r="G743" s="37" t="s">
        <v>6864</v>
      </c>
      <c r="H743" s="63">
        <v>3517.8</v>
      </c>
    </row>
    <row r="744" spans="1:8" ht="24.75" customHeight="1">
      <c r="A744" s="44" t="s">
        <v>298</v>
      </c>
      <c r="B744" s="45" t="s">
        <v>5641</v>
      </c>
      <c r="C744" s="45" t="s">
        <v>6693</v>
      </c>
      <c r="D744" s="45" t="s">
        <v>6703</v>
      </c>
      <c r="E744" s="44" t="s">
        <v>6839</v>
      </c>
      <c r="F744" s="37">
        <v>1</v>
      </c>
      <c r="G744" s="37" t="s">
        <v>6864</v>
      </c>
      <c r="H744" s="63">
        <v>3460.6</v>
      </c>
    </row>
    <row r="745" spans="1:8" ht="24.75" customHeight="1">
      <c r="A745" s="44" t="s">
        <v>297</v>
      </c>
      <c r="B745" s="45" t="s">
        <v>5640</v>
      </c>
      <c r="C745" s="45" t="s">
        <v>6693</v>
      </c>
      <c r="D745" s="45" t="s">
        <v>6703</v>
      </c>
      <c r="E745" s="44" t="s">
        <v>6839</v>
      </c>
      <c r="F745" s="37">
        <v>1</v>
      </c>
      <c r="G745" s="37" t="s">
        <v>6864</v>
      </c>
      <c r="H745" s="63">
        <v>3460.6</v>
      </c>
    </row>
    <row r="746" spans="1:8" ht="24.75" customHeight="1">
      <c r="A746" s="44" t="s">
        <v>300</v>
      </c>
      <c r="B746" s="45" t="s">
        <v>5643</v>
      </c>
      <c r="C746" s="45" t="s">
        <v>6693</v>
      </c>
      <c r="D746" s="45" t="s">
        <v>6703</v>
      </c>
      <c r="E746" s="44" t="s">
        <v>6839</v>
      </c>
      <c r="F746" s="37">
        <v>1</v>
      </c>
      <c r="G746" s="37" t="s">
        <v>6864</v>
      </c>
      <c r="H746" s="63">
        <v>3460.6</v>
      </c>
    </row>
    <row r="747" spans="1:8" ht="24.75" customHeight="1">
      <c r="A747" s="44" t="s">
        <v>299</v>
      </c>
      <c r="B747" s="45" t="s">
        <v>5642</v>
      </c>
      <c r="C747" s="45" t="s">
        <v>6693</v>
      </c>
      <c r="D747" s="45" t="s">
        <v>6703</v>
      </c>
      <c r="E747" s="44" t="s">
        <v>6839</v>
      </c>
      <c r="F747" s="37">
        <v>1</v>
      </c>
      <c r="G747" s="37" t="s">
        <v>6864</v>
      </c>
      <c r="H747" s="63">
        <v>3460.6</v>
      </c>
    </row>
    <row r="748" spans="1:8" ht="24.75" customHeight="1">
      <c r="A748" s="44" t="s">
        <v>890</v>
      </c>
      <c r="B748" s="45" t="s">
        <v>5633</v>
      </c>
      <c r="C748" s="45" t="s">
        <v>6693</v>
      </c>
      <c r="D748" s="45" t="s">
        <v>6703</v>
      </c>
      <c r="E748" s="44" t="s">
        <v>6839</v>
      </c>
      <c r="F748" s="37">
        <v>1</v>
      </c>
      <c r="G748" s="37" t="s">
        <v>6864</v>
      </c>
      <c r="H748" s="63">
        <v>3460.6</v>
      </c>
    </row>
    <row r="749" spans="1:8" ht="24.75" customHeight="1">
      <c r="A749" s="44" t="s">
        <v>889</v>
      </c>
      <c r="B749" s="45" t="s">
        <v>5632</v>
      </c>
      <c r="C749" s="45" t="s">
        <v>6693</v>
      </c>
      <c r="D749" s="45" t="s">
        <v>6703</v>
      </c>
      <c r="E749" s="44" t="s">
        <v>6839</v>
      </c>
      <c r="F749" s="37">
        <v>1</v>
      </c>
      <c r="G749" s="37" t="s">
        <v>6864</v>
      </c>
      <c r="H749" s="63">
        <v>3460.6</v>
      </c>
    </row>
    <row r="750" spans="1:8" ht="24.75" customHeight="1">
      <c r="A750" s="44" t="s">
        <v>892</v>
      </c>
      <c r="B750" s="45" t="s">
        <v>5635</v>
      </c>
      <c r="C750" s="45" t="s">
        <v>6693</v>
      </c>
      <c r="D750" s="45" t="s">
        <v>6703</v>
      </c>
      <c r="E750" s="44" t="s">
        <v>6839</v>
      </c>
      <c r="F750" s="37">
        <v>1</v>
      </c>
      <c r="G750" s="37" t="s">
        <v>6864</v>
      </c>
      <c r="H750" s="63">
        <v>3460.6</v>
      </c>
    </row>
    <row r="751" spans="1:8" ht="24.75" customHeight="1">
      <c r="A751" s="44" t="s">
        <v>891</v>
      </c>
      <c r="B751" s="45" t="s">
        <v>5634</v>
      </c>
      <c r="C751" s="45" t="s">
        <v>6693</v>
      </c>
      <c r="D751" s="45" t="s">
        <v>6703</v>
      </c>
      <c r="E751" s="44"/>
      <c r="F751" s="37">
        <v>1</v>
      </c>
      <c r="G751" s="37" t="s">
        <v>6864</v>
      </c>
      <c r="H751" s="63">
        <v>3460.6</v>
      </c>
    </row>
    <row r="752" spans="1:8" ht="24.75" customHeight="1">
      <c r="A752" s="44" t="s">
        <v>2496</v>
      </c>
      <c r="B752" s="45" t="s">
        <v>4863</v>
      </c>
      <c r="C752" s="45" t="s">
        <v>6693</v>
      </c>
      <c r="D752" s="45" t="s">
        <v>6704</v>
      </c>
      <c r="E752" s="44"/>
      <c r="F752" s="37">
        <v>1</v>
      </c>
      <c r="G752" s="37" t="s">
        <v>6864</v>
      </c>
      <c r="H752" s="63">
        <v>15057.9</v>
      </c>
    </row>
    <row r="753" spans="1:8" ht="24.75" customHeight="1">
      <c r="A753" s="44" t="s">
        <v>2497</v>
      </c>
      <c r="B753" s="45" t="s">
        <v>6380</v>
      </c>
      <c r="C753" s="45" t="s">
        <v>6693</v>
      </c>
      <c r="D753" s="45" t="s">
        <v>6705</v>
      </c>
      <c r="E753" s="44"/>
      <c r="F753" s="37">
        <v>1</v>
      </c>
      <c r="G753" s="37" t="s">
        <v>6864</v>
      </c>
      <c r="H753" s="63">
        <v>79107.600000000006</v>
      </c>
    </row>
    <row r="754" spans="1:8" ht="24.75" customHeight="1">
      <c r="A754" s="44" t="s">
        <v>1871</v>
      </c>
      <c r="B754" s="45" t="s">
        <v>5449</v>
      </c>
      <c r="C754" s="45" t="s">
        <v>6693</v>
      </c>
      <c r="D754" s="45" t="s">
        <v>6705</v>
      </c>
      <c r="E754" s="44"/>
      <c r="F754" s="37">
        <v>1</v>
      </c>
      <c r="G754" s="37" t="s">
        <v>6864</v>
      </c>
      <c r="H754" s="63">
        <v>130644.8</v>
      </c>
    </row>
    <row r="755" spans="1:8" ht="24.75" customHeight="1">
      <c r="A755" s="44" t="s">
        <v>1220</v>
      </c>
      <c r="B755" s="45" t="s">
        <v>5061</v>
      </c>
      <c r="C755" s="45" t="s">
        <v>6693</v>
      </c>
      <c r="D755" s="45" t="s">
        <v>6705</v>
      </c>
      <c r="E755" s="44"/>
      <c r="F755" s="37">
        <v>1</v>
      </c>
      <c r="G755" s="37" t="s">
        <v>6864</v>
      </c>
      <c r="H755" s="63">
        <v>111211.1</v>
      </c>
    </row>
    <row r="756" spans="1:8" ht="24.75" customHeight="1">
      <c r="A756" s="44" t="s">
        <v>84</v>
      </c>
      <c r="B756" s="45" t="s">
        <v>5198</v>
      </c>
      <c r="C756" s="45" t="s">
        <v>6693</v>
      </c>
      <c r="D756" s="45" t="s">
        <v>6705</v>
      </c>
      <c r="E756" s="44"/>
      <c r="F756" s="37">
        <v>1</v>
      </c>
      <c r="G756" s="37" t="s">
        <v>6864</v>
      </c>
      <c r="H756" s="63">
        <v>18003.7</v>
      </c>
    </row>
    <row r="757" spans="1:8" ht="24.75" customHeight="1">
      <c r="A757" s="44" t="s">
        <v>2498</v>
      </c>
      <c r="B757" s="45" t="s">
        <v>4433</v>
      </c>
      <c r="C757" s="45" t="s">
        <v>6693</v>
      </c>
      <c r="D757" s="45" t="s">
        <v>6705</v>
      </c>
      <c r="E757" s="44"/>
      <c r="F757" s="37">
        <v>1</v>
      </c>
      <c r="G757" s="37" t="s">
        <v>6864</v>
      </c>
      <c r="H757" s="63">
        <v>79107.600000000006</v>
      </c>
    </row>
    <row r="758" spans="1:8" ht="24.75" customHeight="1">
      <c r="A758" s="44" t="s">
        <v>2801</v>
      </c>
      <c r="B758" s="45" t="s">
        <v>5800</v>
      </c>
      <c r="C758" s="45" t="s">
        <v>6693</v>
      </c>
      <c r="D758" s="45" t="s">
        <v>6705</v>
      </c>
      <c r="E758" s="44"/>
      <c r="F758" s="37">
        <v>1</v>
      </c>
      <c r="G758" s="37" t="s">
        <v>6864</v>
      </c>
      <c r="H758" s="63">
        <v>24024</v>
      </c>
    </row>
    <row r="759" spans="1:8" ht="24.75" customHeight="1">
      <c r="A759" s="44" t="s">
        <v>2266</v>
      </c>
      <c r="B759" s="45" t="s">
        <v>5888</v>
      </c>
      <c r="C759" s="45" t="s">
        <v>6693</v>
      </c>
      <c r="D759" s="45" t="s">
        <v>6705</v>
      </c>
      <c r="E759" s="44"/>
      <c r="F759" s="37">
        <v>1</v>
      </c>
      <c r="G759" s="37" t="s">
        <v>6864</v>
      </c>
      <c r="H759" s="63">
        <v>88574.2</v>
      </c>
    </row>
    <row r="760" spans="1:8" ht="24.75" customHeight="1">
      <c r="A760" s="44" t="s">
        <v>2499</v>
      </c>
      <c r="B760" s="45" t="s">
        <v>4864</v>
      </c>
      <c r="C760" s="45" t="s">
        <v>6693</v>
      </c>
      <c r="D760" s="45" t="s">
        <v>6705</v>
      </c>
      <c r="E760" s="44"/>
      <c r="F760" s="37">
        <v>1</v>
      </c>
      <c r="G760" s="37" t="s">
        <v>6864</v>
      </c>
      <c r="H760" s="63">
        <v>79107.600000000006</v>
      </c>
    </row>
    <row r="761" spans="1:8" ht="24.75" customHeight="1">
      <c r="A761" s="44" t="s">
        <v>1870</v>
      </c>
      <c r="B761" s="45" t="s">
        <v>5448</v>
      </c>
      <c r="C761" s="45" t="s">
        <v>6693</v>
      </c>
      <c r="D761" s="45" t="s">
        <v>6705</v>
      </c>
      <c r="E761" s="44"/>
      <c r="F761" s="37">
        <v>1</v>
      </c>
      <c r="G761" s="37" t="s">
        <v>6864</v>
      </c>
      <c r="H761" s="63">
        <v>130644.8</v>
      </c>
    </row>
    <row r="762" spans="1:8" ht="24.75" customHeight="1">
      <c r="A762" s="44" t="s">
        <v>1221</v>
      </c>
      <c r="B762" s="45" t="s">
        <v>5065</v>
      </c>
      <c r="C762" s="45" t="s">
        <v>6693</v>
      </c>
      <c r="D762" s="45" t="s">
        <v>6705</v>
      </c>
      <c r="E762" s="44"/>
      <c r="F762" s="37">
        <v>1</v>
      </c>
      <c r="G762" s="37" t="s">
        <v>6864</v>
      </c>
      <c r="H762" s="63">
        <v>122622.5</v>
      </c>
    </row>
    <row r="763" spans="1:8" ht="24.75" customHeight="1">
      <c r="A763" s="44" t="s">
        <v>1872</v>
      </c>
      <c r="B763" s="45" t="s">
        <v>5450</v>
      </c>
      <c r="C763" s="45" t="s">
        <v>6693</v>
      </c>
      <c r="D763" s="45" t="s">
        <v>6705</v>
      </c>
      <c r="E763" s="44"/>
      <c r="F763" s="37">
        <v>1</v>
      </c>
      <c r="G763" s="37" t="s">
        <v>6864</v>
      </c>
      <c r="H763" s="63">
        <v>130644.8</v>
      </c>
    </row>
    <row r="764" spans="1:8" ht="24.75" customHeight="1">
      <c r="A764" s="44" t="s">
        <v>1222</v>
      </c>
      <c r="B764" s="45" t="s">
        <v>5069</v>
      </c>
      <c r="C764" s="45" t="s">
        <v>6693</v>
      </c>
      <c r="D764" s="45" t="s">
        <v>6705</v>
      </c>
      <c r="E764" s="44"/>
      <c r="F764" s="37">
        <v>1</v>
      </c>
      <c r="G764" s="37" t="s">
        <v>6864</v>
      </c>
      <c r="H764" s="63">
        <v>111211.1</v>
      </c>
    </row>
    <row r="765" spans="1:8" ht="24.75" customHeight="1">
      <c r="A765" s="44" t="s">
        <v>1873</v>
      </c>
      <c r="B765" s="45" t="s">
        <v>5451</v>
      </c>
      <c r="C765" s="45" t="s">
        <v>6693</v>
      </c>
      <c r="D765" s="45" t="s">
        <v>6705</v>
      </c>
      <c r="E765" s="44"/>
      <c r="F765" s="37">
        <v>1</v>
      </c>
      <c r="G765" s="37" t="s">
        <v>6864</v>
      </c>
      <c r="H765" s="63">
        <v>130644.8</v>
      </c>
    </row>
    <row r="766" spans="1:8" ht="24.75" customHeight="1">
      <c r="A766" s="44" t="s">
        <v>2500</v>
      </c>
      <c r="B766" s="45" t="s">
        <v>4434</v>
      </c>
      <c r="C766" s="45" t="s">
        <v>6693</v>
      </c>
      <c r="D766" s="45" t="s">
        <v>6705</v>
      </c>
      <c r="E766" s="44"/>
      <c r="F766" s="37">
        <v>1</v>
      </c>
      <c r="G766" s="37" t="s">
        <v>6864</v>
      </c>
      <c r="H766" s="63">
        <v>79107.600000000006</v>
      </c>
    </row>
    <row r="767" spans="1:8" ht="24.75" customHeight="1">
      <c r="A767" s="44" t="s">
        <v>1223</v>
      </c>
      <c r="B767" s="45" t="s">
        <v>5073</v>
      </c>
      <c r="C767" s="45" t="s">
        <v>6693</v>
      </c>
      <c r="D767" s="45" t="s">
        <v>6705</v>
      </c>
      <c r="E767" s="44"/>
      <c r="F767" s="37">
        <v>1</v>
      </c>
      <c r="G767" s="37" t="s">
        <v>6864</v>
      </c>
      <c r="H767" s="63">
        <v>111211.1</v>
      </c>
    </row>
    <row r="768" spans="1:8" ht="24.75" customHeight="1">
      <c r="A768" s="44" t="s">
        <v>812</v>
      </c>
      <c r="B768" s="45" t="s">
        <v>6052</v>
      </c>
      <c r="C768" s="45" t="s">
        <v>6693</v>
      </c>
      <c r="D768" s="45" t="s">
        <v>6705</v>
      </c>
      <c r="E768" s="44"/>
      <c r="F768" s="37">
        <v>1</v>
      </c>
      <c r="G768" s="37" t="s">
        <v>6864</v>
      </c>
      <c r="H768" s="63">
        <v>103017.2</v>
      </c>
    </row>
    <row r="769" spans="1:8" ht="24.75" customHeight="1">
      <c r="A769" s="44" t="s">
        <v>1070</v>
      </c>
      <c r="B769" s="45" t="s">
        <v>5979</v>
      </c>
      <c r="C769" s="45" t="s">
        <v>6693</v>
      </c>
      <c r="D769" s="45" t="s">
        <v>6706</v>
      </c>
      <c r="E769" s="44" t="s">
        <v>6839</v>
      </c>
      <c r="F769" s="37">
        <v>1</v>
      </c>
      <c r="G769" s="37" t="s">
        <v>6864</v>
      </c>
      <c r="H769" s="63">
        <v>13928.2</v>
      </c>
    </row>
    <row r="770" spans="1:8" ht="24.75" customHeight="1">
      <c r="A770" s="44" t="s">
        <v>1168</v>
      </c>
      <c r="B770" s="45" t="s">
        <v>5144</v>
      </c>
      <c r="C770" s="45" t="s">
        <v>6693</v>
      </c>
      <c r="D770" s="45" t="s">
        <v>6707</v>
      </c>
      <c r="E770" s="44"/>
      <c r="F770" s="37">
        <v>10</v>
      </c>
      <c r="G770" s="37" t="s">
        <v>2568</v>
      </c>
      <c r="H770" s="63">
        <v>2488.1999999999998</v>
      </c>
    </row>
    <row r="771" spans="1:8" ht="24.75" customHeight="1">
      <c r="A771" s="44" t="s">
        <v>1263</v>
      </c>
      <c r="B771" s="45" t="s">
        <v>4931</v>
      </c>
      <c r="C771" s="45" t="s">
        <v>6693</v>
      </c>
      <c r="D771" s="45" t="s">
        <v>6707</v>
      </c>
      <c r="E771" s="44" t="s">
        <v>6839</v>
      </c>
      <c r="F771" s="37">
        <v>100</v>
      </c>
      <c r="G771" s="37" t="s">
        <v>2568</v>
      </c>
      <c r="H771" s="63">
        <v>286</v>
      </c>
    </row>
    <row r="772" spans="1:8" ht="24.75" customHeight="1">
      <c r="A772" s="44" t="s">
        <v>898</v>
      </c>
      <c r="B772" s="45" t="s">
        <v>5137</v>
      </c>
      <c r="C772" s="45" t="s">
        <v>6693</v>
      </c>
      <c r="D772" s="45" t="s">
        <v>6707</v>
      </c>
      <c r="E772" s="44"/>
      <c r="F772" s="37">
        <v>5</v>
      </c>
      <c r="G772" s="37" t="s">
        <v>6864</v>
      </c>
      <c r="H772" s="63">
        <v>2545.4</v>
      </c>
    </row>
    <row r="773" spans="1:8" ht="24.75" customHeight="1">
      <c r="A773" s="44" t="s">
        <v>2504</v>
      </c>
      <c r="B773" s="45" t="s">
        <v>4868</v>
      </c>
      <c r="C773" s="45" t="s">
        <v>6693</v>
      </c>
      <c r="D773" s="45" t="s">
        <v>6707</v>
      </c>
      <c r="E773" s="44"/>
      <c r="F773" s="37">
        <v>10</v>
      </c>
      <c r="G773" s="37" t="s">
        <v>2568</v>
      </c>
      <c r="H773" s="63">
        <v>2674.1</v>
      </c>
    </row>
    <row r="774" spans="1:8" ht="24.75" customHeight="1">
      <c r="A774" s="44" t="s">
        <v>731</v>
      </c>
      <c r="B774" s="45" t="s">
        <v>6030</v>
      </c>
      <c r="C774" s="45" t="s">
        <v>6693</v>
      </c>
      <c r="D774" s="45" t="s">
        <v>6707</v>
      </c>
      <c r="E774" s="44"/>
      <c r="F774" s="37">
        <v>5</v>
      </c>
      <c r="G774" s="37" t="s">
        <v>6864</v>
      </c>
      <c r="H774" s="63">
        <v>2416.6999999999998</v>
      </c>
    </row>
    <row r="775" spans="1:8" ht="24.75" customHeight="1">
      <c r="A775" s="44" t="s">
        <v>1382</v>
      </c>
      <c r="B775" s="45" t="s">
        <v>4936</v>
      </c>
      <c r="C775" s="45" t="s">
        <v>6693</v>
      </c>
      <c r="D775" s="45" t="s">
        <v>6707</v>
      </c>
      <c r="E775" s="44" t="s">
        <v>6839</v>
      </c>
      <c r="F775" s="37">
        <v>100</v>
      </c>
      <c r="G775" s="37" t="s">
        <v>2568</v>
      </c>
      <c r="H775" s="63">
        <v>128.69999999999999</v>
      </c>
    </row>
    <row r="776" spans="1:8" ht="24.75" customHeight="1">
      <c r="A776" s="44" t="s">
        <v>1265</v>
      </c>
      <c r="B776" s="45" t="s">
        <v>4933</v>
      </c>
      <c r="C776" s="45" t="s">
        <v>6693</v>
      </c>
      <c r="D776" s="45" t="s">
        <v>6707</v>
      </c>
      <c r="E776" s="44" t="s">
        <v>6839</v>
      </c>
      <c r="F776" s="37">
        <v>100</v>
      </c>
      <c r="G776" s="37" t="s">
        <v>2568</v>
      </c>
      <c r="H776" s="63">
        <v>371.8</v>
      </c>
    </row>
    <row r="777" spans="1:8" ht="24.75" customHeight="1">
      <c r="A777" s="44" t="s">
        <v>2855</v>
      </c>
      <c r="B777" s="45" t="s">
        <v>5851</v>
      </c>
      <c r="C777" s="45" t="s">
        <v>6693</v>
      </c>
      <c r="D777" s="45" t="s">
        <v>6707</v>
      </c>
      <c r="E777" s="44" t="s">
        <v>6839</v>
      </c>
      <c r="F777" s="37">
        <v>10</v>
      </c>
      <c r="G777" s="37" t="s">
        <v>2568</v>
      </c>
      <c r="H777" s="63">
        <v>243.1</v>
      </c>
    </row>
    <row r="778" spans="1:8" ht="24.75" customHeight="1">
      <c r="A778" s="44" t="s">
        <v>2856</v>
      </c>
      <c r="B778" s="45" t="s">
        <v>5850</v>
      </c>
      <c r="C778" s="45" t="s">
        <v>6693</v>
      </c>
      <c r="D778" s="45" t="s">
        <v>6707</v>
      </c>
      <c r="E778" s="44" t="s">
        <v>6839</v>
      </c>
      <c r="F778" s="37">
        <v>10</v>
      </c>
      <c r="G778" s="37" t="s">
        <v>2568</v>
      </c>
      <c r="H778" s="63">
        <v>328.9</v>
      </c>
    </row>
    <row r="779" spans="1:8" ht="24.75" customHeight="1">
      <c r="A779" s="44" t="s">
        <v>2917</v>
      </c>
      <c r="B779" s="45" t="s">
        <v>6348</v>
      </c>
      <c r="C779" s="45" t="s">
        <v>6708</v>
      </c>
      <c r="D779" s="45" t="s">
        <v>6710</v>
      </c>
      <c r="E779" s="44" t="s">
        <v>6851</v>
      </c>
      <c r="F779" s="37">
        <v>1</v>
      </c>
      <c r="G779" s="37" t="s">
        <v>2568</v>
      </c>
      <c r="H779" s="63">
        <v>3789.5</v>
      </c>
    </row>
    <row r="780" spans="1:8" ht="24.75" customHeight="1">
      <c r="A780" s="44" t="s">
        <v>2915</v>
      </c>
      <c r="B780" s="45" t="s">
        <v>6079</v>
      </c>
      <c r="C780" s="45" t="s">
        <v>6708</v>
      </c>
      <c r="D780" s="45" t="s">
        <v>6710</v>
      </c>
      <c r="E780" s="44" t="s">
        <v>6851</v>
      </c>
      <c r="F780" s="37">
        <v>1</v>
      </c>
      <c r="G780" s="37" t="s">
        <v>2568</v>
      </c>
      <c r="H780" s="63">
        <v>3789.5</v>
      </c>
    </row>
    <row r="781" spans="1:8" ht="24.75" customHeight="1">
      <c r="A781" s="44" t="s">
        <v>2913</v>
      </c>
      <c r="B781" s="45" t="s">
        <v>6076</v>
      </c>
      <c r="C781" s="45" t="s">
        <v>6708</v>
      </c>
      <c r="D781" s="45" t="s">
        <v>6710</v>
      </c>
      <c r="E781" s="44" t="s">
        <v>6851</v>
      </c>
      <c r="F781" s="37">
        <v>1</v>
      </c>
      <c r="G781" s="37" t="s">
        <v>2568</v>
      </c>
      <c r="H781" s="63">
        <v>3789.5</v>
      </c>
    </row>
    <row r="782" spans="1:8" ht="24.75" customHeight="1">
      <c r="A782" s="44" t="s">
        <v>2914</v>
      </c>
      <c r="B782" s="45" t="s">
        <v>6087</v>
      </c>
      <c r="C782" s="45" t="s">
        <v>6708</v>
      </c>
      <c r="D782" s="45" t="s">
        <v>6710</v>
      </c>
      <c r="E782" s="44" t="s">
        <v>6851</v>
      </c>
      <c r="F782" s="37">
        <v>1</v>
      </c>
      <c r="G782" s="37" t="s">
        <v>2568</v>
      </c>
      <c r="H782" s="63">
        <v>3789.5</v>
      </c>
    </row>
    <row r="783" spans="1:8" ht="24.75" customHeight="1">
      <c r="A783" s="44" t="s">
        <v>2916</v>
      </c>
      <c r="B783" s="45" t="s">
        <v>6081</v>
      </c>
      <c r="C783" s="45" t="s">
        <v>6708</v>
      </c>
      <c r="D783" s="45" t="s">
        <v>6710</v>
      </c>
      <c r="E783" s="44" t="s">
        <v>6851</v>
      </c>
      <c r="F783" s="37">
        <v>1</v>
      </c>
      <c r="G783" s="37" t="s">
        <v>2568</v>
      </c>
      <c r="H783" s="63">
        <v>3789.5</v>
      </c>
    </row>
    <row r="784" spans="1:8" ht="24.75" customHeight="1">
      <c r="A784" s="44" t="s">
        <v>2918</v>
      </c>
      <c r="B784" s="45" t="s">
        <v>6077</v>
      </c>
      <c r="C784" s="45" t="s">
        <v>6708</v>
      </c>
      <c r="D784" s="45" t="s">
        <v>6710</v>
      </c>
      <c r="E784" s="44" t="s">
        <v>6851</v>
      </c>
      <c r="F784" s="37">
        <v>1</v>
      </c>
      <c r="G784" s="37" t="s">
        <v>2568</v>
      </c>
      <c r="H784" s="63">
        <v>3789.5</v>
      </c>
    </row>
    <row r="785" spans="1:8" ht="24.75" customHeight="1">
      <c r="A785" s="44" t="s">
        <v>2919</v>
      </c>
      <c r="B785" s="45" t="s">
        <v>6080</v>
      </c>
      <c r="C785" s="45" t="s">
        <v>6708</v>
      </c>
      <c r="D785" s="45" t="s">
        <v>6710</v>
      </c>
      <c r="E785" s="44" t="s">
        <v>6851</v>
      </c>
      <c r="F785" s="37">
        <v>1</v>
      </c>
      <c r="G785" s="37" t="s">
        <v>2568</v>
      </c>
      <c r="H785" s="63">
        <v>3789.5</v>
      </c>
    </row>
    <row r="786" spans="1:8" ht="24.75" customHeight="1">
      <c r="A786" s="44" t="s">
        <v>2920</v>
      </c>
      <c r="B786" s="45" t="s">
        <v>6078</v>
      </c>
      <c r="C786" s="45" t="s">
        <v>6708</v>
      </c>
      <c r="D786" s="45" t="s">
        <v>6710</v>
      </c>
      <c r="E786" s="44" t="s">
        <v>6851</v>
      </c>
      <c r="F786" s="37">
        <v>1</v>
      </c>
      <c r="G786" s="37" t="s">
        <v>2568</v>
      </c>
      <c r="H786" s="63">
        <v>18947.5</v>
      </c>
    </row>
    <row r="787" spans="1:8" ht="24.75" customHeight="1">
      <c r="A787" s="44" t="s">
        <v>2921</v>
      </c>
      <c r="B787" s="45" t="s">
        <v>6082</v>
      </c>
      <c r="C787" s="45" t="s">
        <v>6708</v>
      </c>
      <c r="D787" s="45" t="s">
        <v>6710</v>
      </c>
      <c r="E787" s="44" t="s">
        <v>6851</v>
      </c>
      <c r="F787" s="37">
        <v>1</v>
      </c>
      <c r="G787" s="37" t="s">
        <v>2568</v>
      </c>
      <c r="H787" s="63">
        <v>5705.7</v>
      </c>
    </row>
    <row r="788" spans="1:8" ht="24.75" customHeight="1">
      <c r="A788" s="44" t="s">
        <v>2924</v>
      </c>
      <c r="B788" s="45" t="s">
        <v>6086</v>
      </c>
      <c r="C788" s="45" t="s">
        <v>6708</v>
      </c>
      <c r="D788" s="45" t="s">
        <v>6711</v>
      </c>
      <c r="E788" s="44" t="s">
        <v>6860</v>
      </c>
      <c r="F788" s="37">
        <v>1</v>
      </c>
      <c r="G788" s="37" t="s">
        <v>2568</v>
      </c>
      <c r="H788" s="63">
        <v>18947.5</v>
      </c>
    </row>
    <row r="789" spans="1:8" ht="24.75" customHeight="1">
      <c r="A789" s="44" t="s">
        <v>2925</v>
      </c>
      <c r="B789" s="45" t="s">
        <v>6085</v>
      </c>
      <c r="C789" s="45" t="s">
        <v>6708</v>
      </c>
      <c r="D789" s="45" t="s">
        <v>6712</v>
      </c>
      <c r="E789" s="44" t="s">
        <v>6851</v>
      </c>
      <c r="F789" s="37">
        <v>1</v>
      </c>
      <c r="G789" s="37" t="s">
        <v>2568</v>
      </c>
      <c r="H789" s="63">
        <v>8980.4</v>
      </c>
    </row>
    <row r="790" spans="1:8" ht="24.75" customHeight="1">
      <c r="A790" s="44" t="s">
        <v>2922</v>
      </c>
      <c r="B790" s="45" t="s">
        <v>6084</v>
      </c>
      <c r="C790" s="45" t="s">
        <v>6708</v>
      </c>
      <c r="D790" s="45" t="s">
        <v>6712</v>
      </c>
      <c r="E790" s="44" t="s">
        <v>6851</v>
      </c>
      <c r="F790" s="37">
        <v>1</v>
      </c>
      <c r="G790" s="37" t="s">
        <v>2568</v>
      </c>
      <c r="H790" s="63">
        <v>14185.6</v>
      </c>
    </row>
    <row r="791" spans="1:8" ht="24.75" customHeight="1">
      <c r="A791" s="44" t="s">
        <v>2923</v>
      </c>
      <c r="B791" s="45" t="s">
        <v>6083</v>
      </c>
      <c r="C791" s="45" t="s">
        <v>6708</v>
      </c>
      <c r="D791" s="45" t="s">
        <v>6712</v>
      </c>
      <c r="E791" s="44" t="s">
        <v>6851</v>
      </c>
      <c r="F791" s="37">
        <v>1</v>
      </c>
      <c r="G791" s="37" t="s">
        <v>2568</v>
      </c>
      <c r="H791" s="63">
        <v>15143.7</v>
      </c>
    </row>
    <row r="792" spans="1:8" ht="24.75" customHeight="1">
      <c r="A792" s="44" t="s">
        <v>3078</v>
      </c>
      <c r="B792" s="45" t="s">
        <v>6356</v>
      </c>
      <c r="C792" s="45" t="s">
        <v>6708</v>
      </c>
      <c r="D792" s="45" t="s">
        <v>6713</v>
      </c>
      <c r="E792" s="44" t="s">
        <v>6836</v>
      </c>
      <c r="F792" s="37">
        <v>1</v>
      </c>
      <c r="G792" s="37" t="s">
        <v>2568</v>
      </c>
      <c r="H792" s="63">
        <v>28042.3</v>
      </c>
    </row>
    <row r="793" spans="1:8" ht="24.75" customHeight="1">
      <c r="A793" s="44" t="s">
        <v>3071</v>
      </c>
      <c r="B793" s="45" t="s">
        <v>6357</v>
      </c>
      <c r="C793" s="45" t="s">
        <v>6708</v>
      </c>
      <c r="D793" s="45" t="s">
        <v>6713</v>
      </c>
      <c r="E793" s="44" t="s">
        <v>6836</v>
      </c>
      <c r="F793" s="37">
        <v>1</v>
      </c>
      <c r="G793" s="37" t="s">
        <v>2568</v>
      </c>
      <c r="H793" s="63">
        <v>28042.3</v>
      </c>
    </row>
    <row r="794" spans="1:8" ht="24.75" customHeight="1">
      <c r="A794" s="44" t="s">
        <v>3083</v>
      </c>
      <c r="B794" s="45" t="s">
        <v>6358</v>
      </c>
      <c r="C794" s="45" t="s">
        <v>6708</v>
      </c>
      <c r="D794" s="45" t="s">
        <v>6713</v>
      </c>
      <c r="E794" s="44" t="s">
        <v>6836</v>
      </c>
      <c r="F794" s="37">
        <v>1</v>
      </c>
      <c r="G794" s="37" t="s">
        <v>2568</v>
      </c>
      <c r="H794" s="63">
        <v>28042.3</v>
      </c>
    </row>
    <row r="795" spans="1:8" ht="24.75" customHeight="1">
      <c r="A795" s="44" t="s">
        <v>3068</v>
      </c>
      <c r="B795" s="45" t="s">
        <v>6088</v>
      </c>
      <c r="C795" s="45" t="s">
        <v>6708</v>
      </c>
      <c r="D795" s="45" t="s">
        <v>6713</v>
      </c>
      <c r="E795" s="44" t="s">
        <v>6836</v>
      </c>
      <c r="F795" s="37">
        <v>1</v>
      </c>
      <c r="G795" s="37" t="s">
        <v>2568</v>
      </c>
      <c r="H795" s="63">
        <v>28042.3</v>
      </c>
    </row>
    <row r="796" spans="1:8" ht="24.75" customHeight="1">
      <c r="A796" s="44" t="s">
        <v>3069</v>
      </c>
      <c r="B796" s="45" t="s">
        <v>6089</v>
      </c>
      <c r="C796" s="45" t="s">
        <v>6708</v>
      </c>
      <c r="D796" s="45" t="s">
        <v>6713</v>
      </c>
      <c r="E796" s="44" t="s">
        <v>6836</v>
      </c>
      <c r="F796" s="37">
        <v>1</v>
      </c>
      <c r="G796" s="37" t="s">
        <v>2568</v>
      </c>
      <c r="H796" s="63">
        <v>28042.3</v>
      </c>
    </row>
    <row r="797" spans="1:8" ht="24.75" customHeight="1">
      <c r="A797" s="44" t="s">
        <v>3070</v>
      </c>
      <c r="B797" s="45" t="s">
        <v>6090</v>
      </c>
      <c r="C797" s="45" t="s">
        <v>6708</v>
      </c>
      <c r="D797" s="45" t="s">
        <v>6713</v>
      </c>
      <c r="E797" s="44" t="s">
        <v>6836</v>
      </c>
      <c r="F797" s="37">
        <v>1</v>
      </c>
      <c r="G797" s="37" t="s">
        <v>2568</v>
      </c>
      <c r="H797" s="63">
        <v>28042.3</v>
      </c>
    </row>
    <row r="798" spans="1:8" ht="24.75" customHeight="1">
      <c r="A798" s="44" t="s">
        <v>3082</v>
      </c>
      <c r="B798" s="45" t="s">
        <v>6101</v>
      </c>
      <c r="C798" s="45" t="s">
        <v>6708</v>
      </c>
      <c r="D798" s="45" t="s">
        <v>6713</v>
      </c>
      <c r="E798" s="44" t="s">
        <v>6836</v>
      </c>
      <c r="F798" s="37">
        <v>1</v>
      </c>
      <c r="G798" s="37" t="s">
        <v>2568</v>
      </c>
      <c r="H798" s="63">
        <v>28042.3</v>
      </c>
    </row>
    <row r="799" spans="1:8" ht="24.75" customHeight="1">
      <c r="A799" s="44" t="s">
        <v>3081</v>
      </c>
      <c r="B799" s="45" t="s">
        <v>6100</v>
      </c>
      <c r="C799" s="45" t="s">
        <v>6708</v>
      </c>
      <c r="D799" s="45" t="s">
        <v>6713</v>
      </c>
      <c r="E799" s="44" t="s">
        <v>6836</v>
      </c>
      <c r="F799" s="37">
        <v>1</v>
      </c>
      <c r="G799" s="37" t="s">
        <v>2568</v>
      </c>
      <c r="H799" s="63">
        <v>28042.3</v>
      </c>
    </row>
    <row r="800" spans="1:8" ht="24.75" customHeight="1">
      <c r="A800" s="44" t="s">
        <v>3154</v>
      </c>
      <c r="B800" s="45" t="s">
        <v>6097</v>
      </c>
      <c r="C800" s="45" t="s">
        <v>6708</v>
      </c>
      <c r="D800" s="45" t="s">
        <v>6713</v>
      </c>
      <c r="E800" s="44" t="s">
        <v>6836</v>
      </c>
      <c r="F800" s="37">
        <v>1</v>
      </c>
      <c r="G800" s="37" t="s">
        <v>2568</v>
      </c>
      <c r="H800" s="63">
        <v>26226.2</v>
      </c>
    </row>
    <row r="801" spans="1:8" ht="24.75" customHeight="1">
      <c r="A801" s="44" t="s">
        <v>3077</v>
      </c>
      <c r="B801" s="45" t="s">
        <v>6096</v>
      </c>
      <c r="C801" s="45" t="s">
        <v>6708</v>
      </c>
      <c r="D801" s="45" t="s">
        <v>6713</v>
      </c>
      <c r="E801" s="44" t="s">
        <v>6836</v>
      </c>
      <c r="F801" s="37">
        <v>1</v>
      </c>
      <c r="G801" s="37" t="s">
        <v>2568</v>
      </c>
      <c r="H801" s="63">
        <v>28042.3</v>
      </c>
    </row>
    <row r="802" spans="1:8" ht="24.75" customHeight="1">
      <c r="A802" s="44" t="s">
        <v>3079</v>
      </c>
      <c r="B802" s="45" t="s">
        <v>6098</v>
      </c>
      <c r="C802" s="45" t="s">
        <v>6708</v>
      </c>
      <c r="D802" s="45" t="s">
        <v>6713</v>
      </c>
      <c r="E802" s="44" t="s">
        <v>6836</v>
      </c>
      <c r="F802" s="37">
        <v>1</v>
      </c>
      <c r="G802" s="37" t="s">
        <v>2568</v>
      </c>
      <c r="H802" s="63">
        <v>28042.3</v>
      </c>
    </row>
    <row r="803" spans="1:8" ht="24.75" customHeight="1">
      <c r="A803" s="44" t="s">
        <v>3080</v>
      </c>
      <c r="B803" s="45" t="s">
        <v>6099</v>
      </c>
      <c r="C803" s="45" t="s">
        <v>6708</v>
      </c>
      <c r="D803" s="45" t="s">
        <v>6713</v>
      </c>
      <c r="E803" s="44" t="s">
        <v>6836</v>
      </c>
      <c r="F803" s="37">
        <v>1</v>
      </c>
      <c r="G803" s="37" t="s">
        <v>2568</v>
      </c>
      <c r="H803" s="63">
        <v>28042.3</v>
      </c>
    </row>
    <row r="804" spans="1:8" ht="24.75" customHeight="1">
      <c r="A804" s="44" t="s">
        <v>3074</v>
      </c>
      <c r="B804" s="45" t="s">
        <v>6093</v>
      </c>
      <c r="C804" s="45" t="s">
        <v>6708</v>
      </c>
      <c r="D804" s="45" t="s">
        <v>6713</v>
      </c>
      <c r="E804" s="44" t="s">
        <v>6836</v>
      </c>
      <c r="F804" s="37">
        <v>1</v>
      </c>
      <c r="G804" s="37" t="s">
        <v>2568</v>
      </c>
      <c r="H804" s="63">
        <v>28042.3</v>
      </c>
    </row>
    <row r="805" spans="1:8" ht="24.75" customHeight="1">
      <c r="A805" s="44" t="s">
        <v>3072</v>
      </c>
      <c r="B805" s="45" t="s">
        <v>6091</v>
      </c>
      <c r="C805" s="45" t="s">
        <v>6708</v>
      </c>
      <c r="D805" s="45" t="s">
        <v>6713</v>
      </c>
      <c r="E805" s="44" t="s">
        <v>6836</v>
      </c>
      <c r="F805" s="37">
        <v>1</v>
      </c>
      <c r="G805" s="37" t="s">
        <v>2568</v>
      </c>
      <c r="H805" s="63">
        <v>28042.3</v>
      </c>
    </row>
    <row r="806" spans="1:8" ht="24.75" customHeight="1">
      <c r="A806" s="44" t="s">
        <v>3076</v>
      </c>
      <c r="B806" s="45" t="s">
        <v>6095</v>
      </c>
      <c r="C806" s="45" t="s">
        <v>6708</v>
      </c>
      <c r="D806" s="45" t="s">
        <v>6713</v>
      </c>
      <c r="E806" s="44" t="s">
        <v>6836</v>
      </c>
      <c r="F806" s="37">
        <v>1</v>
      </c>
      <c r="G806" s="37" t="s">
        <v>2568</v>
      </c>
      <c r="H806" s="63">
        <v>28042.3</v>
      </c>
    </row>
    <row r="807" spans="1:8" ht="24.75" customHeight="1">
      <c r="A807" s="44" t="s">
        <v>3075</v>
      </c>
      <c r="B807" s="45" t="s">
        <v>6094</v>
      </c>
      <c r="C807" s="45" t="s">
        <v>6708</v>
      </c>
      <c r="D807" s="45" t="s">
        <v>6713</v>
      </c>
      <c r="E807" s="44" t="s">
        <v>6836</v>
      </c>
      <c r="F807" s="37">
        <v>1</v>
      </c>
      <c r="G807" s="37" t="s">
        <v>2568</v>
      </c>
      <c r="H807" s="63">
        <v>28042.3</v>
      </c>
    </row>
    <row r="808" spans="1:8" ht="24.75" customHeight="1">
      <c r="A808" s="44" t="s">
        <v>3073</v>
      </c>
      <c r="B808" s="45" t="s">
        <v>6092</v>
      </c>
      <c r="C808" s="45" t="s">
        <v>6708</v>
      </c>
      <c r="D808" s="45" t="s">
        <v>6713</v>
      </c>
      <c r="E808" s="44" t="s">
        <v>6836</v>
      </c>
      <c r="F808" s="37">
        <v>1</v>
      </c>
      <c r="G808" s="37" t="s">
        <v>2568</v>
      </c>
      <c r="H808" s="63">
        <v>28042.3</v>
      </c>
    </row>
    <row r="809" spans="1:8" ht="24.75" customHeight="1">
      <c r="A809" s="44" t="s">
        <v>3140</v>
      </c>
      <c r="B809" s="45" t="s">
        <v>6374</v>
      </c>
      <c r="C809" s="45" t="s">
        <v>6708</v>
      </c>
      <c r="D809" s="45" t="s">
        <v>6714</v>
      </c>
      <c r="E809" s="44" t="s">
        <v>6843</v>
      </c>
      <c r="F809" s="37">
        <v>1</v>
      </c>
      <c r="G809" s="37" t="s">
        <v>6864</v>
      </c>
      <c r="H809" s="63">
        <v>6892.6</v>
      </c>
    </row>
    <row r="810" spans="1:8" ht="24.75" customHeight="1">
      <c r="A810" s="44" t="s">
        <v>3026</v>
      </c>
      <c r="B810" s="45" t="s">
        <v>4301</v>
      </c>
      <c r="C810" s="45" t="s">
        <v>6708</v>
      </c>
      <c r="D810" s="45" t="s">
        <v>6714</v>
      </c>
      <c r="E810" s="44" t="s">
        <v>6843</v>
      </c>
      <c r="F810" s="37">
        <v>1</v>
      </c>
      <c r="G810" s="37" t="s">
        <v>6864</v>
      </c>
      <c r="H810" s="63">
        <v>6892.6</v>
      </c>
    </row>
    <row r="811" spans="1:8" ht="24.75" customHeight="1">
      <c r="A811" s="44" t="s">
        <v>3016</v>
      </c>
      <c r="B811" s="45" t="s">
        <v>4290</v>
      </c>
      <c r="C811" s="45" t="s">
        <v>6708</v>
      </c>
      <c r="D811" s="45" t="s">
        <v>6714</v>
      </c>
      <c r="E811" s="44" t="s">
        <v>6843</v>
      </c>
      <c r="F811" s="37">
        <v>1</v>
      </c>
      <c r="G811" s="37" t="s">
        <v>6864</v>
      </c>
      <c r="H811" s="63">
        <v>6892.6</v>
      </c>
    </row>
    <row r="812" spans="1:8" ht="24.75" customHeight="1">
      <c r="A812" s="44" t="s">
        <v>3030</v>
      </c>
      <c r="B812" s="45" t="s">
        <v>4308</v>
      </c>
      <c r="C812" s="45" t="s">
        <v>6708</v>
      </c>
      <c r="D812" s="45" t="s">
        <v>6714</v>
      </c>
      <c r="E812" s="44" t="s">
        <v>6843</v>
      </c>
      <c r="F812" s="37">
        <v>1</v>
      </c>
      <c r="G812" s="37" t="s">
        <v>6864</v>
      </c>
      <c r="H812" s="63">
        <v>6892.6</v>
      </c>
    </row>
    <row r="813" spans="1:8" ht="24.75" customHeight="1">
      <c r="A813" s="44" t="s">
        <v>3000</v>
      </c>
      <c r="B813" s="45" t="s">
        <v>4328</v>
      </c>
      <c r="C813" s="45" t="s">
        <v>6708</v>
      </c>
      <c r="D813" s="45" t="s">
        <v>6714</v>
      </c>
      <c r="E813" s="44" t="s">
        <v>6843</v>
      </c>
      <c r="F813" s="37">
        <v>1</v>
      </c>
      <c r="G813" s="37" t="s">
        <v>6864</v>
      </c>
      <c r="H813" s="63">
        <v>6892.6</v>
      </c>
    </row>
    <row r="814" spans="1:8" ht="24.75" customHeight="1">
      <c r="A814" s="44" t="s">
        <v>3029</v>
      </c>
      <c r="B814" s="45" t="s">
        <v>4305</v>
      </c>
      <c r="C814" s="45" t="s">
        <v>6708</v>
      </c>
      <c r="D814" s="45" t="s">
        <v>6714</v>
      </c>
      <c r="E814" s="44" t="s">
        <v>6843</v>
      </c>
      <c r="F814" s="37">
        <v>1</v>
      </c>
      <c r="G814" s="37" t="s">
        <v>6864</v>
      </c>
      <c r="H814" s="63">
        <v>6892.6</v>
      </c>
    </row>
    <row r="815" spans="1:8" ht="24.75" customHeight="1">
      <c r="A815" s="44" t="s">
        <v>2987</v>
      </c>
      <c r="B815" s="45" t="s">
        <v>4282</v>
      </c>
      <c r="C815" s="45" t="s">
        <v>6708</v>
      </c>
      <c r="D815" s="45" t="s">
        <v>6714</v>
      </c>
      <c r="E815" s="44" t="s">
        <v>6843</v>
      </c>
      <c r="F815" s="37">
        <v>1</v>
      </c>
      <c r="G815" s="37" t="s">
        <v>6864</v>
      </c>
      <c r="H815" s="63">
        <v>6892.6</v>
      </c>
    </row>
    <row r="816" spans="1:8" ht="24.75" customHeight="1">
      <c r="A816" s="44" t="s">
        <v>3142</v>
      </c>
      <c r="B816" s="45" t="s">
        <v>4293</v>
      </c>
      <c r="C816" s="45" t="s">
        <v>6708</v>
      </c>
      <c r="D816" s="45" t="s">
        <v>6714</v>
      </c>
      <c r="E816" s="44" t="s">
        <v>6843</v>
      </c>
      <c r="F816" s="37">
        <v>1</v>
      </c>
      <c r="G816" s="37" t="s">
        <v>6864</v>
      </c>
      <c r="H816" s="63">
        <v>6892.6</v>
      </c>
    </row>
    <row r="817" spans="1:8" ht="24.75" customHeight="1">
      <c r="A817" s="44" t="s">
        <v>3039</v>
      </c>
      <c r="B817" s="45" t="s">
        <v>4322</v>
      </c>
      <c r="C817" s="45" t="s">
        <v>6708</v>
      </c>
      <c r="D817" s="45" t="s">
        <v>6714</v>
      </c>
      <c r="E817" s="44" t="s">
        <v>6843</v>
      </c>
      <c r="F817" s="37">
        <v>1</v>
      </c>
      <c r="G817" s="37" t="s">
        <v>6864</v>
      </c>
      <c r="H817" s="63">
        <v>6892.6</v>
      </c>
    </row>
    <row r="818" spans="1:8" ht="24.75" customHeight="1">
      <c r="A818" s="44" t="s">
        <v>2988</v>
      </c>
      <c r="B818" s="45" t="s">
        <v>4287</v>
      </c>
      <c r="C818" s="45" t="s">
        <v>6708</v>
      </c>
      <c r="D818" s="45" t="s">
        <v>6714</v>
      </c>
      <c r="E818" s="44" t="s">
        <v>6843</v>
      </c>
      <c r="F818" s="37">
        <v>1</v>
      </c>
      <c r="G818" s="37" t="s">
        <v>6864</v>
      </c>
      <c r="H818" s="63">
        <v>6892.6</v>
      </c>
    </row>
    <row r="819" spans="1:8" ht="24.75" customHeight="1">
      <c r="A819" s="44" t="s">
        <v>2999</v>
      </c>
      <c r="B819" s="45" t="s">
        <v>4327</v>
      </c>
      <c r="C819" s="45" t="s">
        <v>6708</v>
      </c>
      <c r="D819" s="45" t="s">
        <v>6714</v>
      </c>
      <c r="E819" s="44" t="s">
        <v>6843</v>
      </c>
      <c r="F819" s="37">
        <v>1</v>
      </c>
      <c r="G819" s="37" t="s">
        <v>6864</v>
      </c>
      <c r="H819" s="63">
        <v>6892.6</v>
      </c>
    </row>
    <row r="820" spans="1:8" ht="24.75" customHeight="1">
      <c r="A820" s="44" t="s">
        <v>3139</v>
      </c>
      <c r="B820" s="45" t="s">
        <v>4279</v>
      </c>
      <c r="C820" s="45" t="s">
        <v>6708</v>
      </c>
      <c r="D820" s="45" t="s">
        <v>6714</v>
      </c>
      <c r="E820" s="44" t="s">
        <v>6843</v>
      </c>
      <c r="F820" s="37">
        <v>1</v>
      </c>
      <c r="G820" s="37" t="s">
        <v>6864</v>
      </c>
      <c r="H820" s="63">
        <v>6892.6</v>
      </c>
    </row>
    <row r="821" spans="1:8" ht="24.75" customHeight="1">
      <c r="A821" s="44" t="s">
        <v>2995</v>
      </c>
      <c r="B821" s="45" t="s">
        <v>4323</v>
      </c>
      <c r="C821" s="45" t="s">
        <v>6708</v>
      </c>
      <c r="D821" s="45" t="s">
        <v>6714</v>
      </c>
      <c r="E821" s="44" t="s">
        <v>6843</v>
      </c>
      <c r="F821" s="37">
        <v>1</v>
      </c>
      <c r="G821" s="37" t="s">
        <v>6864</v>
      </c>
      <c r="H821" s="63">
        <v>6892.6</v>
      </c>
    </row>
    <row r="822" spans="1:8" ht="24.75" customHeight="1">
      <c r="A822" s="44" t="s">
        <v>3007</v>
      </c>
      <c r="B822" s="45" t="s">
        <v>4277</v>
      </c>
      <c r="C822" s="45" t="s">
        <v>6708</v>
      </c>
      <c r="D822" s="45" t="s">
        <v>6714</v>
      </c>
      <c r="E822" s="44" t="s">
        <v>6843</v>
      </c>
      <c r="F822" s="37">
        <v>1</v>
      </c>
      <c r="G822" s="37" t="s">
        <v>6864</v>
      </c>
      <c r="H822" s="63">
        <v>6892.6</v>
      </c>
    </row>
    <row r="823" spans="1:8" ht="24.75" customHeight="1">
      <c r="A823" s="44" t="s">
        <v>2991</v>
      </c>
      <c r="B823" s="45" t="s">
        <v>4312</v>
      </c>
      <c r="C823" s="45" t="s">
        <v>6708</v>
      </c>
      <c r="D823" s="45" t="s">
        <v>6714</v>
      </c>
      <c r="E823" s="44" t="s">
        <v>6843</v>
      </c>
      <c r="F823" s="37">
        <v>1</v>
      </c>
      <c r="G823" s="37" t="s">
        <v>6864</v>
      </c>
      <c r="H823" s="63">
        <v>6892.6</v>
      </c>
    </row>
    <row r="824" spans="1:8" ht="24.75" customHeight="1">
      <c r="A824" s="44" t="s">
        <v>3002</v>
      </c>
      <c r="B824" s="45" t="s">
        <v>4272</v>
      </c>
      <c r="C824" s="45" t="s">
        <v>6708</v>
      </c>
      <c r="D824" s="45" t="s">
        <v>6714</v>
      </c>
      <c r="E824" s="44" t="s">
        <v>6843</v>
      </c>
      <c r="F824" s="37">
        <v>1</v>
      </c>
      <c r="G824" s="37" t="s">
        <v>6864</v>
      </c>
      <c r="H824" s="63">
        <v>6892.6</v>
      </c>
    </row>
    <row r="825" spans="1:8" ht="24.75" customHeight="1">
      <c r="A825" s="44" t="s">
        <v>3003</v>
      </c>
      <c r="B825" s="45" t="s">
        <v>4273</v>
      </c>
      <c r="C825" s="45" t="s">
        <v>6708</v>
      </c>
      <c r="D825" s="45" t="s">
        <v>6714</v>
      </c>
      <c r="E825" s="44" t="s">
        <v>6843</v>
      </c>
      <c r="F825" s="37">
        <v>1</v>
      </c>
      <c r="G825" s="37" t="s">
        <v>6864</v>
      </c>
      <c r="H825" s="63">
        <v>6892.6</v>
      </c>
    </row>
    <row r="826" spans="1:8" ht="24.75" customHeight="1">
      <c r="A826" s="44" t="s">
        <v>3144</v>
      </c>
      <c r="B826" s="45" t="s">
        <v>4307</v>
      </c>
      <c r="C826" s="45" t="s">
        <v>6708</v>
      </c>
      <c r="D826" s="45" t="s">
        <v>6714</v>
      </c>
      <c r="E826" s="44" t="s">
        <v>6843</v>
      </c>
      <c r="F826" s="37">
        <v>1</v>
      </c>
      <c r="G826" s="37" t="s">
        <v>6864</v>
      </c>
      <c r="H826" s="63">
        <v>6892.6</v>
      </c>
    </row>
    <row r="827" spans="1:8" ht="24.75" customHeight="1">
      <c r="A827" s="44" t="s">
        <v>3017</v>
      </c>
      <c r="B827" s="45" t="s">
        <v>4291</v>
      </c>
      <c r="C827" s="45" t="s">
        <v>6708</v>
      </c>
      <c r="D827" s="45" t="s">
        <v>6714</v>
      </c>
      <c r="E827" s="44" t="s">
        <v>6843</v>
      </c>
      <c r="F827" s="37">
        <v>1</v>
      </c>
      <c r="G827" s="37" t="s">
        <v>6864</v>
      </c>
      <c r="H827" s="63">
        <v>6892.6</v>
      </c>
    </row>
    <row r="828" spans="1:8" ht="24.75" customHeight="1">
      <c r="A828" s="44" t="s">
        <v>3004</v>
      </c>
      <c r="B828" s="45" t="s">
        <v>4274</v>
      </c>
      <c r="C828" s="45" t="s">
        <v>6708</v>
      </c>
      <c r="D828" s="45" t="s">
        <v>6714</v>
      </c>
      <c r="E828" s="44" t="s">
        <v>6843</v>
      </c>
      <c r="F828" s="37">
        <v>1</v>
      </c>
      <c r="G828" s="37" t="s">
        <v>6864</v>
      </c>
      <c r="H828" s="63">
        <v>6892.6</v>
      </c>
    </row>
    <row r="829" spans="1:8" ht="24.75" customHeight="1">
      <c r="A829" s="44" t="s">
        <v>3012</v>
      </c>
      <c r="B829" s="45" t="s">
        <v>4284</v>
      </c>
      <c r="C829" s="45" t="s">
        <v>6708</v>
      </c>
      <c r="D829" s="45" t="s">
        <v>6714</v>
      </c>
      <c r="E829" s="44" t="s">
        <v>6843</v>
      </c>
      <c r="F829" s="37">
        <v>1</v>
      </c>
      <c r="G829" s="37" t="s">
        <v>6864</v>
      </c>
      <c r="H829" s="63">
        <v>6892.6</v>
      </c>
    </row>
    <row r="830" spans="1:8" ht="24.75" customHeight="1">
      <c r="A830" s="44" t="s">
        <v>3143</v>
      </c>
      <c r="B830" s="45" t="s">
        <v>4306</v>
      </c>
      <c r="C830" s="45" t="s">
        <v>6708</v>
      </c>
      <c r="D830" s="45" t="s">
        <v>6714</v>
      </c>
      <c r="E830" s="44" t="s">
        <v>6843</v>
      </c>
      <c r="F830" s="37">
        <v>1</v>
      </c>
      <c r="G830" s="37" t="s">
        <v>6864</v>
      </c>
      <c r="H830" s="63">
        <v>6892.6</v>
      </c>
    </row>
    <row r="831" spans="1:8" ht="24.75" customHeight="1">
      <c r="A831" s="44" t="s">
        <v>3038</v>
      </c>
      <c r="B831" s="45" t="s">
        <v>4320</v>
      </c>
      <c r="C831" s="45" t="s">
        <v>6708</v>
      </c>
      <c r="D831" s="45" t="s">
        <v>6714</v>
      </c>
      <c r="E831" s="44" t="s">
        <v>6843</v>
      </c>
      <c r="F831" s="37">
        <v>1</v>
      </c>
      <c r="G831" s="37" t="s">
        <v>6864</v>
      </c>
      <c r="H831" s="63">
        <v>6892.6</v>
      </c>
    </row>
    <row r="832" spans="1:8" ht="24.75" customHeight="1">
      <c r="A832" s="44" t="s">
        <v>3010</v>
      </c>
      <c r="B832" s="45" t="s">
        <v>4281</v>
      </c>
      <c r="C832" s="45" t="s">
        <v>6708</v>
      </c>
      <c r="D832" s="45" t="s">
        <v>6714</v>
      </c>
      <c r="E832" s="44" t="s">
        <v>6843</v>
      </c>
      <c r="F832" s="37">
        <v>1</v>
      </c>
      <c r="G832" s="37" t="s">
        <v>6864</v>
      </c>
      <c r="H832" s="63">
        <v>6892.6</v>
      </c>
    </row>
    <row r="833" spans="1:8" ht="24.75" customHeight="1">
      <c r="A833" s="44" t="s">
        <v>3014</v>
      </c>
      <c r="B833" s="45" t="s">
        <v>4288</v>
      </c>
      <c r="C833" s="45" t="s">
        <v>6708</v>
      </c>
      <c r="D833" s="45" t="s">
        <v>6714</v>
      </c>
      <c r="E833" s="44" t="s">
        <v>6843</v>
      </c>
      <c r="F833" s="37">
        <v>1</v>
      </c>
      <c r="G833" s="37" t="s">
        <v>6864</v>
      </c>
      <c r="H833" s="63">
        <v>6892.6</v>
      </c>
    </row>
    <row r="834" spans="1:8" ht="24.75" customHeight="1">
      <c r="A834" s="44" t="s">
        <v>3013</v>
      </c>
      <c r="B834" s="45" t="s">
        <v>4286</v>
      </c>
      <c r="C834" s="45" t="s">
        <v>6708</v>
      </c>
      <c r="D834" s="45" t="s">
        <v>6714</v>
      </c>
      <c r="E834" s="44" t="s">
        <v>6843</v>
      </c>
      <c r="F834" s="37">
        <v>1</v>
      </c>
      <c r="G834" s="37" t="s">
        <v>6864</v>
      </c>
      <c r="H834" s="63">
        <v>6892.6</v>
      </c>
    </row>
    <row r="835" spans="1:8" ht="24.75" customHeight="1">
      <c r="A835" s="44" t="s">
        <v>3031</v>
      </c>
      <c r="B835" s="45" t="s">
        <v>4309</v>
      </c>
      <c r="C835" s="45" t="s">
        <v>6708</v>
      </c>
      <c r="D835" s="45" t="s">
        <v>6714</v>
      </c>
      <c r="E835" s="44" t="s">
        <v>6843</v>
      </c>
      <c r="F835" s="37">
        <v>1</v>
      </c>
      <c r="G835" s="37" t="s">
        <v>6864</v>
      </c>
      <c r="H835" s="63">
        <v>6892.6</v>
      </c>
    </row>
    <row r="836" spans="1:8" ht="24.75" customHeight="1">
      <c r="A836" s="44" t="s">
        <v>2992</v>
      </c>
      <c r="B836" s="45" t="s">
        <v>4318</v>
      </c>
      <c r="C836" s="45" t="s">
        <v>6708</v>
      </c>
      <c r="D836" s="45" t="s">
        <v>6714</v>
      </c>
      <c r="E836" s="44" t="s">
        <v>6843</v>
      </c>
      <c r="F836" s="37">
        <v>1</v>
      </c>
      <c r="G836" s="37" t="s">
        <v>6864</v>
      </c>
      <c r="H836" s="63">
        <v>6892.6</v>
      </c>
    </row>
    <row r="837" spans="1:8" ht="24.75" customHeight="1">
      <c r="A837" s="44" t="s">
        <v>3008</v>
      </c>
      <c r="B837" s="45" t="s">
        <v>4278</v>
      </c>
      <c r="C837" s="45" t="s">
        <v>6708</v>
      </c>
      <c r="D837" s="45" t="s">
        <v>6714</v>
      </c>
      <c r="E837" s="44" t="s">
        <v>6843</v>
      </c>
      <c r="F837" s="37">
        <v>1</v>
      </c>
      <c r="G837" s="37" t="s">
        <v>6864</v>
      </c>
      <c r="H837" s="63">
        <v>6892.6</v>
      </c>
    </row>
    <row r="838" spans="1:8" ht="24.75" customHeight="1">
      <c r="A838" s="44" t="s">
        <v>3033</v>
      </c>
      <c r="B838" s="45" t="s">
        <v>4313</v>
      </c>
      <c r="C838" s="45" t="s">
        <v>6708</v>
      </c>
      <c r="D838" s="45" t="s">
        <v>6714</v>
      </c>
      <c r="E838" s="44" t="s">
        <v>6843</v>
      </c>
      <c r="F838" s="37">
        <v>1</v>
      </c>
      <c r="G838" s="37" t="s">
        <v>6864</v>
      </c>
      <c r="H838" s="63">
        <v>6892.6</v>
      </c>
    </row>
    <row r="839" spans="1:8" ht="24.75" customHeight="1">
      <c r="A839" s="44" t="s">
        <v>3034</v>
      </c>
      <c r="B839" s="45" t="s">
        <v>4314</v>
      </c>
      <c r="C839" s="45" t="s">
        <v>6708</v>
      </c>
      <c r="D839" s="45" t="s">
        <v>6714</v>
      </c>
      <c r="E839" s="44" t="s">
        <v>6843</v>
      </c>
      <c r="F839" s="37">
        <v>1</v>
      </c>
      <c r="G839" s="37" t="s">
        <v>6864</v>
      </c>
      <c r="H839" s="63">
        <v>6892.6</v>
      </c>
    </row>
    <row r="840" spans="1:8" ht="24.75" customHeight="1">
      <c r="A840" s="44" t="s">
        <v>3024</v>
      </c>
      <c r="B840" s="45" t="s">
        <v>4299</v>
      </c>
      <c r="C840" s="45" t="s">
        <v>6708</v>
      </c>
      <c r="D840" s="45" t="s">
        <v>6714</v>
      </c>
      <c r="E840" s="44" t="s">
        <v>6843</v>
      </c>
      <c r="F840" s="37">
        <v>1</v>
      </c>
      <c r="G840" s="37" t="s">
        <v>6864</v>
      </c>
      <c r="H840" s="63">
        <v>6892.6</v>
      </c>
    </row>
    <row r="841" spans="1:8" ht="24.75" customHeight="1">
      <c r="A841" s="44" t="s">
        <v>2990</v>
      </c>
      <c r="B841" s="45" t="s">
        <v>4304</v>
      </c>
      <c r="C841" s="45" t="s">
        <v>6708</v>
      </c>
      <c r="D841" s="45" t="s">
        <v>6714</v>
      </c>
      <c r="E841" s="44" t="s">
        <v>6843</v>
      </c>
      <c r="F841" s="37">
        <v>1</v>
      </c>
      <c r="G841" s="37" t="s">
        <v>6864</v>
      </c>
      <c r="H841" s="63">
        <v>6892.6</v>
      </c>
    </row>
    <row r="842" spans="1:8" ht="24.75" customHeight="1">
      <c r="A842" s="44" t="s">
        <v>3009</v>
      </c>
      <c r="B842" s="45" t="s">
        <v>4280</v>
      </c>
      <c r="C842" s="45" t="s">
        <v>6708</v>
      </c>
      <c r="D842" s="45" t="s">
        <v>6714</v>
      </c>
      <c r="E842" s="44" t="s">
        <v>6843</v>
      </c>
      <c r="F842" s="37">
        <v>1</v>
      </c>
      <c r="G842" s="37" t="s">
        <v>6864</v>
      </c>
      <c r="H842" s="63">
        <v>6892.6</v>
      </c>
    </row>
    <row r="843" spans="1:8" ht="24.75" customHeight="1">
      <c r="A843" s="44" t="s">
        <v>3145</v>
      </c>
      <c r="B843" s="45" t="s">
        <v>4310</v>
      </c>
      <c r="C843" s="45" t="s">
        <v>6708</v>
      </c>
      <c r="D843" s="45" t="s">
        <v>6714</v>
      </c>
      <c r="E843" s="44" t="s">
        <v>6843</v>
      </c>
      <c r="F843" s="37">
        <v>1</v>
      </c>
      <c r="G843" s="37" t="s">
        <v>6864</v>
      </c>
      <c r="H843" s="63">
        <v>6892.6</v>
      </c>
    </row>
    <row r="844" spans="1:8" ht="24.75" customHeight="1">
      <c r="A844" s="44" t="s">
        <v>3141</v>
      </c>
      <c r="B844" s="45" t="s">
        <v>4285</v>
      </c>
      <c r="C844" s="45" t="s">
        <v>6708</v>
      </c>
      <c r="D844" s="45" t="s">
        <v>6714</v>
      </c>
      <c r="E844" s="44" t="s">
        <v>6843</v>
      </c>
      <c r="F844" s="37">
        <v>1</v>
      </c>
      <c r="G844" s="37" t="s">
        <v>6864</v>
      </c>
      <c r="H844" s="63">
        <v>6892.6</v>
      </c>
    </row>
    <row r="845" spans="1:8" ht="24.75" customHeight="1">
      <c r="A845" s="44" t="s">
        <v>3032</v>
      </c>
      <c r="B845" s="45" t="s">
        <v>4311</v>
      </c>
      <c r="C845" s="45" t="s">
        <v>6708</v>
      </c>
      <c r="D845" s="45" t="s">
        <v>6714</v>
      </c>
      <c r="E845" s="44" t="s">
        <v>6843</v>
      </c>
      <c r="F845" s="37">
        <v>1</v>
      </c>
      <c r="G845" s="37" t="s">
        <v>6864</v>
      </c>
      <c r="H845" s="63">
        <v>6892.6</v>
      </c>
    </row>
    <row r="846" spans="1:8" ht="24.75" customHeight="1">
      <c r="A846" s="44" t="s">
        <v>3011</v>
      </c>
      <c r="B846" s="45" t="s">
        <v>4283</v>
      </c>
      <c r="C846" s="45" t="s">
        <v>6708</v>
      </c>
      <c r="D846" s="45" t="s">
        <v>6714</v>
      </c>
      <c r="E846" s="44" t="s">
        <v>6843</v>
      </c>
      <c r="F846" s="37">
        <v>1</v>
      </c>
      <c r="G846" s="37" t="s">
        <v>6864</v>
      </c>
      <c r="H846" s="63">
        <v>6892.6</v>
      </c>
    </row>
    <row r="847" spans="1:8" ht="24.75" customHeight="1">
      <c r="A847" s="44" t="s">
        <v>3006</v>
      </c>
      <c r="B847" s="45" t="s">
        <v>4276</v>
      </c>
      <c r="C847" s="45" t="s">
        <v>6708</v>
      </c>
      <c r="D847" s="45" t="s">
        <v>6714</v>
      </c>
      <c r="E847" s="44" t="s">
        <v>6843</v>
      </c>
      <c r="F847" s="37">
        <v>1</v>
      </c>
      <c r="G847" s="37" t="s">
        <v>6864</v>
      </c>
      <c r="H847" s="63">
        <v>6892.6</v>
      </c>
    </row>
    <row r="848" spans="1:8" ht="24.75" customHeight="1">
      <c r="A848" s="44" t="s">
        <v>3020</v>
      </c>
      <c r="B848" s="45" t="s">
        <v>4295</v>
      </c>
      <c r="C848" s="45" t="s">
        <v>6708</v>
      </c>
      <c r="D848" s="45" t="s">
        <v>6714</v>
      </c>
      <c r="E848" s="44" t="s">
        <v>6843</v>
      </c>
      <c r="F848" s="37">
        <v>1</v>
      </c>
      <c r="G848" s="37" t="s">
        <v>6864</v>
      </c>
      <c r="H848" s="63">
        <v>6892.6</v>
      </c>
    </row>
    <row r="849" spans="1:8" ht="24.75" customHeight="1">
      <c r="A849" s="44" t="s">
        <v>3023</v>
      </c>
      <c r="B849" s="45" t="s">
        <v>4298</v>
      </c>
      <c r="C849" s="45" t="s">
        <v>6708</v>
      </c>
      <c r="D849" s="45" t="s">
        <v>6714</v>
      </c>
      <c r="E849" s="44" t="s">
        <v>6843</v>
      </c>
      <c r="F849" s="37">
        <v>1</v>
      </c>
      <c r="G849" s="37" t="s">
        <v>6864</v>
      </c>
      <c r="H849" s="63">
        <v>6892.6</v>
      </c>
    </row>
    <row r="850" spans="1:8" ht="24.75" customHeight="1">
      <c r="A850" s="44" t="s">
        <v>3037</v>
      </c>
      <c r="B850" s="45" t="s">
        <v>4317</v>
      </c>
      <c r="C850" s="45" t="s">
        <v>6708</v>
      </c>
      <c r="D850" s="45" t="s">
        <v>6714</v>
      </c>
      <c r="E850" s="44" t="s">
        <v>6843</v>
      </c>
      <c r="F850" s="37">
        <v>1</v>
      </c>
      <c r="G850" s="37" t="s">
        <v>6864</v>
      </c>
      <c r="H850" s="63">
        <v>6892.6</v>
      </c>
    </row>
    <row r="851" spans="1:8" ht="24.75" customHeight="1">
      <c r="A851" s="44" t="s">
        <v>3036</v>
      </c>
      <c r="B851" s="45" t="s">
        <v>4316</v>
      </c>
      <c r="C851" s="45" t="s">
        <v>6708</v>
      </c>
      <c r="D851" s="45" t="s">
        <v>6714</v>
      </c>
      <c r="E851" s="44" t="s">
        <v>6843</v>
      </c>
      <c r="F851" s="37">
        <v>1</v>
      </c>
      <c r="G851" s="37" t="s">
        <v>6864</v>
      </c>
      <c r="H851" s="63">
        <v>6892.6</v>
      </c>
    </row>
    <row r="852" spans="1:8" ht="24.75" customHeight="1">
      <c r="A852" s="44" t="s">
        <v>2997</v>
      </c>
      <c r="B852" s="45" t="s">
        <v>4325</v>
      </c>
      <c r="C852" s="45" t="s">
        <v>6708</v>
      </c>
      <c r="D852" s="45" t="s">
        <v>6714</v>
      </c>
      <c r="E852" s="44" t="s">
        <v>6843</v>
      </c>
      <c r="F852" s="37">
        <v>1</v>
      </c>
      <c r="G852" s="37" t="s">
        <v>6864</v>
      </c>
      <c r="H852" s="63">
        <v>6892.6</v>
      </c>
    </row>
    <row r="853" spans="1:8" ht="24.75" customHeight="1">
      <c r="A853" s="44" t="s">
        <v>3028</v>
      </c>
      <c r="B853" s="45" t="s">
        <v>4303</v>
      </c>
      <c r="C853" s="45" t="s">
        <v>6708</v>
      </c>
      <c r="D853" s="45" t="s">
        <v>6714</v>
      </c>
      <c r="E853" s="44" t="s">
        <v>6843</v>
      </c>
      <c r="F853" s="37">
        <v>1</v>
      </c>
      <c r="G853" s="37" t="s">
        <v>6864</v>
      </c>
      <c r="H853" s="63">
        <v>6892.6</v>
      </c>
    </row>
    <row r="854" spans="1:8" ht="24.75" customHeight="1">
      <c r="A854" s="44" t="s">
        <v>3001</v>
      </c>
      <c r="B854" s="45" t="s">
        <v>4329</v>
      </c>
      <c r="C854" s="45" t="s">
        <v>6708</v>
      </c>
      <c r="D854" s="45" t="s">
        <v>6714</v>
      </c>
      <c r="E854" s="44" t="s">
        <v>6843</v>
      </c>
      <c r="F854" s="37">
        <v>1</v>
      </c>
      <c r="G854" s="37" t="s">
        <v>6864</v>
      </c>
      <c r="H854" s="63">
        <v>6892.6</v>
      </c>
    </row>
    <row r="855" spans="1:8" ht="24.75" customHeight="1">
      <c r="A855" s="44" t="s">
        <v>3015</v>
      </c>
      <c r="B855" s="45" t="s">
        <v>4289</v>
      </c>
      <c r="C855" s="45" t="s">
        <v>6708</v>
      </c>
      <c r="D855" s="45" t="s">
        <v>6714</v>
      </c>
      <c r="E855" s="44" t="s">
        <v>6843</v>
      </c>
      <c r="F855" s="37">
        <v>1</v>
      </c>
      <c r="G855" s="37" t="s">
        <v>6864</v>
      </c>
      <c r="H855" s="63">
        <v>6892.6</v>
      </c>
    </row>
    <row r="856" spans="1:8" ht="24.75" customHeight="1">
      <c r="A856" s="44" t="s">
        <v>2989</v>
      </c>
      <c r="B856" s="45" t="s">
        <v>4289</v>
      </c>
      <c r="C856" s="45" t="s">
        <v>6708</v>
      </c>
      <c r="D856" s="45" t="s">
        <v>6714</v>
      </c>
      <c r="E856" s="44" t="s">
        <v>6843</v>
      </c>
      <c r="F856" s="37">
        <v>1</v>
      </c>
      <c r="G856" s="37" t="s">
        <v>6864</v>
      </c>
      <c r="H856" s="63">
        <v>6892.6</v>
      </c>
    </row>
    <row r="857" spans="1:8" ht="24.75" customHeight="1">
      <c r="A857" s="44" t="s">
        <v>3005</v>
      </c>
      <c r="B857" s="45" t="s">
        <v>4275</v>
      </c>
      <c r="C857" s="45" t="s">
        <v>6708</v>
      </c>
      <c r="D857" s="45" t="s">
        <v>6714</v>
      </c>
      <c r="E857" s="44" t="s">
        <v>6843</v>
      </c>
      <c r="F857" s="37">
        <v>1</v>
      </c>
      <c r="G857" s="37" t="s">
        <v>6864</v>
      </c>
      <c r="H857" s="63">
        <v>6892.6</v>
      </c>
    </row>
    <row r="858" spans="1:8" ht="24.75" customHeight="1">
      <c r="A858" s="44" t="s">
        <v>3019</v>
      </c>
      <c r="B858" s="45" t="s">
        <v>4294</v>
      </c>
      <c r="C858" s="45" t="s">
        <v>6708</v>
      </c>
      <c r="D858" s="45" t="s">
        <v>6714</v>
      </c>
      <c r="E858" s="44" t="s">
        <v>6843</v>
      </c>
      <c r="F858" s="37">
        <v>1</v>
      </c>
      <c r="G858" s="37" t="s">
        <v>6864</v>
      </c>
      <c r="H858" s="63">
        <v>6892.6</v>
      </c>
    </row>
    <row r="859" spans="1:8" ht="24.75" customHeight="1">
      <c r="A859" s="44" t="s">
        <v>3018</v>
      </c>
      <c r="B859" s="45" t="s">
        <v>4292</v>
      </c>
      <c r="C859" s="45" t="s">
        <v>6708</v>
      </c>
      <c r="D859" s="45" t="s">
        <v>6714</v>
      </c>
      <c r="E859" s="44" t="s">
        <v>6843</v>
      </c>
      <c r="F859" s="37">
        <v>1</v>
      </c>
      <c r="G859" s="37" t="s">
        <v>6864</v>
      </c>
      <c r="H859" s="63">
        <v>6892.6</v>
      </c>
    </row>
    <row r="860" spans="1:8" ht="24.75" customHeight="1">
      <c r="A860" s="44" t="s">
        <v>3027</v>
      </c>
      <c r="B860" s="45" t="s">
        <v>4302</v>
      </c>
      <c r="C860" s="45" t="s">
        <v>6708</v>
      </c>
      <c r="D860" s="45" t="s">
        <v>6714</v>
      </c>
      <c r="E860" s="44" t="s">
        <v>6843</v>
      </c>
      <c r="F860" s="37">
        <v>1</v>
      </c>
      <c r="G860" s="37" t="s">
        <v>6864</v>
      </c>
      <c r="H860" s="63">
        <v>6892.6</v>
      </c>
    </row>
    <row r="861" spans="1:8" ht="24.75" customHeight="1">
      <c r="A861" s="44" t="s">
        <v>2993</v>
      </c>
      <c r="B861" s="45" t="s">
        <v>4319</v>
      </c>
      <c r="C861" s="45" t="s">
        <v>6708</v>
      </c>
      <c r="D861" s="45" t="s">
        <v>6714</v>
      </c>
      <c r="E861" s="44" t="s">
        <v>6843</v>
      </c>
      <c r="F861" s="37">
        <v>1</v>
      </c>
      <c r="G861" s="37" t="s">
        <v>6864</v>
      </c>
      <c r="H861" s="63">
        <v>6892.6</v>
      </c>
    </row>
    <row r="862" spans="1:8" ht="24.75" customHeight="1">
      <c r="A862" s="44" t="s">
        <v>2996</v>
      </c>
      <c r="B862" s="45" t="s">
        <v>4324</v>
      </c>
      <c r="C862" s="45" t="s">
        <v>6708</v>
      </c>
      <c r="D862" s="45" t="s">
        <v>6714</v>
      </c>
      <c r="E862" s="44" t="s">
        <v>6843</v>
      </c>
      <c r="F862" s="37">
        <v>1</v>
      </c>
      <c r="G862" s="37" t="s">
        <v>6864</v>
      </c>
      <c r="H862" s="63">
        <v>6892.6</v>
      </c>
    </row>
    <row r="863" spans="1:8" ht="24.75" customHeight="1">
      <c r="A863" s="44" t="s">
        <v>3021</v>
      </c>
      <c r="B863" s="45" t="s">
        <v>4296</v>
      </c>
      <c r="C863" s="45" t="s">
        <v>6708</v>
      </c>
      <c r="D863" s="45" t="s">
        <v>6714</v>
      </c>
      <c r="E863" s="44" t="s">
        <v>6843</v>
      </c>
      <c r="F863" s="37">
        <v>1</v>
      </c>
      <c r="G863" s="37" t="s">
        <v>6864</v>
      </c>
      <c r="H863" s="63">
        <v>6892.6</v>
      </c>
    </row>
    <row r="864" spans="1:8" ht="24.75" customHeight="1">
      <c r="A864" s="44" t="s">
        <v>2994</v>
      </c>
      <c r="B864" s="45" t="s">
        <v>4321</v>
      </c>
      <c r="C864" s="45" t="s">
        <v>6708</v>
      </c>
      <c r="D864" s="45" t="s">
        <v>6714</v>
      </c>
      <c r="E864" s="44" t="s">
        <v>6843</v>
      </c>
      <c r="F864" s="37">
        <v>1</v>
      </c>
      <c r="G864" s="37" t="s">
        <v>6864</v>
      </c>
      <c r="H864" s="63">
        <v>6892.6</v>
      </c>
    </row>
    <row r="865" spans="1:8" ht="24.75" customHeight="1">
      <c r="A865" s="44" t="s">
        <v>2998</v>
      </c>
      <c r="B865" s="45" t="s">
        <v>4326</v>
      </c>
      <c r="C865" s="45" t="s">
        <v>6708</v>
      </c>
      <c r="D865" s="45" t="s">
        <v>6714</v>
      </c>
      <c r="E865" s="44" t="s">
        <v>6843</v>
      </c>
      <c r="F865" s="37">
        <v>1</v>
      </c>
      <c r="G865" s="37" t="s">
        <v>6864</v>
      </c>
      <c r="H865" s="63">
        <v>6892.6</v>
      </c>
    </row>
    <row r="866" spans="1:8" ht="24.75" customHeight="1">
      <c r="A866" s="44" t="s">
        <v>3022</v>
      </c>
      <c r="B866" s="45" t="s">
        <v>4297</v>
      </c>
      <c r="C866" s="45" t="s">
        <v>6708</v>
      </c>
      <c r="D866" s="45" t="s">
        <v>6714</v>
      </c>
      <c r="E866" s="44" t="s">
        <v>6843</v>
      </c>
      <c r="F866" s="37">
        <v>1</v>
      </c>
      <c r="G866" s="37" t="s">
        <v>6864</v>
      </c>
      <c r="H866" s="63">
        <v>6892.6</v>
      </c>
    </row>
    <row r="867" spans="1:8" ht="24.75" customHeight="1">
      <c r="A867" s="44" t="s">
        <v>3025</v>
      </c>
      <c r="B867" s="45" t="s">
        <v>4300</v>
      </c>
      <c r="C867" s="45" t="s">
        <v>6708</v>
      </c>
      <c r="D867" s="45" t="s">
        <v>6714</v>
      </c>
      <c r="E867" s="44" t="s">
        <v>6843</v>
      </c>
      <c r="F867" s="37">
        <v>1</v>
      </c>
      <c r="G867" s="37" t="s">
        <v>6864</v>
      </c>
      <c r="H867" s="63">
        <v>6892.6</v>
      </c>
    </row>
    <row r="868" spans="1:8" ht="24.75" customHeight="1">
      <c r="A868" s="44" t="s">
        <v>3035</v>
      </c>
      <c r="B868" s="45" t="s">
        <v>4315</v>
      </c>
      <c r="C868" s="45" t="s">
        <v>6708</v>
      </c>
      <c r="D868" s="45" t="s">
        <v>6714</v>
      </c>
      <c r="E868" s="44" t="s">
        <v>6843</v>
      </c>
      <c r="F868" s="37">
        <v>1</v>
      </c>
      <c r="G868" s="37" t="s">
        <v>6864</v>
      </c>
      <c r="H868" s="63">
        <v>6892.6</v>
      </c>
    </row>
    <row r="869" spans="1:8" ht="24.75" customHeight="1">
      <c r="A869" s="44" t="s">
        <v>3111</v>
      </c>
      <c r="B869" s="45" t="s">
        <v>3209</v>
      </c>
      <c r="C869" s="45" t="s">
        <v>957</v>
      </c>
      <c r="D869" s="45"/>
      <c r="E869" s="44"/>
      <c r="F869" s="37">
        <v>25</v>
      </c>
      <c r="G869" s="37" t="s">
        <v>6864</v>
      </c>
      <c r="H869" s="63">
        <v>2087.8000000000002</v>
      </c>
    </row>
    <row r="870" spans="1:8" ht="24.75" customHeight="1">
      <c r="A870" s="44" t="s">
        <v>3159</v>
      </c>
      <c r="B870" s="45" t="s">
        <v>4058</v>
      </c>
      <c r="C870" s="45" t="s">
        <v>6983</v>
      </c>
      <c r="D870" s="45" t="s">
        <v>6716</v>
      </c>
      <c r="E870" s="44" t="s">
        <v>6846</v>
      </c>
      <c r="F870" s="37">
        <v>1</v>
      </c>
      <c r="G870" s="37" t="s">
        <v>6864</v>
      </c>
      <c r="H870" s="63">
        <v>715</v>
      </c>
    </row>
    <row r="871" spans="1:8" ht="24.75" customHeight="1">
      <c r="A871" s="44" t="s">
        <v>2523</v>
      </c>
      <c r="B871" s="45" t="s">
        <v>4076</v>
      </c>
      <c r="C871" s="45" t="s">
        <v>6983</v>
      </c>
      <c r="D871" s="45" t="s">
        <v>6716</v>
      </c>
      <c r="E871" s="44" t="s">
        <v>6846</v>
      </c>
      <c r="F871" s="37">
        <v>1</v>
      </c>
      <c r="G871" s="37" t="s">
        <v>6864</v>
      </c>
      <c r="H871" s="63">
        <v>6306.3</v>
      </c>
    </row>
    <row r="872" spans="1:8" ht="24.75" customHeight="1">
      <c r="A872" s="44" t="s">
        <v>2520</v>
      </c>
      <c r="B872" s="45" t="s">
        <v>4073</v>
      </c>
      <c r="C872" s="45" t="s">
        <v>6983</v>
      </c>
      <c r="D872" s="45" t="s">
        <v>6716</v>
      </c>
      <c r="E872" s="44" t="s">
        <v>6846</v>
      </c>
      <c r="F872" s="37">
        <v>1</v>
      </c>
      <c r="G872" s="37" t="s">
        <v>6864</v>
      </c>
      <c r="H872" s="63">
        <v>5047.8999999999996</v>
      </c>
    </row>
    <row r="873" spans="1:8" ht="24.75" customHeight="1">
      <c r="A873" s="44" t="s">
        <v>2141</v>
      </c>
      <c r="B873" s="45" t="s">
        <v>4063</v>
      </c>
      <c r="C873" s="45" t="s">
        <v>6983</v>
      </c>
      <c r="D873" s="45" t="s">
        <v>6716</v>
      </c>
      <c r="E873" s="44" t="s">
        <v>6846</v>
      </c>
      <c r="F873" s="37">
        <v>1</v>
      </c>
      <c r="G873" s="37" t="s">
        <v>6864</v>
      </c>
      <c r="H873" s="63">
        <v>6220.5</v>
      </c>
    </row>
    <row r="874" spans="1:8" ht="24.75" customHeight="1">
      <c r="A874" s="44" t="s">
        <v>1294</v>
      </c>
      <c r="B874" s="45" t="s">
        <v>4059</v>
      </c>
      <c r="C874" s="45" t="s">
        <v>6983</v>
      </c>
      <c r="D874" s="45" t="s">
        <v>6716</v>
      </c>
      <c r="E874" s="44" t="s">
        <v>6845</v>
      </c>
      <c r="F874" s="37">
        <v>1</v>
      </c>
      <c r="G874" s="37" t="s">
        <v>6864</v>
      </c>
      <c r="H874" s="63">
        <v>1201.2</v>
      </c>
    </row>
    <row r="875" spans="1:8" ht="24.75" customHeight="1">
      <c r="A875" s="44" t="s">
        <v>258</v>
      </c>
      <c r="B875" s="45" t="s">
        <v>4060</v>
      </c>
      <c r="C875" s="45" t="s">
        <v>6983</v>
      </c>
      <c r="D875" s="45" t="s">
        <v>6716</v>
      </c>
      <c r="E875" s="44" t="s">
        <v>6845</v>
      </c>
      <c r="F875" s="37">
        <v>1</v>
      </c>
      <c r="G875" s="37" t="s">
        <v>6864</v>
      </c>
      <c r="H875" s="63">
        <v>1244.0999999999999</v>
      </c>
    </row>
    <row r="876" spans="1:8" ht="24.75" customHeight="1">
      <c r="A876" s="44" t="s">
        <v>4056</v>
      </c>
      <c r="B876" s="45" t="s">
        <v>4057</v>
      </c>
      <c r="C876" s="45" t="s">
        <v>6983</v>
      </c>
      <c r="D876" s="45" t="s">
        <v>6716</v>
      </c>
      <c r="E876" s="44" t="s">
        <v>6846</v>
      </c>
      <c r="F876" s="37">
        <v>1</v>
      </c>
      <c r="G876" s="37" t="s">
        <v>6864</v>
      </c>
      <c r="H876" s="63">
        <v>2159.3000000000002</v>
      </c>
    </row>
    <row r="877" spans="1:8" ht="24.75" customHeight="1">
      <c r="A877" s="44" t="s">
        <v>2524</v>
      </c>
      <c r="B877" s="45" t="s">
        <v>4077</v>
      </c>
      <c r="C877" s="45" t="s">
        <v>6983</v>
      </c>
      <c r="D877" s="45" t="s">
        <v>6716</v>
      </c>
      <c r="E877" s="44" t="s">
        <v>6846</v>
      </c>
      <c r="F877" s="37">
        <v>1</v>
      </c>
      <c r="G877" s="37" t="s">
        <v>6864</v>
      </c>
      <c r="H877" s="63">
        <v>3045.9</v>
      </c>
    </row>
    <row r="878" spans="1:8" ht="24.75" customHeight="1">
      <c r="A878" s="44" t="s">
        <v>1638</v>
      </c>
      <c r="B878" s="45" t="s">
        <v>4061</v>
      </c>
      <c r="C878" s="45" t="s">
        <v>6983</v>
      </c>
      <c r="D878" s="45" t="s">
        <v>6716</v>
      </c>
      <c r="E878" s="44" t="s">
        <v>6846</v>
      </c>
      <c r="F878" s="37">
        <v>1</v>
      </c>
      <c r="G878" s="37" t="s">
        <v>6864</v>
      </c>
      <c r="H878" s="63">
        <v>3775.2</v>
      </c>
    </row>
    <row r="879" spans="1:8" ht="24.75" customHeight="1">
      <c r="A879" s="44" t="s">
        <v>1639</v>
      </c>
      <c r="B879" s="45" t="s">
        <v>4062</v>
      </c>
      <c r="C879" s="45" t="s">
        <v>6983</v>
      </c>
      <c r="D879" s="45" t="s">
        <v>6716</v>
      </c>
      <c r="E879" s="44" t="s">
        <v>6846</v>
      </c>
      <c r="F879" s="37">
        <v>1</v>
      </c>
      <c r="G879" s="37" t="s">
        <v>6864</v>
      </c>
      <c r="H879" s="63">
        <v>4862</v>
      </c>
    </row>
    <row r="880" spans="1:8" ht="24.75" customHeight="1">
      <c r="A880" s="44" t="s">
        <v>2522</v>
      </c>
      <c r="B880" s="45" t="s">
        <v>4075</v>
      </c>
      <c r="C880" s="45" t="s">
        <v>6983</v>
      </c>
      <c r="D880" s="45" t="s">
        <v>6716</v>
      </c>
      <c r="E880" s="44" t="s">
        <v>6846</v>
      </c>
      <c r="F880" s="37">
        <v>1</v>
      </c>
      <c r="G880" s="37" t="s">
        <v>6864</v>
      </c>
      <c r="H880" s="63">
        <v>13570.7</v>
      </c>
    </row>
    <row r="881" spans="1:8" ht="24.75" customHeight="1">
      <c r="A881" s="44" t="s">
        <v>2521</v>
      </c>
      <c r="B881" s="45" t="s">
        <v>4074</v>
      </c>
      <c r="C881" s="45" t="s">
        <v>6983</v>
      </c>
      <c r="D881" s="45" t="s">
        <v>6716</v>
      </c>
      <c r="E881" s="44" t="s">
        <v>6846</v>
      </c>
      <c r="F881" s="37">
        <v>1</v>
      </c>
      <c r="G881" s="37" t="s">
        <v>6864</v>
      </c>
      <c r="H881" s="63">
        <v>15587</v>
      </c>
    </row>
    <row r="882" spans="1:8" ht="24.75" customHeight="1">
      <c r="A882" s="44" t="s">
        <v>2517</v>
      </c>
      <c r="B882" s="45" t="s">
        <v>4070</v>
      </c>
      <c r="C882" s="45" t="s">
        <v>6983</v>
      </c>
      <c r="D882" s="45" t="s">
        <v>6716</v>
      </c>
      <c r="E882" s="44" t="s">
        <v>6846</v>
      </c>
      <c r="F882" s="37">
        <v>1</v>
      </c>
      <c r="G882" s="37" t="s">
        <v>6864</v>
      </c>
      <c r="H882" s="63">
        <v>40883.699999999997</v>
      </c>
    </row>
    <row r="883" spans="1:8" ht="24.75" customHeight="1">
      <c r="A883" s="44" t="s">
        <v>2518</v>
      </c>
      <c r="B883" s="45" t="s">
        <v>4071</v>
      </c>
      <c r="C883" s="45" t="s">
        <v>6983</v>
      </c>
      <c r="D883" s="45" t="s">
        <v>6716</v>
      </c>
      <c r="E883" s="44" t="s">
        <v>6846</v>
      </c>
      <c r="F883" s="37">
        <v>1</v>
      </c>
      <c r="G883" s="37" t="s">
        <v>6864</v>
      </c>
      <c r="H883" s="63">
        <v>40883.699999999997</v>
      </c>
    </row>
    <row r="884" spans="1:8" ht="24.75" customHeight="1">
      <c r="A884" s="44" t="s">
        <v>2516</v>
      </c>
      <c r="B884" s="45" t="s">
        <v>4069</v>
      </c>
      <c r="C884" s="45" t="s">
        <v>6983</v>
      </c>
      <c r="D884" s="45" t="s">
        <v>6716</v>
      </c>
      <c r="E884" s="44" t="s">
        <v>6846</v>
      </c>
      <c r="F884" s="37">
        <v>1</v>
      </c>
      <c r="G884" s="37" t="s">
        <v>6864</v>
      </c>
      <c r="H884" s="63">
        <v>5190.8999999999996</v>
      </c>
    </row>
    <row r="885" spans="1:8" ht="24.75" customHeight="1">
      <c r="A885" s="44" t="s">
        <v>2512</v>
      </c>
      <c r="B885" s="45" t="s">
        <v>4064</v>
      </c>
      <c r="C885" s="45" t="s">
        <v>6983</v>
      </c>
      <c r="D885" s="45" t="s">
        <v>6716</v>
      </c>
      <c r="E885" s="44" t="s">
        <v>6846</v>
      </c>
      <c r="F885" s="37">
        <v>1</v>
      </c>
      <c r="G885" s="37" t="s">
        <v>6864</v>
      </c>
      <c r="H885" s="63">
        <v>8980.4</v>
      </c>
    </row>
    <row r="886" spans="1:8" ht="24.75" customHeight="1">
      <c r="A886" s="44" t="s">
        <v>4079</v>
      </c>
      <c r="B886" s="45" t="s">
        <v>4080</v>
      </c>
      <c r="C886" s="45" t="s">
        <v>6983</v>
      </c>
      <c r="D886" s="45" t="s">
        <v>6716</v>
      </c>
      <c r="E886" s="44" t="s">
        <v>6846</v>
      </c>
      <c r="F886" s="37">
        <v>1</v>
      </c>
      <c r="G886" s="37" t="s">
        <v>6864</v>
      </c>
      <c r="H886" s="63">
        <v>11425.7</v>
      </c>
    </row>
    <row r="887" spans="1:8" ht="24.75" customHeight="1">
      <c r="A887" s="44" t="s">
        <v>2972</v>
      </c>
      <c r="B887" s="45" t="s">
        <v>4078</v>
      </c>
      <c r="C887" s="45" t="s">
        <v>6983</v>
      </c>
      <c r="D887" s="45" t="s">
        <v>6717</v>
      </c>
      <c r="E887" s="44" t="s">
        <v>6845</v>
      </c>
      <c r="F887" s="37">
        <v>1</v>
      </c>
      <c r="G887" s="37" t="s">
        <v>6864</v>
      </c>
      <c r="H887" s="63">
        <v>3646.5</v>
      </c>
    </row>
    <row r="888" spans="1:8" ht="24.75" customHeight="1">
      <c r="A888" s="44" t="s">
        <v>2940</v>
      </c>
      <c r="B888" s="45" t="s">
        <v>4065</v>
      </c>
      <c r="C888" s="45" t="s">
        <v>6983</v>
      </c>
      <c r="D888" s="45" t="s">
        <v>6717</v>
      </c>
      <c r="E888" s="44" t="s">
        <v>6846</v>
      </c>
      <c r="F888" s="37">
        <v>1</v>
      </c>
      <c r="G888" s="37" t="s">
        <v>6864</v>
      </c>
      <c r="H888" s="63">
        <v>6377.8</v>
      </c>
    </row>
    <row r="889" spans="1:8" ht="24.75" customHeight="1">
      <c r="A889" s="44" t="s">
        <v>2514</v>
      </c>
      <c r="B889" s="45" t="s">
        <v>4067</v>
      </c>
      <c r="C889" s="45" t="s">
        <v>6983</v>
      </c>
      <c r="D889" s="45" t="s">
        <v>6717</v>
      </c>
      <c r="E889" s="44" t="s">
        <v>6846</v>
      </c>
      <c r="F889" s="37">
        <v>1</v>
      </c>
      <c r="G889" s="37" t="s">
        <v>6864</v>
      </c>
      <c r="H889" s="63">
        <v>19934.2</v>
      </c>
    </row>
    <row r="890" spans="1:8" ht="24.75" customHeight="1">
      <c r="A890" s="44" t="s">
        <v>2513</v>
      </c>
      <c r="B890" s="45" t="s">
        <v>4066</v>
      </c>
      <c r="C890" s="45" t="s">
        <v>6983</v>
      </c>
      <c r="D890" s="45" t="s">
        <v>6717</v>
      </c>
      <c r="E890" s="44" t="s">
        <v>6846</v>
      </c>
      <c r="F890" s="37">
        <v>1</v>
      </c>
      <c r="G890" s="37" t="s">
        <v>6864</v>
      </c>
      <c r="H890" s="63">
        <v>19934.2</v>
      </c>
    </row>
    <row r="891" spans="1:8" ht="24.75" customHeight="1">
      <c r="A891" s="44" t="s">
        <v>2142</v>
      </c>
      <c r="B891" s="45" t="s">
        <v>6121</v>
      </c>
      <c r="C891" s="45" t="s">
        <v>6983</v>
      </c>
      <c r="D891" s="45" t="s">
        <v>6718</v>
      </c>
      <c r="E891" s="44" t="s">
        <v>6846</v>
      </c>
      <c r="F891" s="37">
        <v>1</v>
      </c>
      <c r="G891" s="37" t="s">
        <v>6864</v>
      </c>
      <c r="H891" s="63">
        <v>18632.900000000001</v>
      </c>
    </row>
    <row r="892" spans="1:8" ht="24.75" customHeight="1">
      <c r="A892" s="44" t="s">
        <v>2143</v>
      </c>
      <c r="B892" s="45" t="s">
        <v>6120</v>
      </c>
      <c r="C892" s="45" t="s">
        <v>6983</v>
      </c>
      <c r="D892" s="45" t="s">
        <v>6718</v>
      </c>
      <c r="E892" s="44" t="s">
        <v>6846</v>
      </c>
      <c r="F892" s="37">
        <v>1</v>
      </c>
      <c r="G892" s="37" t="s">
        <v>6864</v>
      </c>
      <c r="H892" s="63">
        <v>18632.900000000001</v>
      </c>
    </row>
    <row r="893" spans="1:8" ht="24.75" customHeight="1">
      <c r="A893" s="44" t="s">
        <v>2312</v>
      </c>
      <c r="B893" s="45" t="s">
        <v>6123</v>
      </c>
      <c r="C893" s="45" t="s">
        <v>6983</v>
      </c>
      <c r="D893" s="45" t="s">
        <v>6718</v>
      </c>
      <c r="E893" s="44" t="s">
        <v>6846</v>
      </c>
      <c r="F893" s="37">
        <v>1</v>
      </c>
      <c r="G893" s="37" t="s">
        <v>6864</v>
      </c>
      <c r="H893" s="63">
        <v>23595</v>
      </c>
    </row>
    <row r="894" spans="1:8" ht="24.75" customHeight="1">
      <c r="A894" s="44" t="s">
        <v>2313</v>
      </c>
      <c r="B894" s="45" t="s">
        <v>6122</v>
      </c>
      <c r="C894" s="45" t="s">
        <v>6983</v>
      </c>
      <c r="D894" s="45" t="s">
        <v>6718</v>
      </c>
      <c r="E894" s="44" t="s">
        <v>6846</v>
      </c>
      <c r="F894" s="37">
        <v>1</v>
      </c>
      <c r="G894" s="37" t="s">
        <v>6864</v>
      </c>
      <c r="H894" s="63">
        <v>23595</v>
      </c>
    </row>
    <row r="895" spans="1:8" ht="24.75" customHeight="1">
      <c r="A895" s="44" t="s">
        <v>2944</v>
      </c>
      <c r="B895" s="45" t="s">
        <v>6117</v>
      </c>
      <c r="C895" s="45" t="s">
        <v>6983</v>
      </c>
      <c r="D895" s="45" t="s">
        <v>6718</v>
      </c>
      <c r="E895" s="44" t="s">
        <v>6845</v>
      </c>
      <c r="F895" s="37">
        <v>10</v>
      </c>
      <c r="G895" s="37" t="s">
        <v>6864</v>
      </c>
      <c r="H895" s="63">
        <v>5677.1</v>
      </c>
    </row>
    <row r="896" spans="1:8" ht="24.75" customHeight="1">
      <c r="A896" s="44" t="s">
        <v>836</v>
      </c>
      <c r="B896" s="45" t="s">
        <v>6113</v>
      </c>
      <c r="C896" s="45" t="s">
        <v>6983</v>
      </c>
      <c r="D896" s="45" t="s">
        <v>6718</v>
      </c>
      <c r="E896" s="44" t="s">
        <v>6845</v>
      </c>
      <c r="F896" s="37">
        <v>1</v>
      </c>
      <c r="G896" s="37" t="s">
        <v>6864</v>
      </c>
      <c r="H896" s="63">
        <v>3532.1</v>
      </c>
    </row>
    <row r="897" spans="1:8" ht="24.75" customHeight="1">
      <c r="A897" s="44" t="s">
        <v>837</v>
      </c>
      <c r="B897" s="45" t="s">
        <v>6115</v>
      </c>
      <c r="C897" s="45" t="s">
        <v>6983</v>
      </c>
      <c r="D897" s="45" t="s">
        <v>6718</v>
      </c>
      <c r="E897" s="44" t="s">
        <v>6845</v>
      </c>
      <c r="F897" s="37">
        <v>10</v>
      </c>
      <c r="G897" s="37" t="s">
        <v>6864</v>
      </c>
      <c r="H897" s="63">
        <v>4032.6</v>
      </c>
    </row>
    <row r="898" spans="1:8" ht="24.75" customHeight="1">
      <c r="A898" s="44" t="s">
        <v>2307</v>
      </c>
      <c r="B898" s="45" t="s">
        <v>6112</v>
      </c>
      <c r="C898" s="45" t="s">
        <v>6983</v>
      </c>
      <c r="D898" s="45" t="s">
        <v>6718</v>
      </c>
      <c r="E898" s="44" t="s">
        <v>6845</v>
      </c>
      <c r="F898" s="37">
        <v>6</v>
      </c>
      <c r="G898" s="37" t="s">
        <v>6864</v>
      </c>
      <c r="H898" s="63">
        <v>6306.3</v>
      </c>
    </row>
    <row r="899" spans="1:8" ht="24.75" customHeight="1">
      <c r="A899" s="44" t="s">
        <v>2086</v>
      </c>
      <c r="B899" s="45" t="s">
        <v>6114</v>
      </c>
      <c r="C899" s="45" t="s">
        <v>6983</v>
      </c>
      <c r="D899" s="45" t="s">
        <v>6718</v>
      </c>
      <c r="E899" s="44" t="s">
        <v>6845</v>
      </c>
      <c r="F899" s="37">
        <v>6</v>
      </c>
      <c r="G899" s="37" t="s">
        <v>6864</v>
      </c>
      <c r="H899" s="63">
        <v>4490.2</v>
      </c>
    </row>
    <row r="900" spans="1:8" ht="24.75" customHeight="1">
      <c r="A900" s="44" t="s">
        <v>2911</v>
      </c>
      <c r="B900" s="45" t="s">
        <v>6129</v>
      </c>
      <c r="C900" s="45" t="s">
        <v>6983</v>
      </c>
      <c r="D900" s="45" t="s">
        <v>6718</v>
      </c>
      <c r="E900" s="44" t="s">
        <v>6846</v>
      </c>
      <c r="F900" s="37">
        <v>1</v>
      </c>
      <c r="G900" s="37" t="s">
        <v>6864</v>
      </c>
      <c r="H900" s="63">
        <v>7350.2</v>
      </c>
    </row>
    <row r="901" spans="1:8" ht="24.75" customHeight="1">
      <c r="A901" s="44" t="s">
        <v>2149</v>
      </c>
      <c r="B901" s="45" t="s">
        <v>6125</v>
      </c>
      <c r="C901" s="45" t="s">
        <v>6983</v>
      </c>
      <c r="D901" s="45" t="s">
        <v>6718</v>
      </c>
      <c r="E901" s="44" t="s">
        <v>6845</v>
      </c>
      <c r="F901" s="37">
        <v>6</v>
      </c>
      <c r="G901" s="37" t="s">
        <v>6864</v>
      </c>
      <c r="H901" s="63">
        <v>11154</v>
      </c>
    </row>
    <row r="902" spans="1:8" ht="24.75" customHeight="1">
      <c r="A902" s="44" t="s">
        <v>2731</v>
      </c>
      <c r="B902" s="45" t="s">
        <v>6126</v>
      </c>
      <c r="C902" s="45" t="s">
        <v>6983</v>
      </c>
      <c r="D902" s="45" t="s">
        <v>6718</v>
      </c>
      <c r="E902" s="44" t="s">
        <v>6846</v>
      </c>
      <c r="F902" s="37">
        <v>1</v>
      </c>
      <c r="G902" s="37" t="s">
        <v>6864</v>
      </c>
      <c r="H902" s="63">
        <v>12870</v>
      </c>
    </row>
    <row r="903" spans="1:8" ht="24.75" customHeight="1">
      <c r="A903" s="44" t="s">
        <v>2907</v>
      </c>
      <c r="B903" s="45" t="s">
        <v>6127</v>
      </c>
      <c r="C903" s="45" t="s">
        <v>6983</v>
      </c>
      <c r="D903" s="45" t="s">
        <v>6718</v>
      </c>
      <c r="E903" s="44" t="s">
        <v>6846</v>
      </c>
      <c r="F903" s="37">
        <v>1</v>
      </c>
      <c r="G903" s="37" t="s">
        <v>6864</v>
      </c>
      <c r="H903" s="63">
        <v>12870</v>
      </c>
    </row>
    <row r="904" spans="1:8" ht="24.75" customHeight="1">
      <c r="A904" s="44" t="s">
        <v>2148</v>
      </c>
      <c r="B904" s="45" t="s">
        <v>6124</v>
      </c>
      <c r="C904" s="45" t="s">
        <v>6983</v>
      </c>
      <c r="D904" s="45" t="s">
        <v>6718</v>
      </c>
      <c r="E904" s="44" t="s">
        <v>6845</v>
      </c>
      <c r="F904" s="37">
        <v>6</v>
      </c>
      <c r="G904" s="37" t="s">
        <v>6864</v>
      </c>
      <c r="H904" s="63">
        <v>11154</v>
      </c>
    </row>
    <row r="905" spans="1:8" ht="24.75" customHeight="1">
      <c r="A905" s="44" t="s">
        <v>2908</v>
      </c>
      <c r="B905" s="45" t="s">
        <v>6128</v>
      </c>
      <c r="C905" s="45" t="s">
        <v>6983</v>
      </c>
      <c r="D905" s="45" t="s">
        <v>6718</v>
      </c>
      <c r="E905" s="44" t="s">
        <v>6846</v>
      </c>
      <c r="F905" s="37">
        <v>1</v>
      </c>
      <c r="G905" s="37" t="s">
        <v>6864</v>
      </c>
      <c r="H905" s="63">
        <v>12870</v>
      </c>
    </row>
    <row r="906" spans="1:8" ht="24.75" customHeight="1">
      <c r="A906" s="44" t="s">
        <v>2125</v>
      </c>
      <c r="B906" s="45" t="s">
        <v>6119</v>
      </c>
      <c r="C906" s="45" t="s">
        <v>6983</v>
      </c>
      <c r="D906" s="45" t="s">
        <v>6718</v>
      </c>
      <c r="E906" s="44" t="s">
        <v>6846</v>
      </c>
      <c r="F906" s="37">
        <v>1</v>
      </c>
      <c r="G906" s="37" t="s">
        <v>6864</v>
      </c>
      <c r="H906" s="63">
        <v>11154</v>
      </c>
    </row>
    <row r="907" spans="1:8" ht="24.75" customHeight="1">
      <c r="A907" s="44" t="s">
        <v>6130</v>
      </c>
      <c r="B907" s="45" t="s">
        <v>6131</v>
      </c>
      <c r="C907" s="45" t="s">
        <v>6983</v>
      </c>
      <c r="D907" s="45" t="s">
        <v>6718</v>
      </c>
      <c r="E907" s="44" t="s">
        <v>6846</v>
      </c>
      <c r="F907" s="37">
        <v>1</v>
      </c>
      <c r="G907" s="37" t="s">
        <v>6864</v>
      </c>
      <c r="H907" s="63">
        <v>10796.5</v>
      </c>
    </row>
    <row r="908" spans="1:8" ht="24.75" customHeight="1">
      <c r="A908" s="44" t="s">
        <v>1869</v>
      </c>
      <c r="B908" s="45" t="s">
        <v>6118</v>
      </c>
      <c r="C908" s="45" t="s">
        <v>6983</v>
      </c>
      <c r="D908" s="45" t="s">
        <v>6718</v>
      </c>
      <c r="E908" s="44" t="s">
        <v>6846</v>
      </c>
      <c r="F908" s="37">
        <v>1</v>
      </c>
      <c r="G908" s="37" t="s">
        <v>6864</v>
      </c>
      <c r="H908" s="63">
        <v>11154</v>
      </c>
    </row>
    <row r="909" spans="1:8" ht="24.75" customHeight="1">
      <c r="A909" s="44" t="s">
        <v>2945</v>
      </c>
      <c r="B909" s="45" t="s">
        <v>6116</v>
      </c>
      <c r="C909" s="45" t="s">
        <v>6983</v>
      </c>
      <c r="D909" s="45" t="s">
        <v>6718</v>
      </c>
      <c r="E909" s="44" t="s">
        <v>6846</v>
      </c>
      <c r="F909" s="37">
        <v>1</v>
      </c>
      <c r="G909" s="37" t="s">
        <v>6864</v>
      </c>
      <c r="H909" s="63">
        <v>11154</v>
      </c>
    </row>
    <row r="910" spans="1:8" ht="24.75" customHeight="1">
      <c r="A910" s="44" t="s">
        <v>2515</v>
      </c>
      <c r="B910" s="45" t="s">
        <v>4068</v>
      </c>
      <c r="C910" s="45" t="s">
        <v>6983</v>
      </c>
      <c r="D910" s="45" t="s">
        <v>6718</v>
      </c>
      <c r="E910" s="44" t="s">
        <v>6846</v>
      </c>
      <c r="F910" s="37">
        <v>1</v>
      </c>
      <c r="G910" s="37" t="s">
        <v>6864</v>
      </c>
      <c r="H910" s="63">
        <v>15243.8</v>
      </c>
    </row>
    <row r="911" spans="1:8" ht="24.75" customHeight="1">
      <c r="A911" s="44" t="s">
        <v>3149</v>
      </c>
      <c r="B911" s="45" t="s">
        <v>6133</v>
      </c>
      <c r="C911" s="45" t="s">
        <v>6983</v>
      </c>
      <c r="D911" s="45" t="s">
        <v>6718</v>
      </c>
      <c r="E911" s="44" t="s">
        <v>6850</v>
      </c>
      <c r="F911" s="37">
        <v>1</v>
      </c>
      <c r="G911" s="37" t="s">
        <v>6864</v>
      </c>
      <c r="H911" s="63">
        <v>11983.4</v>
      </c>
    </row>
    <row r="912" spans="1:8" ht="24.75" customHeight="1">
      <c r="A912" s="44" t="s">
        <v>3150</v>
      </c>
      <c r="B912" s="45" t="s">
        <v>6134</v>
      </c>
      <c r="C912" s="45" t="s">
        <v>6983</v>
      </c>
      <c r="D912" s="45" t="s">
        <v>6718</v>
      </c>
      <c r="E912" s="44" t="s">
        <v>6850</v>
      </c>
      <c r="F912" s="37">
        <v>1</v>
      </c>
      <c r="G912" s="37" t="s">
        <v>6864</v>
      </c>
      <c r="H912" s="63">
        <v>13828.1</v>
      </c>
    </row>
    <row r="913" spans="1:8" ht="24.75" customHeight="1">
      <c r="A913" s="44" t="s">
        <v>3151</v>
      </c>
      <c r="B913" s="45" t="s">
        <v>6135</v>
      </c>
      <c r="C913" s="45" t="s">
        <v>6983</v>
      </c>
      <c r="D913" s="45" t="s">
        <v>6718</v>
      </c>
      <c r="E913" s="44" t="s">
        <v>6850</v>
      </c>
      <c r="F913" s="37">
        <v>1</v>
      </c>
      <c r="G913" s="37" t="s">
        <v>6864</v>
      </c>
      <c r="H913" s="63">
        <v>13828.1</v>
      </c>
    </row>
    <row r="914" spans="1:8" ht="24.75" customHeight="1">
      <c r="A914" s="44" t="s">
        <v>3148</v>
      </c>
      <c r="B914" s="45" t="s">
        <v>6132</v>
      </c>
      <c r="C914" s="45" t="s">
        <v>6983</v>
      </c>
      <c r="D914" s="45" t="s">
        <v>6718</v>
      </c>
      <c r="E914" s="44" t="s">
        <v>6850</v>
      </c>
      <c r="F914" s="37">
        <v>1</v>
      </c>
      <c r="G914" s="37" t="s">
        <v>6864</v>
      </c>
      <c r="H914" s="63">
        <v>11983.4</v>
      </c>
    </row>
    <row r="915" spans="1:8" ht="24.75" customHeight="1">
      <c r="A915" s="44" t="s">
        <v>2519</v>
      </c>
      <c r="B915" s="45" t="s">
        <v>4072</v>
      </c>
      <c r="C915" s="45" t="s">
        <v>6983</v>
      </c>
      <c r="D915" s="45" t="s">
        <v>6718</v>
      </c>
      <c r="E915" s="44" t="s">
        <v>6846</v>
      </c>
      <c r="F915" s="37">
        <v>1</v>
      </c>
      <c r="G915" s="37" t="s">
        <v>6864</v>
      </c>
      <c r="H915" s="63">
        <v>16773.900000000001</v>
      </c>
    </row>
    <row r="916" spans="1:8" ht="24.75" customHeight="1">
      <c r="A916" s="44" t="s">
        <v>133</v>
      </c>
      <c r="B916" s="45" t="s">
        <v>6103</v>
      </c>
      <c r="C916" s="45" t="s">
        <v>6983</v>
      </c>
      <c r="D916" s="45" t="s">
        <v>6718</v>
      </c>
      <c r="E916" s="44" t="s">
        <v>6857</v>
      </c>
      <c r="F916" s="37">
        <v>1</v>
      </c>
      <c r="G916" s="37" t="s">
        <v>6864</v>
      </c>
      <c r="H916" s="63">
        <v>26369.200000000001</v>
      </c>
    </row>
    <row r="917" spans="1:8" ht="24.75" customHeight="1">
      <c r="A917" s="44" t="s">
        <v>132</v>
      </c>
      <c r="B917" s="45" t="s">
        <v>6102</v>
      </c>
      <c r="C917" s="45" t="s">
        <v>6983</v>
      </c>
      <c r="D917" s="45" t="s">
        <v>6718</v>
      </c>
      <c r="E917" s="44" t="s">
        <v>6857</v>
      </c>
      <c r="F917" s="37">
        <v>1</v>
      </c>
      <c r="G917" s="37" t="s">
        <v>6864</v>
      </c>
      <c r="H917" s="63">
        <v>26369.200000000001</v>
      </c>
    </row>
    <row r="918" spans="1:8" ht="24.75" customHeight="1">
      <c r="A918" s="44" t="s">
        <v>1826</v>
      </c>
      <c r="B918" s="45" t="s">
        <v>6109</v>
      </c>
      <c r="C918" s="45" t="s">
        <v>6983</v>
      </c>
      <c r="D918" s="45" t="s">
        <v>6718</v>
      </c>
      <c r="E918" s="44" t="s">
        <v>6857</v>
      </c>
      <c r="F918" s="37">
        <v>1</v>
      </c>
      <c r="G918" s="37" t="s">
        <v>6864</v>
      </c>
      <c r="H918" s="63">
        <v>21192.6</v>
      </c>
    </row>
    <row r="919" spans="1:8" ht="24.75" customHeight="1">
      <c r="A919" s="44" t="s">
        <v>1675</v>
      </c>
      <c r="B919" s="45" t="s">
        <v>6104</v>
      </c>
      <c r="C919" s="45" t="s">
        <v>6983</v>
      </c>
      <c r="D919" s="45" t="s">
        <v>6718</v>
      </c>
      <c r="E919" s="44" t="s">
        <v>6857</v>
      </c>
      <c r="F919" s="37">
        <v>1</v>
      </c>
      <c r="G919" s="37" t="s">
        <v>6864</v>
      </c>
      <c r="H919" s="63">
        <v>15887.3</v>
      </c>
    </row>
    <row r="920" spans="1:8" ht="24.75" customHeight="1">
      <c r="A920" s="44" t="s">
        <v>1825</v>
      </c>
      <c r="B920" s="45" t="s">
        <v>6107</v>
      </c>
      <c r="C920" s="45" t="s">
        <v>6983</v>
      </c>
      <c r="D920" s="45" t="s">
        <v>6718</v>
      </c>
      <c r="E920" s="44" t="s">
        <v>6857</v>
      </c>
      <c r="F920" s="37">
        <v>1</v>
      </c>
      <c r="G920" s="37" t="s">
        <v>6864</v>
      </c>
      <c r="H920" s="63">
        <v>21192.6</v>
      </c>
    </row>
    <row r="921" spans="1:8" ht="24.75" customHeight="1">
      <c r="A921" s="44" t="s">
        <v>1674</v>
      </c>
      <c r="B921" s="45" t="s">
        <v>6106</v>
      </c>
      <c r="C921" s="45" t="s">
        <v>6983</v>
      </c>
      <c r="D921" s="45" t="s">
        <v>6718</v>
      </c>
      <c r="E921" s="44" t="s">
        <v>6857</v>
      </c>
      <c r="F921" s="37">
        <v>1</v>
      </c>
      <c r="G921" s="37" t="s">
        <v>6864</v>
      </c>
      <c r="H921" s="63">
        <v>30845.1</v>
      </c>
    </row>
    <row r="922" spans="1:8" ht="24.75" customHeight="1">
      <c r="A922" s="44" t="s">
        <v>1673</v>
      </c>
      <c r="B922" s="45" t="s">
        <v>6105</v>
      </c>
      <c r="C922" s="45" t="s">
        <v>6983</v>
      </c>
      <c r="D922" s="45" t="s">
        <v>6718</v>
      </c>
      <c r="E922" s="44" t="s">
        <v>6857</v>
      </c>
      <c r="F922" s="37">
        <v>1</v>
      </c>
      <c r="G922" s="37" t="s">
        <v>6864</v>
      </c>
      <c r="H922" s="63">
        <v>26369.200000000001</v>
      </c>
    </row>
    <row r="923" spans="1:8" ht="24.75" customHeight="1">
      <c r="A923" s="44" t="s">
        <v>1229</v>
      </c>
      <c r="B923" s="45" t="s">
        <v>6108</v>
      </c>
      <c r="C923" s="45" t="s">
        <v>6983</v>
      </c>
      <c r="D923" s="45" t="s">
        <v>6718</v>
      </c>
      <c r="E923" s="44" t="s">
        <v>6857</v>
      </c>
      <c r="F923" s="37">
        <v>1</v>
      </c>
      <c r="G923" s="37" t="s">
        <v>6864</v>
      </c>
      <c r="H923" s="63">
        <v>21192.6</v>
      </c>
    </row>
    <row r="924" spans="1:8" ht="24.75" customHeight="1">
      <c r="A924" s="44" t="s">
        <v>835</v>
      </c>
      <c r="B924" s="45" t="s">
        <v>6110</v>
      </c>
      <c r="C924" s="45" t="s">
        <v>6983</v>
      </c>
      <c r="D924" s="45" t="s">
        <v>6718</v>
      </c>
      <c r="E924" s="44" t="s">
        <v>6857</v>
      </c>
      <c r="F924" s="37">
        <v>1</v>
      </c>
      <c r="G924" s="37" t="s">
        <v>6864</v>
      </c>
      <c r="H924" s="63">
        <v>25311</v>
      </c>
    </row>
    <row r="925" spans="1:8" ht="24.75" customHeight="1">
      <c r="A925" s="44" t="s">
        <v>1219</v>
      </c>
      <c r="B925" s="45" t="s">
        <v>6111</v>
      </c>
      <c r="C925" s="45" t="s">
        <v>6983</v>
      </c>
      <c r="D925" s="45" t="s">
        <v>6718</v>
      </c>
      <c r="E925" s="44" t="s">
        <v>6857</v>
      </c>
      <c r="F925" s="37">
        <v>1</v>
      </c>
      <c r="G925" s="37" t="s">
        <v>6864</v>
      </c>
      <c r="H925" s="63">
        <v>25311</v>
      </c>
    </row>
    <row r="926" spans="1:8" ht="24.75" customHeight="1">
      <c r="A926" s="45" t="s">
        <v>6954</v>
      </c>
      <c r="B926" s="45" t="s">
        <v>6988</v>
      </c>
      <c r="C926" s="45" t="s">
        <v>6983</v>
      </c>
      <c r="D926" s="45" t="s">
        <v>6718</v>
      </c>
      <c r="E926" s="44" t="s">
        <v>6984</v>
      </c>
      <c r="F926" s="37">
        <v>1</v>
      </c>
      <c r="G926" s="37" t="s">
        <v>6864</v>
      </c>
      <c r="H926" s="63">
        <v>5019.3</v>
      </c>
    </row>
    <row r="927" spans="1:8" ht="24.75" customHeight="1">
      <c r="A927" s="45" t="s">
        <v>6955</v>
      </c>
      <c r="B927" s="45" t="s">
        <v>6989</v>
      </c>
      <c r="C927" s="45" t="s">
        <v>6983</v>
      </c>
      <c r="D927" s="45" t="s">
        <v>6718</v>
      </c>
      <c r="E927" s="44" t="s">
        <v>6984</v>
      </c>
      <c r="F927" s="37">
        <v>1</v>
      </c>
      <c r="G927" s="37" t="s">
        <v>6864</v>
      </c>
      <c r="H927" s="63">
        <v>7235.8</v>
      </c>
    </row>
    <row r="928" spans="1:8" ht="24.75" customHeight="1">
      <c r="A928" s="45" t="s">
        <v>6956</v>
      </c>
      <c r="B928" s="45" t="s">
        <v>6990</v>
      </c>
      <c r="C928" s="45" t="s">
        <v>6983</v>
      </c>
      <c r="D928" s="45" t="s">
        <v>6718</v>
      </c>
      <c r="E928" s="44" t="s">
        <v>6984</v>
      </c>
      <c r="F928" s="37">
        <v>1</v>
      </c>
      <c r="G928" s="37" t="s">
        <v>6864</v>
      </c>
      <c r="H928" s="63">
        <v>17817.8</v>
      </c>
    </row>
    <row r="929" spans="1:8" ht="24.75" customHeight="1">
      <c r="A929" s="45" t="s">
        <v>6957</v>
      </c>
      <c r="B929" s="45" t="s">
        <v>6991</v>
      </c>
      <c r="C929" s="45" t="s">
        <v>6983</v>
      </c>
      <c r="D929" s="45" t="s">
        <v>6718</v>
      </c>
      <c r="E929" s="44" t="s">
        <v>6984</v>
      </c>
      <c r="F929" s="37">
        <v>1</v>
      </c>
      <c r="G929" s="37" t="s">
        <v>6864</v>
      </c>
      <c r="H929" s="63">
        <v>17817.8</v>
      </c>
    </row>
    <row r="930" spans="1:8" ht="24.75" customHeight="1">
      <c r="A930" s="45" t="s">
        <v>6958</v>
      </c>
      <c r="B930" s="45" t="s">
        <v>6992</v>
      </c>
      <c r="C930" s="45" t="s">
        <v>6983</v>
      </c>
      <c r="D930" s="45" t="s">
        <v>6718</v>
      </c>
      <c r="E930" s="44" t="s">
        <v>6984</v>
      </c>
      <c r="F930" s="37">
        <v>1</v>
      </c>
      <c r="G930" s="37" t="s">
        <v>6864</v>
      </c>
      <c r="H930" s="63">
        <v>7235.8</v>
      </c>
    </row>
    <row r="931" spans="1:8" ht="24.75" customHeight="1">
      <c r="A931" s="45" t="s">
        <v>6959</v>
      </c>
      <c r="B931" s="45" t="s">
        <v>6993</v>
      </c>
      <c r="C931" s="45" t="s">
        <v>6983</v>
      </c>
      <c r="D931" s="45" t="s">
        <v>6718</v>
      </c>
      <c r="E931" s="44" t="s">
        <v>6984</v>
      </c>
      <c r="F931" s="37">
        <v>1</v>
      </c>
      <c r="G931" s="37" t="s">
        <v>6864</v>
      </c>
      <c r="H931" s="63">
        <v>7235.8</v>
      </c>
    </row>
    <row r="932" spans="1:8" ht="24.75" customHeight="1">
      <c r="A932" s="45" t="s">
        <v>6960</v>
      </c>
      <c r="B932" s="45" t="s">
        <v>6994</v>
      </c>
      <c r="C932" s="45" t="s">
        <v>6983</v>
      </c>
      <c r="D932" s="45" t="s">
        <v>6718</v>
      </c>
      <c r="E932" s="44" t="s">
        <v>6984</v>
      </c>
      <c r="F932" s="37">
        <v>1</v>
      </c>
      <c r="G932" s="37" t="s">
        <v>6864</v>
      </c>
      <c r="H932" s="63">
        <v>7235.8</v>
      </c>
    </row>
    <row r="933" spans="1:8" ht="24.75" customHeight="1">
      <c r="A933" s="45" t="s">
        <v>6961</v>
      </c>
      <c r="B933" s="45" t="s">
        <v>6962</v>
      </c>
      <c r="C933" s="45" t="s">
        <v>6983</v>
      </c>
      <c r="D933" s="45" t="s">
        <v>6718</v>
      </c>
      <c r="E933" s="44" t="s">
        <v>6984</v>
      </c>
      <c r="F933" s="37">
        <v>1</v>
      </c>
      <c r="G933" s="37" t="s">
        <v>6864</v>
      </c>
      <c r="H933" s="63">
        <v>18375.5</v>
      </c>
    </row>
    <row r="934" spans="1:8" ht="24.75" customHeight="1">
      <c r="A934" s="45" t="s">
        <v>6963</v>
      </c>
      <c r="B934" s="45" t="s">
        <v>6964</v>
      </c>
      <c r="C934" s="45" t="s">
        <v>6983</v>
      </c>
      <c r="D934" s="45" t="s">
        <v>6718</v>
      </c>
      <c r="E934" s="44" t="s">
        <v>6984</v>
      </c>
      <c r="F934" s="37">
        <v>1</v>
      </c>
      <c r="G934" s="37" t="s">
        <v>6864</v>
      </c>
      <c r="H934" s="63">
        <v>18375.5</v>
      </c>
    </row>
    <row r="935" spans="1:8" ht="24.75" customHeight="1">
      <c r="A935" s="45" t="s">
        <v>6965</v>
      </c>
      <c r="B935" s="45" t="s">
        <v>6995</v>
      </c>
      <c r="C935" s="45" t="s">
        <v>6983</v>
      </c>
      <c r="D935" s="45" t="s">
        <v>6718</v>
      </c>
      <c r="E935" s="44" t="s">
        <v>6984</v>
      </c>
      <c r="F935" s="37">
        <v>1</v>
      </c>
      <c r="G935" s="37" t="s">
        <v>6864</v>
      </c>
      <c r="H935" s="63">
        <v>7235.8</v>
      </c>
    </row>
    <row r="936" spans="1:8" ht="24.75" customHeight="1">
      <c r="A936" s="45" t="s">
        <v>6966</v>
      </c>
      <c r="B936" s="45" t="s">
        <v>6996</v>
      </c>
      <c r="C936" s="45" t="s">
        <v>6983</v>
      </c>
      <c r="D936" s="45" t="s">
        <v>6718</v>
      </c>
      <c r="E936" s="44" t="s">
        <v>6984</v>
      </c>
      <c r="F936" s="37">
        <v>1</v>
      </c>
      <c r="G936" s="37" t="s">
        <v>6864</v>
      </c>
      <c r="H936" s="63">
        <v>7235.8</v>
      </c>
    </row>
    <row r="937" spans="1:8" ht="24.75" customHeight="1">
      <c r="A937" s="45" t="s">
        <v>6967</v>
      </c>
      <c r="B937" s="45" t="s">
        <v>6968</v>
      </c>
      <c r="C937" s="45" t="s">
        <v>6983</v>
      </c>
      <c r="D937" s="45" t="s">
        <v>6718</v>
      </c>
      <c r="E937" s="44" t="s">
        <v>6984</v>
      </c>
      <c r="F937" s="37">
        <v>1</v>
      </c>
      <c r="G937" s="37" t="s">
        <v>6864</v>
      </c>
      <c r="H937" s="63">
        <v>6678.1</v>
      </c>
    </row>
    <row r="938" spans="1:8" ht="24.75" customHeight="1">
      <c r="A938" s="45" t="s">
        <v>6969</v>
      </c>
      <c r="B938" s="45" t="s">
        <v>6970</v>
      </c>
      <c r="C938" s="45" t="s">
        <v>6983</v>
      </c>
      <c r="D938" s="45" t="s">
        <v>6718</v>
      </c>
      <c r="E938" s="44" t="s">
        <v>6984</v>
      </c>
      <c r="F938" s="37">
        <v>1</v>
      </c>
      <c r="G938" s="37" t="s">
        <v>6864</v>
      </c>
      <c r="H938" s="63">
        <v>17817.8</v>
      </c>
    </row>
    <row r="939" spans="1:8" ht="24.75" customHeight="1">
      <c r="A939" s="45" t="s">
        <v>6971</v>
      </c>
      <c r="B939" s="45" t="s">
        <v>6972</v>
      </c>
      <c r="C939" s="45" t="s">
        <v>6983</v>
      </c>
      <c r="D939" s="45" t="s">
        <v>6718</v>
      </c>
      <c r="E939" s="44" t="s">
        <v>6984</v>
      </c>
      <c r="F939" s="37">
        <v>1</v>
      </c>
      <c r="G939" s="37" t="s">
        <v>6864</v>
      </c>
      <c r="H939" s="63">
        <v>17817.8</v>
      </c>
    </row>
    <row r="940" spans="1:8" ht="24.75" customHeight="1">
      <c r="A940" s="45" t="s">
        <v>6973</v>
      </c>
      <c r="B940" s="45" t="s">
        <v>6974</v>
      </c>
      <c r="C940" s="45" t="s">
        <v>6983</v>
      </c>
      <c r="D940" s="45" t="s">
        <v>6718</v>
      </c>
      <c r="E940" s="44" t="s">
        <v>6984</v>
      </c>
      <c r="F940" s="37">
        <v>1</v>
      </c>
      <c r="G940" s="37" t="s">
        <v>6864</v>
      </c>
      <c r="H940" s="63">
        <v>6678.1</v>
      </c>
    </row>
    <row r="941" spans="1:8" ht="24.75" customHeight="1">
      <c r="A941" s="45" t="s">
        <v>6975</v>
      </c>
      <c r="B941" s="45" t="s">
        <v>6976</v>
      </c>
      <c r="C941" s="45" t="s">
        <v>6983</v>
      </c>
      <c r="D941" s="45" t="s">
        <v>6718</v>
      </c>
      <c r="E941" s="44" t="s">
        <v>6984</v>
      </c>
      <c r="F941" s="37">
        <v>1</v>
      </c>
      <c r="G941" s="37" t="s">
        <v>6864</v>
      </c>
      <c r="H941" s="63">
        <v>6678.1</v>
      </c>
    </row>
    <row r="942" spans="1:8" ht="24.75" customHeight="1">
      <c r="A942" s="45" t="s">
        <v>6977</v>
      </c>
      <c r="B942" s="45" t="s">
        <v>6997</v>
      </c>
      <c r="C942" s="45" t="s">
        <v>6983</v>
      </c>
      <c r="D942" s="45" t="s">
        <v>6718</v>
      </c>
      <c r="E942" s="44" t="s">
        <v>6984</v>
      </c>
      <c r="F942" s="37">
        <v>1</v>
      </c>
      <c r="G942" s="37" t="s">
        <v>6864</v>
      </c>
      <c r="H942" s="63">
        <v>5019.3</v>
      </c>
    </row>
    <row r="943" spans="1:8" ht="24.75" customHeight="1">
      <c r="A943" s="45" t="s">
        <v>6978</v>
      </c>
      <c r="B943" s="45" t="s">
        <v>6998</v>
      </c>
      <c r="C943" s="45" t="s">
        <v>6983</v>
      </c>
      <c r="D943" s="45" t="s">
        <v>6718</v>
      </c>
      <c r="E943" s="44" t="s">
        <v>6984</v>
      </c>
      <c r="F943" s="37">
        <v>1</v>
      </c>
      <c r="G943" s="37" t="s">
        <v>6864</v>
      </c>
      <c r="H943" s="63">
        <v>5019.3</v>
      </c>
    </row>
    <row r="944" spans="1:8" ht="24.75" customHeight="1">
      <c r="A944" s="44" t="s">
        <v>993</v>
      </c>
      <c r="B944" s="45" t="s">
        <v>5707</v>
      </c>
      <c r="C944" s="45" t="s">
        <v>6719</v>
      </c>
      <c r="D944" s="45" t="s">
        <v>6720</v>
      </c>
      <c r="E944" s="44" t="s">
        <v>6839</v>
      </c>
      <c r="F944" s="37">
        <v>1</v>
      </c>
      <c r="G944" s="37" t="s">
        <v>6864</v>
      </c>
      <c r="H944" s="63">
        <v>12655.5</v>
      </c>
    </row>
    <row r="945" spans="1:8" ht="24.75" customHeight="1">
      <c r="A945" s="44" t="s">
        <v>676</v>
      </c>
      <c r="B945" s="45" t="s">
        <v>3308</v>
      </c>
      <c r="C945" s="45" t="s">
        <v>6719</v>
      </c>
      <c r="D945" s="45" t="s">
        <v>6720</v>
      </c>
      <c r="E945" s="44" t="s">
        <v>6841</v>
      </c>
      <c r="F945" s="37">
        <v>1</v>
      </c>
      <c r="G945" s="37" t="s">
        <v>6864</v>
      </c>
      <c r="H945" s="63">
        <v>16602.3</v>
      </c>
    </row>
    <row r="946" spans="1:8" ht="24.75" customHeight="1">
      <c r="A946" s="44" t="s">
        <v>675</v>
      </c>
      <c r="B946" s="45" t="s">
        <v>3307</v>
      </c>
      <c r="C946" s="45" t="s">
        <v>6719</v>
      </c>
      <c r="D946" s="45" t="s">
        <v>6720</v>
      </c>
      <c r="E946" s="44"/>
      <c r="F946" s="37">
        <v>1</v>
      </c>
      <c r="G946" s="37" t="s">
        <v>6864</v>
      </c>
      <c r="H946" s="63">
        <v>33104.5</v>
      </c>
    </row>
    <row r="947" spans="1:8" ht="24.75" customHeight="1">
      <c r="A947" s="44" t="s">
        <v>530</v>
      </c>
      <c r="B947" s="45" t="s">
        <v>5737</v>
      </c>
      <c r="C947" s="45" t="s">
        <v>6719</v>
      </c>
      <c r="D947" s="45" t="s">
        <v>6720</v>
      </c>
      <c r="E947" s="44" t="s">
        <v>6839</v>
      </c>
      <c r="F947" s="37">
        <v>1</v>
      </c>
      <c r="G947" s="37" t="s">
        <v>6864</v>
      </c>
      <c r="H947" s="63">
        <v>6806.8</v>
      </c>
    </row>
    <row r="948" spans="1:8" ht="24.75" customHeight="1">
      <c r="A948" s="44" t="s">
        <v>2912</v>
      </c>
      <c r="B948" s="45" t="s">
        <v>3309</v>
      </c>
      <c r="C948" s="45" t="s">
        <v>6719</v>
      </c>
      <c r="D948" s="45" t="s">
        <v>6720</v>
      </c>
      <c r="E948" s="44"/>
      <c r="F948" s="37">
        <v>1</v>
      </c>
      <c r="G948" s="37" t="s">
        <v>2568</v>
      </c>
      <c r="H948" s="63">
        <v>17875</v>
      </c>
    </row>
    <row r="949" spans="1:8" ht="24.75" customHeight="1">
      <c r="A949" s="44" t="s">
        <v>1619</v>
      </c>
      <c r="B949" s="45" t="s">
        <v>5513</v>
      </c>
      <c r="C949" s="45" t="s">
        <v>6719</v>
      </c>
      <c r="D949" s="45" t="s">
        <v>6720</v>
      </c>
      <c r="E949" s="44" t="s">
        <v>6839</v>
      </c>
      <c r="F949" s="37">
        <v>1</v>
      </c>
      <c r="G949" s="37" t="s">
        <v>6864</v>
      </c>
      <c r="H949" s="63">
        <v>17488.900000000001</v>
      </c>
    </row>
    <row r="950" spans="1:8" ht="24.75" customHeight="1">
      <c r="A950" s="44" t="s">
        <v>674</v>
      </c>
      <c r="B950" s="45" t="s">
        <v>3306</v>
      </c>
      <c r="C950" s="45" t="s">
        <v>6719</v>
      </c>
      <c r="D950" s="45" t="s">
        <v>6720</v>
      </c>
      <c r="E950" s="44"/>
      <c r="F950" s="37">
        <v>1</v>
      </c>
      <c r="G950" s="37" t="s">
        <v>6864</v>
      </c>
      <c r="H950" s="63">
        <v>22694.1</v>
      </c>
    </row>
    <row r="951" spans="1:8" ht="24.75" customHeight="1">
      <c r="A951" s="44" t="s">
        <v>2836</v>
      </c>
      <c r="B951" s="45" t="s">
        <v>5841</v>
      </c>
      <c r="C951" s="45" t="s">
        <v>6719</v>
      </c>
      <c r="D951" s="45" t="s">
        <v>6720</v>
      </c>
      <c r="E951" s="44" t="s">
        <v>6839</v>
      </c>
      <c r="F951" s="37">
        <v>1</v>
      </c>
      <c r="G951" s="37" t="s">
        <v>6864</v>
      </c>
      <c r="H951" s="63">
        <v>17603.3</v>
      </c>
    </row>
    <row r="952" spans="1:8" ht="24.75" customHeight="1">
      <c r="A952" s="44" t="s">
        <v>1186</v>
      </c>
      <c r="B952" s="45" t="s">
        <v>5160</v>
      </c>
      <c r="C952" s="45" t="s">
        <v>6719</v>
      </c>
      <c r="D952" s="45" t="s">
        <v>6720</v>
      </c>
      <c r="E952" s="44" t="s">
        <v>6839</v>
      </c>
      <c r="F952" s="37">
        <v>1</v>
      </c>
      <c r="G952" s="37" t="s">
        <v>6864</v>
      </c>
      <c r="H952" s="63">
        <v>7536.1</v>
      </c>
    </row>
    <row r="953" spans="1:8" ht="24.75" customHeight="1">
      <c r="A953" s="44" t="s">
        <v>1231</v>
      </c>
      <c r="B953" s="45" t="s">
        <v>5048</v>
      </c>
      <c r="C953" s="45" t="s">
        <v>6719</v>
      </c>
      <c r="D953" s="45" t="s">
        <v>6720</v>
      </c>
      <c r="E953" s="44"/>
      <c r="F953" s="37">
        <v>1</v>
      </c>
      <c r="G953" s="37" t="s">
        <v>6864</v>
      </c>
      <c r="H953" s="63">
        <v>12827.1</v>
      </c>
    </row>
    <row r="954" spans="1:8" ht="24.75" customHeight="1">
      <c r="A954" s="44" t="s">
        <v>1217</v>
      </c>
      <c r="B954" s="45" t="s">
        <v>5968</v>
      </c>
      <c r="C954" s="45" t="s">
        <v>6719</v>
      </c>
      <c r="D954" s="45" t="s">
        <v>6720</v>
      </c>
      <c r="E954" s="44" t="s">
        <v>6839</v>
      </c>
      <c r="F954" s="37">
        <v>1</v>
      </c>
      <c r="G954" s="37" t="s">
        <v>6864</v>
      </c>
      <c r="H954" s="63">
        <v>13842.4</v>
      </c>
    </row>
    <row r="955" spans="1:8" ht="24.75" customHeight="1">
      <c r="A955" s="44" t="s">
        <v>1440</v>
      </c>
      <c r="B955" s="45" t="s">
        <v>5001</v>
      </c>
      <c r="C955" s="45" t="s">
        <v>6719</v>
      </c>
      <c r="D955" s="45" t="s">
        <v>6721</v>
      </c>
      <c r="E955" s="44"/>
      <c r="F955" s="37">
        <v>1</v>
      </c>
      <c r="G955" s="37" t="s">
        <v>6864</v>
      </c>
      <c r="H955" s="63">
        <v>47676.2</v>
      </c>
    </row>
    <row r="956" spans="1:8" ht="24.75" customHeight="1">
      <c r="A956" s="44" t="s">
        <v>3119</v>
      </c>
      <c r="B956" s="45" t="s">
        <v>5372</v>
      </c>
      <c r="C956" s="45" t="s">
        <v>6719</v>
      </c>
      <c r="D956" s="45" t="s">
        <v>6721</v>
      </c>
      <c r="E956" s="44"/>
      <c r="F956" s="37">
        <v>1</v>
      </c>
      <c r="G956" s="37" t="s">
        <v>6864</v>
      </c>
      <c r="H956" s="63">
        <v>17202.900000000001</v>
      </c>
    </row>
    <row r="957" spans="1:8" ht="24.75" customHeight="1">
      <c r="A957" s="44" t="s">
        <v>3120</v>
      </c>
      <c r="B957" s="45" t="s">
        <v>5373</v>
      </c>
      <c r="C957" s="45" t="s">
        <v>6719</v>
      </c>
      <c r="D957" s="45" t="s">
        <v>6721</v>
      </c>
      <c r="E957" s="44"/>
      <c r="F957" s="37">
        <v>1</v>
      </c>
      <c r="G957" s="37" t="s">
        <v>6864</v>
      </c>
      <c r="H957" s="63">
        <v>17202.900000000001</v>
      </c>
    </row>
    <row r="958" spans="1:8" ht="24.75" customHeight="1">
      <c r="A958" s="44" t="s">
        <v>1620</v>
      </c>
      <c r="B958" s="45" t="s">
        <v>5514</v>
      </c>
      <c r="C958" s="45" t="s">
        <v>6719</v>
      </c>
      <c r="D958" s="45" t="s">
        <v>6722</v>
      </c>
      <c r="E958" s="44"/>
      <c r="F958" s="37">
        <v>2</v>
      </c>
      <c r="G958" s="37" t="s">
        <v>6864</v>
      </c>
      <c r="H958" s="63">
        <v>6878.3</v>
      </c>
    </row>
    <row r="959" spans="1:8" ht="24.75" customHeight="1">
      <c r="A959" s="44" t="s">
        <v>2835</v>
      </c>
      <c r="B959" s="45" t="s">
        <v>5840</v>
      </c>
      <c r="C959" s="45" t="s">
        <v>6719</v>
      </c>
      <c r="D959" s="45" t="s">
        <v>6722</v>
      </c>
      <c r="E959" s="44" t="s">
        <v>6839</v>
      </c>
      <c r="F959" s="37">
        <v>1</v>
      </c>
      <c r="G959" s="37" t="s">
        <v>6865</v>
      </c>
      <c r="H959" s="63">
        <v>16645.2</v>
      </c>
    </row>
    <row r="960" spans="1:8" ht="24.75" customHeight="1">
      <c r="A960" s="44" t="s">
        <v>932</v>
      </c>
      <c r="B960" s="45" t="s">
        <v>3311</v>
      </c>
      <c r="C960" s="45" t="s">
        <v>6719</v>
      </c>
      <c r="D960" s="45" t="s">
        <v>6722</v>
      </c>
      <c r="E960" s="44" t="s">
        <v>6841</v>
      </c>
      <c r="F960" s="37">
        <v>1</v>
      </c>
      <c r="G960" s="37" t="s">
        <v>6865</v>
      </c>
      <c r="H960" s="63">
        <v>6149</v>
      </c>
    </row>
    <row r="961" spans="1:8" ht="24.75" customHeight="1">
      <c r="A961" s="44" t="s">
        <v>1490</v>
      </c>
      <c r="B961" s="45" t="s">
        <v>5966</v>
      </c>
      <c r="C961" s="45" t="s">
        <v>6719</v>
      </c>
      <c r="D961" s="45" t="s">
        <v>6722</v>
      </c>
      <c r="E961" s="44" t="s">
        <v>6839</v>
      </c>
      <c r="F961" s="37">
        <v>1</v>
      </c>
      <c r="G961" s="37" t="s">
        <v>2568</v>
      </c>
      <c r="H961" s="63">
        <v>6635.2</v>
      </c>
    </row>
    <row r="962" spans="1:8" ht="24.75" customHeight="1">
      <c r="A962" s="44" t="s">
        <v>937</v>
      </c>
      <c r="B962" s="45" t="s">
        <v>3316</v>
      </c>
      <c r="C962" s="45" t="s">
        <v>6719</v>
      </c>
      <c r="D962" s="45" t="s">
        <v>6722</v>
      </c>
      <c r="E962" s="44" t="s">
        <v>6841</v>
      </c>
      <c r="F962" s="37">
        <v>1</v>
      </c>
      <c r="G962" s="37" t="s">
        <v>6865</v>
      </c>
      <c r="H962" s="63">
        <v>5863</v>
      </c>
    </row>
    <row r="963" spans="1:8" ht="24.75" customHeight="1">
      <c r="A963" s="44" t="s">
        <v>934</v>
      </c>
      <c r="B963" s="45" t="s">
        <v>3313</v>
      </c>
      <c r="C963" s="45" t="s">
        <v>6719</v>
      </c>
      <c r="D963" s="45" t="s">
        <v>6722</v>
      </c>
      <c r="E963" s="44" t="s">
        <v>6841</v>
      </c>
      <c r="F963" s="37">
        <v>1</v>
      </c>
      <c r="G963" s="37" t="s">
        <v>6865</v>
      </c>
      <c r="H963" s="63">
        <v>5362.5</v>
      </c>
    </row>
    <row r="964" spans="1:8" ht="24.75" customHeight="1">
      <c r="A964" s="44" t="s">
        <v>933</v>
      </c>
      <c r="B964" s="45" t="s">
        <v>3312</v>
      </c>
      <c r="C964" s="45" t="s">
        <v>6719</v>
      </c>
      <c r="D964" s="45" t="s">
        <v>6722</v>
      </c>
      <c r="E964" s="44" t="s">
        <v>6841</v>
      </c>
      <c r="F964" s="37">
        <v>1</v>
      </c>
      <c r="G964" s="37" t="s">
        <v>6865</v>
      </c>
      <c r="H964" s="63">
        <v>5863</v>
      </c>
    </row>
    <row r="965" spans="1:8" ht="24.75" customHeight="1">
      <c r="A965" s="44" t="s">
        <v>1489</v>
      </c>
      <c r="B965" s="45" t="s">
        <v>5971</v>
      </c>
      <c r="C965" s="45" t="s">
        <v>6719</v>
      </c>
      <c r="D965" s="45" t="s">
        <v>6722</v>
      </c>
      <c r="E965" s="44"/>
      <c r="F965" s="37">
        <v>1</v>
      </c>
      <c r="G965" s="37" t="s">
        <v>2568</v>
      </c>
      <c r="H965" s="63">
        <v>13256.1</v>
      </c>
    </row>
    <row r="966" spans="1:8" ht="24.75" customHeight="1">
      <c r="A966" s="44" t="s">
        <v>936</v>
      </c>
      <c r="B966" s="45" t="s">
        <v>3315</v>
      </c>
      <c r="C966" s="45" t="s">
        <v>6719</v>
      </c>
      <c r="D966" s="45" t="s">
        <v>6722</v>
      </c>
      <c r="E966" s="44" t="s">
        <v>6841</v>
      </c>
      <c r="F966" s="37">
        <v>1</v>
      </c>
      <c r="G966" s="37" t="s">
        <v>6865</v>
      </c>
      <c r="H966" s="63">
        <v>5863</v>
      </c>
    </row>
    <row r="967" spans="1:8" ht="24.75" customHeight="1">
      <c r="A967" s="44" t="s">
        <v>935</v>
      </c>
      <c r="B967" s="45" t="s">
        <v>3314</v>
      </c>
      <c r="C967" s="45" t="s">
        <v>6719</v>
      </c>
      <c r="D967" s="45" t="s">
        <v>6722</v>
      </c>
      <c r="E967" s="44" t="s">
        <v>6841</v>
      </c>
      <c r="F967" s="37">
        <v>1</v>
      </c>
      <c r="G967" s="37" t="s">
        <v>6865</v>
      </c>
      <c r="H967" s="63">
        <v>5863</v>
      </c>
    </row>
    <row r="968" spans="1:8" ht="24.75" customHeight="1">
      <c r="A968" s="44" t="s">
        <v>1344</v>
      </c>
      <c r="B968" s="45" t="s">
        <v>5173</v>
      </c>
      <c r="C968" s="45" t="s">
        <v>6719</v>
      </c>
      <c r="D968" s="45" t="s">
        <v>6722</v>
      </c>
      <c r="E968" s="44" t="s">
        <v>6839</v>
      </c>
      <c r="F968" s="37">
        <v>10</v>
      </c>
      <c r="G968" s="37" t="s">
        <v>2568</v>
      </c>
      <c r="H968" s="63">
        <v>4290</v>
      </c>
    </row>
    <row r="969" spans="1:8" ht="24.75" customHeight="1">
      <c r="A969" s="44" t="s">
        <v>931</v>
      </c>
      <c r="B969" s="45" t="s">
        <v>3310</v>
      </c>
      <c r="C969" s="45" t="s">
        <v>6719</v>
      </c>
      <c r="D969" s="45" t="s">
        <v>6722</v>
      </c>
      <c r="E969" s="44" t="s">
        <v>6841</v>
      </c>
      <c r="F969" s="37">
        <v>1</v>
      </c>
      <c r="G969" s="37" t="s">
        <v>6865</v>
      </c>
      <c r="H969" s="63">
        <v>5863</v>
      </c>
    </row>
    <row r="970" spans="1:8" ht="24.75" customHeight="1">
      <c r="A970" s="44" t="s">
        <v>3118</v>
      </c>
      <c r="B970" s="45" t="s">
        <v>5366</v>
      </c>
      <c r="C970" s="45" t="s">
        <v>6719</v>
      </c>
      <c r="D970" s="45" t="s">
        <v>6723</v>
      </c>
      <c r="E970" s="44"/>
      <c r="F970" s="37">
        <v>1</v>
      </c>
      <c r="G970" s="37" t="s">
        <v>6864</v>
      </c>
      <c r="H970" s="63">
        <v>18918.900000000001</v>
      </c>
    </row>
    <row r="971" spans="1:8" ht="24.75" customHeight="1">
      <c r="A971" s="44" t="s">
        <v>1604</v>
      </c>
      <c r="B971" s="45" t="s">
        <v>5491</v>
      </c>
      <c r="C971" s="45" t="s">
        <v>6719</v>
      </c>
      <c r="D971" s="45" t="s">
        <v>6723</v>
      </c>
      <c r="E971" s="44" t="s">
        <v>6839</v>
      </c>
      <c r="F971" s="37">
        <v>1</v>
      </c>
      <c r="G971" s="37" t="s">
        <v>6864</v>
      </c>
      <c r="H971" s="63">
        <v>20105.8</v>
      </c>
    </row>
    <row r="972" spans="1:8" ht="24.75" customHeight="1">
      <c r="A972" s="44" t="s">
        <v>604</v>
      </c>
      <c r="B972" s="45" t="s">
        <v>5650</v>
      </c>
      <c r="C972" s="45" t="s">
        <v>6719</v>
      </c>
      <c r="D972" s="45" t="s">
        <v>6723</v>
      </c>
      <c r="E972" s="44" t="s">
        <v>6839</v>
      </c>
      <c r="F972" s="37">
        <v>1</v>
      </c>
      <c r="G972" s="37" t="s">
        <v>6864</v>
      </c>
      <c r="H972" s="63">
        <v>13442</v>
      </c>
    </row>
    <row r="973" spans="1:8" ht="24.75" customHeight="1">
      <c r="A973" s="44" t="s">
        <v>2822</v>
      </c>
      <c r="B973" s="45" t="s">
        <v>5821</v>
      </c>
      <c r="C973" s="45" t="s">
        <v>6719</v>
      </c>
      <c r="D973" s="45" t="s">
        <v>6723</v>
      </c>
      <c r="E973" s="44"/>
      <c r="F973" s="37">
        <v>1</v>
      </c>
      <c r="G973" s="37" t="s">
        <v>6864</v>
      </c>
      <c r="H973" s="63">
        <v>18918.900000000001</v>
      </c>
    </row>
    <row r="974" spans="1:8" ht="24.75" customHeight="1">
      <c r="A974" s="44" t="s">
        <v>1471</v>
      </c>
      <c r="B974" s="45" t="s">
        <v>5038</v>
      </c>
      <c r="C974" s="45" t="s">
        <v>6719</v>
      </c>
      <c r="D974" s="45" t="s">
        <v>6723</v>
      </c>
      <c r="E974" s="44"/>
      <c r="F974" s="37">
        <v>1</v>
      </c>
      <c r="G974" s="37" t="s">
        <v>6864</v>
      </c>
      <c r="H974" s="63">
        <v>20534.8</v>
      </c>
    </row>
    <row r="975" spans="1:8" ht="24.75" customHeight="1">
      <c r="A975" s="44" t="s">
        <v>755</v>
      </c>
      <c r="B975" s="45" t="s">
        <v>5950</v>
      </c>
      <c r="C975" s="45" t="s">
        <v>6719</v>
      </c>
      <c r="D975" s="45" t="s">
        <v>6723</v>
      </c>
      <c r="E975" s="44" t="s">
        <v>6839</v>
      </c>
      <c r="F975" s="37">
        <v>1</v>
      </c>
      <c r="G975" s="37" t="s">
        <v>6864</v>
      </c>
      <c r="H975" s="63">
        <v>6563.7</v>
      </c>
    </row>
    <row r="976" spans="1:8" ht="24.75" customHeight="1">
      <c r="A976" s="44" t="s">
        <v>3114</v>
      </c>
      <c r="B976" s="45" t="s">
        <v>5356</v>
      </c>
      <c r="C976" s="45" t="s">
        <v>6719</v>
      </c>
      <c r="D976" s="45" t="s">
        <v>6723</v>
      </c>
      <c r="E976" s="44"/>
      <c r="F976" s="37">
        <v>1</v>
      </c>
      <c r="G976" s="37" t="s">
        <v>6864</v>
      </c>
      <c r="H976" s="63">
        <v>8336.9</v>
      </c>
    </row>
    <row r="977" spans="1:8" ht="24.75" customHeight="1">
      <c r="A977" s="44" t="s">
        <v>1043</v>
      </c>
      <c r="B977" s="45" t="s">
        <v>5721</v>
      </c>
      <c r="C977" s="45" t="s">
        <v>6719</v>
      </c>
      <c r="D977" s="45" t="s">
        <v>6723</v>
      </c>
      <c r="E977" s="44" t="s">
        <v>6839</v>
      </c>
      <c r="F977" s="37">
        <v>1</v>
      </c>
      <c r="G977" s="37" t="s">
        <v>6864</v>
      </c>
      <c r="H977" s="63">
        <v>13656.5</v>
      </c>
    </row>
    <row r="978" spans="1:8" ht="24.75" customHeight="1">
      <c r="A978" s="44" t="s">
        <v>2186</v>
      </c>
      <c r="B978" s="45" t="s">
        <v>5936</v>
      </c>
      <c r="C978" s="45" t="s">
        <v>6719</v>
      </c>
      <c r="D978" s="45" t="s">
        <v>6723</v>
      </c>
      <c r="E978" s="44"/>
      <c r="F978" s="37">
        <v>1</v>
      </c>
      <c r="G978" s="37" t="s">
        <v>6864</v>
      </c>
      <c r="H978" s="63">
        <v>13227.5</v>
      </c>
    </row>
    <row r="979" spans="1:8" ht="24.75" customHeight="1">
      <c r="A979" s="44" t="s">
        <v>1605</v>
      </c>
      <c r="B979" s="45" t="s">
        <v>5492</v>
      </c>
      <c r="C979" s="45" t="s">
        <v>6719</v>
      </c>
      <c r="D979" s="45" t="s">
        <v>6723</v>
      </c>
      <c r="E979" s="44" t="s">
        <v>6839</v>
      </c>
      <c r="F979" s="37">
        <v>1</v>
      </c>
      <c r="G979" s="37" t="s">
        <v>6864</v>
      </c>
      <c r="H979" s="63">
        <v>21321.3</v>
      </c>
    </row>
    <row r="980" spans="1:8" ht="24.75" customHeight="1">
      <c r="A980" s="44" t="s">
        <v>3117</v>
      </c>
      <c r="B980" s="45" t="s">
        <v>5362</v>
      </c>
      <c r="C980" s="45" t="s">
        <v>6719</v>
      </c>
      <c r="D980" s="45" t="s">
        <v>6723</v>
      </c>
      <c r="E980" s="44"/>
      <c r="F980" s="37">
        <v>1</v>
      </c>
      <c r="G980" s="37" t="s">
        <v>6864</v>
      </c>
      <c r="H980" s="63">
        <v>15658.5</v>
      </c>
    </row>
    <row r="981" spans="1:8" ht="24.75" customHeight="1">
      <c r="A981" s="44" t="s">
        <v>1470</v>
      </c>
      <c r="B981" s="45" t="s">
        <v>5037</v>
      </c>
      <c r="C981" s="45" t="s">
        <v>6719</v>
      </c>
      <c r="D981" s="45" t="s">
        <v>6723</v>
      </c>
      <c r="E981" s="44"/>
      <c r="F981" s="37">
        <v>1</v>
      </c>
      <c r="G981" s="37" t="s">
        <v>6864</v>
      </c>
      <c r="H981" s="63">
        <v>14142.7</v>
      </c>
    </row>
    <row r="982" spans="1:8" ht="24.75" customHeight="1">
      <c r="A982" s="44" t="s">
        <v>2436</v>
      </c>
      <c r="B982" s="45" t="s">
        <v>5951</v>
      </c>
      <c r="C982" s="45" t="s">
        <v>6719</v>
      </c>
      <c r="D982" s="45" t="s">
        <v>6723</v>
      </c>
      <c r="E982" s="44" t="s">
        <v>6839</v>
      </c>
      <c r="F982" s="37">
        <v>1</v>
      </c>
      <c r="G982" s="37" t="s">
        <v>6864</v>
      </c>
      <c r="H982" s="63">
        <v>11797.5</v>
      </c>
    </row>
    <row r="983" spans="1:8" ht="24.75" customHeight="1">
      <c r="A983" s="44" t="s">
        <v>526</v>
      </c>
      <c r="B983" s="45" t="s">
        <v>5733</v>
      </c>
      <c r="C983" s="45" t="s">
        <v>6719</v>
      </c>
      <c r="D983" s="45" t="s">
        <v>6723</v>
      </c>
      <c r="E983" s="44" t="s">
        <v>6839</v>
      </c>
      <c r="F983" s="37">
        <v>10</v>
      </c>
      <c r="G983" s="37" t="s">
        <v>2568</v>
      </c>
      <c r="H983" s="63">
        <v>1730.3</v>
      </c>
    </row>
    <row r="984" spans="1:8" ht="24.75" customHeight="1">
      <c r="A984" s="44" t="s">
        <v>276</v>
      </c>
      <c r="B984" s="45" t="s">
        <v>3358</v>
      </c>
      <c r="C984" s="45" t="s">
        <v>6719</v>
      </c>
      <c r="D984" s="45" t="s">
        <v>6724</v>
      </c>
      <c r="E984" s="44" t="s">
        <v>6841</v>
      </c>
      <c r="F984" s="37">
        <v>1</v>
      </c>
      <c r="G984" s="37" t="s">
        <v>2568</v>
      </c>
      <c r="H984" s="63">
        <v>16988.400000000001</v>
      </c>
    </row>
    <row r="985" spans="1:8" ht="24.75" customHeight="1">
      <c r="A985" s="44" t="s">
        <v>280</v>
      </c>
      <c r="B985" s="45" t="s">
        <v>3362</v>
      </c>
      <c r="C985" s="45" t="s">
        <v>6719</v>
      </c>
      <c r="D985" s="45" t="s">
        <v>6724</v>
      </c>
      <c r="E985" s="44" t="s">
        <v>6841</v>
      </c>
      <c r="F985" s="37">
        <v>1</v>
      </c>
      <c r="G985" s="37" t="s">
        <v>2568</v>
      </c>
      <c r="H985" s="63">
        <v>16988.400000000001</v>
      </c>
    </row>
    <row r="986" spans="1:8" ht="24.75" customHeight="1">
      <c r="A986" s="44" t="s">
        <v>275</v>
      </c>
      <c r="B986" s="45" t="s">
        <v>3357</v>
      </c>
      <c r="C986" s="45" t="s">
        <v>6719</v>
      </c>
      <c r="D986" s="45" t="s">
        <v>6724</v>
      </c>
      <c r="E986" s="44" t="s">
        <v>6841</v>
      </c>
      <c r="F986" s="37">
        <v>1</v>
      </c>
      <c r="G986" s="37" t="s">
        <v>2568</v>
      </c>
      <c r="H986" s="63">
        <v>14085.5</v>
      </c>
    </row>
    <row r="987" spans="1:8" ht="24.75" customHeight="1">
      <c r="A987" s="44" t="s">
        <v>278</v>
      </c>
      <c r="B987" s="45" t="s">
        <v>3360</v>
      </c>
      <c r="C987" s="45" t="s">
        <v>6719</v>
      </c>
      <c r="D987" s="45" t="s">
        <v>6724</v>
      </c>
      <c r="E987" s="44" t="s">
        <v>6841</v>
      </c>
      <c r="F987" s="37">
        <v>1</v>
      </c>
      <c r="G987" s="37" t="s">
        <v>2568</v>
      </c>
      <c r="H987" s="63">
        <v>14814.8</v>
      </c>
    </row>
    <row r="988" spans="1:8" ht="24.75" customHeight="1">
      <c r="A988" s="44" t="s">
        <v>277</v>
      </c>
      <c r="B988" s="45" t="s">
        <v>3359</v>
      </c>
      <c r="C988" s="45" t="s">
        <v>6719</v>
      </c>
      <c r="D988" s="45" t="s">
        <v>6724</v>
      </c>
      <c r="E988" s="44"/>
      <c r="F988" s="37">
        <v>1</v>
      </c>
      <c r="G988" s="37" t="s">
        <v>2568</v>
      </c>
      <c r="H988" s="63">
        <v>16087.5</v>
      </c>
    </row>
    <row r="989" spans="1:8" ht="24.75" customHeight="1">
      <c r="A989" s="44" t="s">
        <v>279</v>
      </c>
      <c r="B989" s="45" t="s">
        <v>3361</v>
      </c>
      <c r="C989" s="45" t="s">
        <v>6719</v>
      </c>
      <c r="D989" s="45" t="s">
        <v>6724</v>
      </c>
      <c r="E989" s="44" t="s">
        <v>6841</v>
      </c>
      <c r="F989" s="37">
        <v>1</v>
      </c>
      <c r="G989" s="37" t="s">
        <v>2568</v>
      </c>
      <c r="H989" s="63">
        <v>15930.2</v>
      </c>
    </row>
    <row r="990" spans="1:8" ht="24.75" customHeight="1">
      <c r="A990" s="44" t="s">
        <v>274</v>
      </c>
      <c r="B990" s="45" t="s">
        <v>3356</v>
      </c>
      <c r="C990" s="45" t="s">
        <v>6719</v>
      </c>
      <c r="D990" s="45" t="s">
        <v>6724</v>
      </c>
      <c r="E990" s="44" t="s">
        <v>6841</v>
      </c>
      <c r="F990" s="37">
        <v>1</v>
      </c>
      <c r="G990" s="37" t="s">
        <v>2568</v>
      </c>
      <c r="H990" s="63">
        <v>13413.4</v>
      </c>
    </row>
    <row r="991" spans="1:8" ht="24.75" customHeight="1">
      <c r="A991" s="44" t="s">
        <v>923</v>
      </c>
      <c r="B991" s="45" t="s">
        <v>4883</v>
      </c>
      <c r="C991" s="45" t="s">
        <v>6719</v>
      </c>
      <c r="D991" s="45" t="s">
        <v>6725</v>
      </c>
      <c r="E991" s="44" t="s">
        <v>6839</v>
      </c>
      <c r="F991" s="37">
        <v>1</v>
      </c>
      <c r="G991" s="37" t="s">
        <v>6864</v>
      </c>
      <c r="H991" s="63">
        <v>7350.2</v>
      </c>
    </row>
    <row r="992" spans="1:8" ht="24.75" customHeight="1">
      <c r="A992" s="44" t="s">
        <v>490</v>
      </c>
      <c r="B992" s="45" t="s">
        <v>5957</v>
      </c>
      <c r="C992" s="45" t="s">
        <v>6719</v>
      </c>
      <c r="D992" s="45" t="s">
        <v>6725</v>
      </c>
      <c r="E992" s="44" t="s">
        <v>6839</v>
      </c>
      <c r="F992" s="37">
        <v>1</v>
      </c>
      <c r="G992" s="37" t="s">
        <v>6864</v>
      </c>
      <c r="H992" s="63">
        <v>6492.2</v>
      </c>
    </row>
    <row r="993" spans="1:8" ht="24.75" customHeight="1">
      <c r="A993" s="44" t="s">
        <v>508</v>
      </c>
      <c r="B993" s="45" t="s">
        <v>5744</v>
      </c>
      <c r="C993" s="45" t="s">
        <v>6719</v>
      </c>
      <c r="D993" s="45" t="s">
        <v>6725</v>
      </c>
      <c r="E993" s="44" t="s">
        <v>6839</v>
      </c>
      <c r="F993" s="37">
        <v>1</v>
      </c>
      <c r="G993" s="37" t="s">
        <v>6864</v>
      </c>
      <c r="H993" s="63">
        <v>7278.7</v>
      </c>
    </row>
    <row r="994" spans="1:8" ht="24.75" customHeight="1">
      <c r="A994" s="44" t="s">
        <v>716</v>
      </c>
      <c r="B994" s="45" t="s">
        <v>5074</v>
      </c>
      <c r="C994" s="45" t="s">
        <v>6719</v>
      </c>
      <c r="D994" s="45" t="s">
        <v>6725</v>
      </c>
      <c r="E994" s="44" t="s">
        <v>6839</v>
      </c>
      <c r="F994" s="37">
        <v>1</v>
      </c>
      <c r="G994" s="37" t="s">
        <v>6864</v>
      </c>
      <c r="H994" s="63">
        <v>2974.4</v>
      </c>
    </row>
    <row r="995" spans="1:8" ht="24.75" customHeight="1">
      <c r="A995" s="44" t="s">
        <v>1611</v>
      </c>
      <c r="B995" s="45" t="s">
        <v>5500</v>
      </c>
      <c r="C995" s="45" t="s">
        <v>6719</v>
      </c>
      <c r="D995" s="45" t="s">
        <v>6725</v>
      </c>
      <c r="E995" s="44" t="s">
        <v>6839</v>
      </c>
      <c r="F995" s="37">
        <v>1</v>
      </c>
      <c r="G995" s="37" t="s">
        <v>6864</v>
      </c>
      <c r="H995" s="63">
        <v>6921.2</v>
      </c>
    </row>
    <row r="996" spans="1:8" ht="24.75" customHeight="1">
      <c r="A996" s="44" t="s">
        <v>2910</v>
      </c>
      <c r="B996" s="45" t="s">
        <v>5940</v>
      </c>
      <c r="C996" s="45" t="s">
        <v>6719</v>
      </c>
      <c r="D996" s="45" t="s">
        <v>6725</v>
      </c>
      <c r="E996" s="44" t="s">
        <v>6839</v>
      </c>
      <c r="F996" s="37">
        <v>1</v>
      </c>
      <c r="G996" s="37" t="s">
        <v>6864</v>
      </c>
      <c r="H996" s="63">
        <v>7922.2</v>
      </c>
    </row>
    <row r="997" spans="1:8" ht="24.75" customHeight="1">
      <c r="A997" s="44" t="s">
        <v>1435</v>
      </c>
      <c r="B997" s="45" t="s">
        <v>4995</v>
      </c>
      <c r="C997" s="45" t="s">
        <v>6719</v>
      </c>
      <c r="D997" s="45" t="s">
        <v>6725</v>
      </c>
      <c r="E997" s="44"/>
      <c r="F997" s="37">
        <v>1</v>
      </c>
      <c r="G997" s="37" t="s">
        <v>6864</v>
      </c>
      <c r="H997" s="63">
        <v>8379.7999999999993</v>
      </c>
    </row>
    <row r="998" spans="1:8" ht="24.75" customHeight="1">
      <c r="A998" s="44" t="s">
        <v>1612</v>
      </c>
      <c r="B998" s="45" t="s">
        <v>5501</v>
      </c>
      <c r="C998" s="45" t="s">
        <v>6719</v>
      </c>
      <c r="D998" s="45" t="s">
        <v>6725</v>
      </c>
      <c r="E998" s="44" t="s">
        <v>6839</v>
      </c>
      <c r="F998" s="37">
        <v>1</v>
      </c>
      <c r="G998" s="37" t="s">
        <v>6864</v>
      </c>
      <c r="H998" s="63">
        <v>2631.2</v>
      </c>
    </row>
    <row r="999" spans="1:8" ht="24.75" customHeight="1">
      <c r="A999" s="44" t="s">
        <v>1448</v>
      </c>
      <c r="B999" s="45" t="s">
        <v>5010</v>
      </c>
      <c r="C999" s="45" t="s">
        <v>6719</v>
      </c>
      <c r="D999" s="45" t="s">
        <v>6725</v>
      </c>
      <c r="E999" s="44"/>
      <c r="F999" s="37">
        <v>1</v>
      </c>
      <c r="G999" s="37" t="s">
        <v>6864</v>
      </c>
      <c r="H999" s="63">
        <v>886.6</v>
      </c>
    </row>
    <row r="1000" spans="1:8" ht="24.75" customHeight="1">
      <c r="A1000" s="44" t="s">
        <v>491</v>
      </c>
      <c r="B1000" s="45" t="s">
        <v>5956</v>
      </c>
      <c r="C1000" s="45" t="s">
        <v>6719</v>
      </c>
      <c r="D1000" s="45" t="s">
        <v>6725</v>
      </c>
      <c r="E1000" s="44" t="s">
        <v>6839</v>
      </c>
      <c r="F1000" s="37">
        <v>1</v>
      </c>
      <c r="G1000" s="37" t="s">
        <v>6864</v>
      </c>
      <c r="H1000" s="63">
        <v>4933.5</v>
      </c>
    </row>
    <row r="1001" spans="1:8" ht="24.75" customHeight="1">
      <c r="A1001" s="44" t="s">
        <v>1335</v>
      </c>
      <c r="B1001" s="45" t="s">
        <v>5164</v>
      </c>
      <c r="C1001" s="45" t="s">
        <v>6719</v>
      </c>
      <c r="D1001" s="45" t="s">
        <v>6726</v>
      </c>
      <c r="E1001" s="44" t="s">
        <v>6839</v>
      </c>
      <c r="F1001" s="37">
        <v>20</v>
      </c>
      <c r="G1001" s="37" t="s">
        <v>2568</v>
      </c>
      <c r="H1001" s="63">
        <v>500.5</v>
      </c>
    </row>
    <row r="1002" spans="1:8" ht="24.75" customHeight="1">
      <c r="A1002" s="44" t="s">
        <v>1230</v>
      </c>
      <c r="B1002" s="45" t="s">
        <v>5020</v>
      </c>
      <c r="C1002" s="45" t="s">
        <v>6719</v>
      </c>
      <c r="D1002" s="45" t="s">
        <v>6726</v>
      </c>
      <c r="E1002" s="44"/>
      <c r="F1002" s="37">
        <v>5</v>
      </c>
      <c r="G1002" s="37" t="s">
        <v>6864</v>
      </c>
      <c r="H1002" s="63">
        <v>486.2</v>
      </c>
    </row>
    <row r="1003" spans="1:8" ht="24.75" customHeight="1">
      <c r="A1003" s="44" t="s">
        <v>1334</v>
      </c>
      <c r="B1003" s="45" t="s">
        <v>5163</v>
      </c>
      <c r="C1003" s="45" t="s">
        <v>6719</v>
      </c>
      <c r="D1003" s="45" t="s">
        <v>6726</v>
      </c>
      <c r="E1003" s="44" t="s">
        <v>6839</v>
      </c>
      <c r="F1003" s="37">
        <v>20</v>
      </c>
      <c r="G1003" s="37" t="s">
        <v>2568</v>
      </c>
      <c r="H1003" s="63">
        <v>715</v>
      </c>
    </row>
    <row r="1004" spans="1:8" ht="24.75" customHeight="1">
      <c r="A1004" s="44" t="s">
        <v>1250</v>
      </c>
      <c r="B1004" s="45" t="s">
        <v>4913</v>
      </c>
      <c r="C1004" s="45" t="s">
        <v>6719</v>
      </c>
      <c r="D1004" s="45" t="s">
        <v>6726</v>
      </c>
      <c r="E1004" s="44"/>
      <c r="F1004" s="37">
        <v>20</v>
      </c>
      <c r="G1004" s="37" t="s">
        <v>6864</v>
      </c>
      <c r="H1004" s="63">
        <v>543.4</v>
      </c>
    </row>
    <row r="1005" spans="1:8" ht="24.75" customHeight="1">
      <c r="A1005" s="44" t="s">
        <v>1493</v>
      </c>
      <c r="B1005" s="45" t="s">
        <v>5974</v>
      </c>
      <c r="C1005" s="45" t="s">
        <v>6719</v>
      </c>
      <c r="D1005" s="45" t="s">
        <v>6727</v>
      </c>
      <c r="E1005" s="44" t="s">
        <v>6839</v>
      </c>
      <c r="F1005" s="37">
        <v>1</v>
      </c>
      <c r="G1005" s="37" t="s">
        <v>6864</v>
      </c>
      <c r="H1005" s="63">
        <v>4290</v>
      </c>
    </row>
    <row r="1006" spans="1:8" ht="24.75" customHeight="1">
      <c r="A1006" s="44" t="s">
        <v>1492</v>
      </c>
      <c r="B1006" s="45" t="s">
        <v>5973</v>
      </c>
      <c r="C1006" s="45" t="s">
        <v>6719</v>
      </c>
      <c r="D1006" s="45" t="s">
        <v>6727</v>
      </c>
      <c r="E1006" s="44" t="s">
        <v>6839</v>
      </c>
      <c r="F1006" s="37">
        <v>1</v>
      </c>
      <c r="G1006" s="37" t="s">
        <v>6864</v>
      </c>
      <c r="H1006" s="63">
        <v>6792.5</v>
      </c>
    </row>
    <row r="1007" spans="1:8" ht="24.75" customHeight="1">
      <c r="A1007" s="44" t="s">
        <v>2060</v>
      </c>
      <c r="B1007" s="45" t="s">
        <v>5300</v>
      </c>
      <c r="C1007" s="45" t="s">
        <v>6719</v>
      </c>
      <c r="D1007" s="45" t="s">
        <v>6727</v>
      </c>
      <c r="E1007" s="44"/>
      <c r="F1007" s="37">
        <v>1</v>
      </c>
      <c r="G1007" s="37" t="s">
        <v>6864</v>
      </c>
      <c r="H1007" s="63">
        <v>52152.1</v>
      </c>
    </row>
    <row r="1008" spans="1:8" ht="24.75" customHeight="1">
      <c r="A1008" s="44" t="s">
        <v>698</v>
      </c>
      <c r="B1008" s="45" t="s">
        <v>5107</v>
      </c>
      <c r="C1008" s="45" t="s">
        <v>6719</v>
      </c>
      <c r="D1008" s="45" t="s">
        <v>6727</v>
      </c>
      <c r="E1008" s="44" t="s">
        <v>6839</v>
      </c>
      <c r="F1008" s="37">
        <v>1</v>
      </c>
      <c r="G1008" s="37" t="s">
        <v>6864</v>
      </c>
      <c r="H1008" s="63">
        <v>31617.3</v>
      </c>
    </row>
    <row r="1009" spans="1:8" ht="24.75" customHeight="1">
      <c r="A1009" s="44" t="s">
        <v>2607</v>
      </c>
      <c r="B1009" s="45" t="s">
        <v>5233</v>
      </c>
      <c r="C1009" s="45" t="s">
        <v>6719</v>
      </c>
      <c r="D1009" s="45" t="s">
        <v>6727</v>
      </c>
      <c r="E1009" s="44" t="s">
        <v>6839</v>
      </c>
      <c r="F1009" s="37">
        <v>1</v>
      </c>
      <c r="G1009" s="37" t="s">
        <v>6864</v>
      </c>
      <c r="H1009" s="63">
        <v>29829.8</v>
      </c>
    </row>
    <row r="1010" spans="1:8" ht="24.75" customHeight="1">
      <c r="A1010" s="44" t="s">
        <v>1602</v>
      </c>
      <c r="B1010" s="45" t="s">
        <v>5490</v>
      </c>
      <c r="C1010" s="45" t="s">
        <v>6719</v>
      </c>
      <c r="D1010" s="45" t="s">
        <v>6727</v>
      </c>
      <c r="E1010" s="44" t="s">
        <v>6839</v>
      </c>
      <c r="F1010" s="37">
        <v>1</v>
      </c>
      <c r="G1010" s="37" t="s">
        <v>6864</v>
      </c>
      <c r="H1010" s="63">
        <v>39081.9</v>
      </c>
    </row>
    <row r="1011" spans="1:8" ht="24.75" customHeight="1">
      <c r="A1011" s="44" t="s">
        <v>2159</v>
      </c>
      <c r="B1011" s="45" t="s">
        <v>5923</v>
      </c>
      <c r="C1011" s="45" t="s">
        <v>6719</v>
      </c>
      <c r="D1011" s="45" t="s">
        <v>6727</v>
      </c>
      <c r="E1011" s="44"/>
      <c r="F1011" s="37">
        <v>1</v>
      </c>
      <c r="G1011" s="37" t="s">
        <v>6864</v>
      </c>
      <c r="H1011" s="63">
        <v>31774.6</v>
      </c>
    </row>
    <row r="1012" spans="1:8" ht="24.75" customHeight="1">
      <c r="A1012" s="44" t="s">
        <v>1432</v>
      </c>
      <c r="B1012" s="45" t="s">
        <v>4990</v>
      </c>
      <c r="C1012" s="45" t="s">
        <v>6719</v>
      </c>
      <c r="D1012" s="45" t="s">
        <v>6727</v>
      </c>
      <c r="E1012" s="44"/>
      <c r="F1012" s="37">
        <v>1</v>
      </c>
      <c r="G1012" s="37" t="s">
        <v>6864</v>
      </c>
      <c r="H1012" s="63">
        <v>42656.9</v>
      </c>
    </row>
    <row r="1013" spans="1:8" ht="24.75" customHeight="1">
      <c r="A1013" s="44" t="s">
        <v>760</v>
      </c>
      <c r="B1013" s="45" t="s">
        <v>5972</v>
      </c>
      <c r="C1013" s="45" t="s">
        <v>6719</v>
      </c>
      <c r="D1013" s="45" t="s">
        <v>6727</v>
      </c>
      <c r="E1013" s="44" t="s">
        <v>6839</v>
      </c>
      <c r="F1013" s="37">
        <v>1</v>
      </c>
      <c r="G1013" s="37" t="s">
        <v>6864</v>
      </c>
      <c r="H1013" s="63">
        <v>33104.5</v>
      </c>
    </row>
    <row r="1014" spans="1:8" ht="24.75" customHeight="1">
      <c r="A1014" s="44" t="s">
        <v>2606</v>
      </c>
      <c r="B1014" s="45" t="s">
        <v>5232</v>
      </c>
      <c r="C1014" s="45" t="s">
        <v>6719</v>
      </c>
      <c r="D1014" s="45" t="s">
        <v>6727</v>
      </c>
      <c r="E1014" s="44" t="s">
        <v>6839</v>
      </c>
      <c r="F1014" s="37">
        <v>1</v>
      </c>
      <c r="G1014" s="37" t="s">
        <v>6864</v>
      </c>
      <c r="H1014" s="63">
        <v>25382.5</v>
      </c>
    </row>
    <row r="1015" spans="1:8" ht="24.75" customHeight="1">
      <c r="A1015" s="44" t="s">
        <v>2784</v>
      </c>
      <c r="B1015" s="45" t="s">
        <v>5781</v>
      </c>
      <c r="C1015" s="45" t="s">
        <v>6719</v>
      </c>
      <c r="D1015" s="45" t="s">
        <v>6727</v>
      </c>
      <c r="E1015" s="44" t="s">
        <v>6839</v>
      </c>
      <c r="F1015" s="37">
        <v>1</v>
      </c>
      <c r="G1015" s="37" t="s">
        <v>6864</v>
      </c>
      <c r="H1015" s="63">
        <v>26612.3</v>
      </c>
    </row>
    <row r="1016" spans="1:8" ht="24.75" customHeight="1">
      <c r="A1016" s="44" t="s">
        <v>6451</v>
      </c>
      <c r="B1016" s="46" t="s">
        <v>6452</v>
      </c>
      <c r="C1016" s="46" t="s">
        <v>6719</v>
      </c>
      <c r="D1016" s="46" t="s">
        <v>6727</v>
      </c>
      <c r="E1016" s="62" t="s">
        <v>6839</v>
      </c>
      <c r="F1016" s="37">
        <v>1</v>
      </c>
      <c r="G1016" s="37" t="s">
        <v>6864</v>
      </c>
      <c r="H1016" s="63">
        <v>3003</v>
      </c>
    </row>
    <row r="1017" spans="1:8" ht="24.75" customHeight="1">
      <c r="A1017" s="44" t="s">
        <v>1245</v>
      </c>
      <c r="B1017" s="45" t="s">
        <v>4909</v>
      </c>
      <c r="C1017" s="45" t="s">
        <v>6719</v>
      </c>
      <c r="D1017" s="45" t="s">
        <v>6727</v>
      </c>
      <c r="E1017" s="44"/>
      <c r="F1017" s="37">
        <v>2</v>
      </c>
      <c r="G1017" s="37" t="s">
        <v>6864</v>
      </c>
      <c r="H1017" s="63">
        <v>2802.8</v>
      </c>
    </row>
    <row r="1018" spans="1:8" ht="24.75" customHeight="1">
      <c r="A1018" s="44" t="s">
        <v>2418</v>
      </c>
      <c r="B1018" s="45" t="s">
        <v>4874</v>
      </c>
      <c r="C1018" s="45" t="s">
        <v>6719</v>
      </c>
      <c r="D1018" s="45" t="s">
        <v>6727</v>
      </c>
      <c r="E1018" s="44"/>
      <c r="F1018" s="37">
        <v>1</v>
      </c>
      <c r="G1018" s="37" t="s">
        <v>2568</v>
      </c>
      <c r="H1018" s="63">
        <v>3246.1</v>
      </c>
    </row>
    <row r="1019" spans="1:8" ht="24.75" customHeight="1">
      <c r="A1019" s="44" t="s">
        <v>6449</v>
      </c>
      <c r="B1019" s="46" t="s">
        <v>6450</v>
      </c>
      <c r="C1019" s="46" t="s">
        <v>6719</v>
      </c>
      <c r="D1019" s="46" t="s">
        <v>6727</v>
      </c>
      <c r="E1019" s="62"/>
      <c r="F1019" s="37">
        <v>1</v>
      </c>
      <c r="G1019" s="37" t="s">
        <v>6864</v>
      </c>
      <c r="H1019" s="63">
        <v>1673.1</v>
      </c>
    </row>
    <row r="1020" spans="1:8" ht="24.75" customHeight="1">
      <c r="A1020" s="44" t="s">
        <v>428</v>
      </c>
      <c r="B1020" s="45" t="s">
        <v>5177</v>
      </c>
      <c r="C1020" s="45" t="s">
        <v>6719</v>
      </c>
      <c r="D1020" s="45" t="s">
        <v>6681</v>
      </c>
      <c r="E1020" s="44"/>
      <c r="F1020" s="37">
        <v>10</v>
      </c>
      <c r="G1020" s="37" t="s">
        <v>6864</v>
      </c>
      <c r="H1020" s="63">
        <v>1844.7</v>
      </c>
    </row>
    <row r="1021" spans="1:8" ht="24.75" customHeight="1">
      <c r="A1021" s="44" t="s">
        <v>992</v>
      </c>
      <c r="B1021" s="45" t="s">
        <v>5706</v>
      </c>
      <c r="C1021" s="45" t="s">
        <v>6719</v>
      </c>
      <c r="D1021" s="45" t="s">
        <v>6681</v>
      </c>
      <c r="E1021" s="44" t="s">
        <v>6839</v>
      </c>
      <c r="F1021" s="37">
        <v>1</v>
      </c>
      <c r="G1021" s="37" t="s">
        <v>2568</v>
      </c>
      <c r="H1021" s="63">
        <v>39210.6</v>
      </c>
    </row>
    <row r="1022" spans="1:8" ht="24.75" customHeight="1">
      <c r="A1022" s="44" t="s">
        <v>1336</v>
      </c>
      <c r="B1022" s="45" t="s">
        <v>5165</v>
      </c>
      <c r="C1022" s="45" t="s">
        <v>6719</v>
      </c>
      <c r="D1022" s="45" t="s">
        <v>6681</v>
      </c>
      <c r="E1022" s="44" t="s">
        <v>6839</v>
      </c>
      <c r="F1022" s="37">
        <v>1</v>
      </c>
      <c r="G1022" s="37" t="s">
        <v>2568</v>
      </c>
      <c r="H1022" s="63">
        <v>32060.6</v>
      </c>
    </row>
    <row r="1023" spans="1:8" ht="24.75" customHeight="1">
      <c r="A1023" s="44" t="s">
        <v>854</v>
      </c>
      <c r="B1023" s="45" t="s">
        <v>5549</v>
      </c>
      <c r="C1023" s="45" t="s">
        <v>6719</v>
      </c>
      <c r="D1023" s="45" t="s">
        <v>6681</v>
      </c>
      <c r="E1023" s="44" t="s">
        <v>6839</v>
      </c>
      <c r="F1023" s="37">
        <v>1</v>
      </c>
      <c r="G1023" s="37" t="s">
        <v>2568</v>
      </c>
      <c r="H1023" s="63">
        <v>32775.599999999999</v>
      </c>
    </row>
    <row r="1024" spans="1:8" ht="24.75" customHeight="1">
      <c r="A1024" s="44" t="s">
        <v>1205</v>
      </c>
      <c r="B1024" s="45" t="s">
        <v>4993</v>
      </c>
      <c r="C1024" s="45" t="s">
        <v>6719</v>
      </c>
      <c r="D1024" s="45" t="s">
        <v>6681</v>
      </c>
      <c r="E1024" s="44"/>
      <c r="F1024" s="37">
        <v>1</v>
      </c>
      <c r="G1024" s="37" t="s">
        <v>2568</v>
      </c>
      <c r="H1024" s="63">
        <v>90118.6</v>
      </c>
    </row>
    <row r="1025" spans="1:8" ht="24.75" customHeight="1">
      <c r="A1025" s="44" t="s">
        <v>1208</v>
      </c>
      <c r="B1025" s="45" t="s">
        <v>5942</v>
      </c>
      <c r="C1025" s="45" t="s">
        <v>6719</v>
      </c>
      <c r="D1025" s="45" t="s">
        <v>6681</v>
      </c>
      <c r="E1025" s="44" t="s">
        <v>6839</v>
      </c>
      <c r="F1025" s="37">
        <v>1</v>
      </c>
      <c r="G1025" s="37" t="s">
        <v>2568</v>
      </c>
      <c r="H1025" s="63">
        <v>48133.8</v>
      </c>
    </row>
    <row r="1026" spans="1:8" ht="24.75" customHeight="1">
      <c r="A1026" s="44" t="s">
        <v>718</v>
      </c>
      <c r="B1026" s="45" t="s">
        <v>5076</v>
      </c>
      <c r="C1026" s="45" t="s">
        <v>6719</v>
      </c>
      <c r="D1026" s="45" t="s">
        <v>6681</v>
      </c>
      <c r="E1026" s="44" t="s">
        <v>6839</v>
      </c>
      <c r="F1026" s="37">
        <v>1</v>
      </c>
      <c r="G1026" s="37" t="s">
        <v>2568</v>
      </c>
      <c r="H1026" s="63">
        <v>37108.5</v>
      </c>
    </row>
    <row r="1027" spans="1:8" ht="24.75" customHeight="1">
      <c r="A1027" s="44" t="s">
        <v>532</v>
      </c>
      <c r="B1027" s="45" t="s">
        <v>5739</v>
      </c>
      <c r="C1027" s="45" t="s">
        <v>6719</v>
      </c>
      <c r="D1027" s="45" t="s">
        <v>6681</v>
      </c>
      <c r="E1027" s="44" t="s">
        <v>6839</v>
      </c>
      <c r="F1027" s="37">
        <v>1</v>
      </c>
      <c r="G1027" s="37" t="s">
        <v>6864</v>
      </c>
      <c r="H1027" s="63">
        <v>8465.6</v>
      </c>
    </row>
    <row r="1028" spans="1:8" ht="24.75" customHeight="1">
      <c r="A1028" s="44" t="s">
        <v>2827</v>
      </c>
      <c r="B1028" s="45" t="s">
        <v>5832</v>
      </c>
      <c r="C1028" s="45" t="s">
        <v>6719</v>
      </c>
      <c r="D1028" s="45" t="s">
        <v>6681</v>
      </c>
      <c r="E1028" s="44" t="s">
        <v>6839</v>
      </c>
      <c r="F1028" s="37">
        <v>1</v>
      </c>
      <c r="G1028" s="37" t="s">
        <v>6864</v>
      </c>
      <c r="H1028" s="63">
        <v>8880.2999999999993</v>
      </c>
    </row>
    <row r="1029" spans="1:8" ht="24.75" customHeight="1">
      <c r="A1029" s="44" t="s">
        <v>1338</v>
      </c>
      <c r="B1029" s="45" t="s">
        <v>5167</v>
      </c>
      <c r="C1029" s="45" t="s">
        <v>6719</v>
      </c>
      <c r="D1029" s="45" t="s">
        <v>6681</v>
      </c>
      <c r="E1029" s="44" t="s">
        <v>6839</v>
      </c>
      <c r="F1029" s="37">
        <v>1</v>
      </c>
      <c r="G1029" s="37" t="s">
        <v>6864</v>
      </c>
      <c r="H1029" s="63">
        <v>8465.6</v>
      </c>
    </row>
    <row r="1030" spans="1:8" ht="24.75" customHeight="1">
      <c r="A1030" s="44" t="s">
        <v>2439</v>
      </c>
      <c r="B1030" s="45" t="s">
        <v>4816</v>
      </c>
      <c r="C1030" s="45" t="s">
        <v>6719</v>
      </c>
      <c r="D1030" s="45" t="s">
        <v>6681</v>
      </c>
      <c r="E1030" s="44"/>
      <c r="F1030" s="37">
        <v>1</v>
      </c>
      <c r="G1030" s="37" t="s">
        <v>6864</v>
      </c>
      <c r="H1030" s="63">
        <v>7436</v>
      </c>
    </row>
    <row r="1031" spans="1:8" ht="24.75" customHeight="1">
      <c r="A1031" s="44" t="s">
        <v>1434</v>
      </c>
      <c r="B1031" s="45" t="s">
        <v>4994</v>
      </c>
      <c r="C1031" s="45" t="s">
        <v>6719</v>
      </c>
      <c r="D1031" s="45" t="s">
        <v>6681</v>
      </c>
      <c r="E1031" s="44"/>
      <c r="F1031" s="37">
        <v>1</v>
      </c>
      <c r="G1031" s="37" t="s">
        <v>6864</v>
      </c>
      <c r="H1031" s="63">
        <v>10553.4</v>
      </c>
    </row>
    <row r="1032" spans="1:8" ht="24.75" customHeight="1">
      <c r="A1032" s="44" t="s">
        <v>180</v>
      </c>
      <c r="B1032" s="45" t="s">
        <v>5946</v>
      </c>
      <c r="C1032" s="45" t="s">
        <v>6719</v>
      </c>
      <c r="D1032" s="45" t="s">
        <v>6681</v>
      </c>
      <c r="E1032" s="44" t="s">
        <v>6839</v>
      </c>
      <c r="F1032" s="37">
        <v>1</v>
      </c>
      <c r="G1032" s="37" t="s">
        <v>6864</v>
      </c>
      <c r="H1032" s="63">
        <v>6149</v>
      </c>
    </row>
    <row r="1033" spans="1:8" ht="24.75" customHeight="1">
      <c r="A1033" s="44" t="s">
        <v>3173</v>
      </c>
      <c r="B1033" s="45" t="s">
        <v>5370</v>
      </c>
      <c r="C1033" s="45" t="s">
        <v>6719</v>
      </c>
      <c r="D1033" s="45" t="s">
        <v>6681</v>
      </c>
      <c r="E1033" s="44"/>
      <c r="F1033" s="37">
        <v>1</v>
      </c>
      <c r="G1033" s="37" t="s">
        <v>6864</v>
      </c>
      <c r="H1033" s="63">
        <v>1601.6</v>
      </c>
    </row>
    <row r="1034" spans="1:8" ht="24.75" customHeight="1">
      <c r="A1034" s="44" t="s">
        <v>3174</v>
      </c>
      <c r="B1034" s="45" t="s">
        <v>5369</v>
      </c>
      <c r="C1034" s="45" t="s">
        <v>6719</v>
      </c>
      <c r="D1034" s="45" t="s">
        <v>6681</v>
      </c>
      <c r="E1034" s="44"/>
      <c r="F1034" s="37">
        <v>1</v>
      </c>
      <c r="G1034" s="37" t="s">
        <v>6864</v>
      </c>
      <c r="H1034" s="63">
        <v>1716</v>
      </c>
    </row>
    <row r="1035" spans="1:8" ht="24.75" customHeight="1">
      <c r="A1035" s="44" t="s">
        <v>775</v>
      </c>
      <c r="B1035" s="45" t="s">
        <v>5945</v>
      </c>
      <c r="C1035" s="45" t="s">
        <v>6719</v>
      </c>
      <c r="D1035" s="45" t="s">
        <v>6681</v>
      </c>
      <c r="E1035" s="44" t="s">
        <v>6839</v>
      </c>
      <c r="F1035" s="37">
        <v>1</v>
      </c>
      <c r="G1035" s="37" t="s">
        <v>6864</v>
      </c>
      <c r="H1035" s="63">
        <v>1229.8</v>
      </c>
    </row>
    <row r="1036" spans="1:8" ht="24.75" customHeight="1">
      <c r="A1036" s="44" t="s">
        <v>1610</v>
      </c>
      <c r="B1036" s="45" t="s">
        <v>5499</v>
      </c>
      <c r="C1036" s="45" t="s">
        <v>6719</v>
      </c>
      <c r="D1036" s="45" t="s">
        <v>6681</v>
      </c>
      <c r="E1036" s="44" t="s">
        <v>6839</v>
      </c>
      <c r="F1036" s="37">
        <v>1</v>
      </c>
      <c r="G1036" s="37" t="s">
        <v>6864</v>
      </c>
      <c r="H1036" s="63">
        <v>14771.9</v>
      </c>
    </row>
    <row r="1037" spans="1:8" ht="24.75" customHeight="1">
      <c r="A1037" s="44" t="s">
        <v>3178</v>
      </c>
      <c r="B1037" s="45" t="s">
        <v>5375</v>
      </c>
      <c r="C1037" s="45" t="s">
        <v>6719</v>
      </c>
      <c r="D1037" s="45" t="s">
        <v>6681</v>
      </c>
      <c r="E1037" s="44"/>
      <c r="F1037" s="37">
        <v>1</v>
      </c>
      <c r="G1037" s="37" t="s">
        <v>6864</v>
      </c>
      <c r="H1037" s="63">
        <v>6592.3</v>
      </c>
    </row>
    <row r="1038" spans="1:8" ht="24.75" customHeight="1">
      <c r="A1038" s="44" t="s">
        <v>2839</v>
      </c>
      <c r="B1038" s="45" t="s">
        <v>5844</v>
      </c>
      <c r="C1038" s="45" t="s">
        <v>6719</v>
      </c>
      <c r="D1038" s="45" t="s">
        <v>6681</v>
      </c>
      <c r="E1038" s="44"/>
      <c r="F1038" s="37">
        <v>1</v>
      </c>
      <c r="G1038" s="37" t="s">
        <v>6864</v>
      </c>
      <c r="H1038" s="63">
        <v>1859</v>
      </c>
    </row>
    <row r="1039" spans="1:8" ht="24.75" customHeight="1">
      <c r="A1039" s="44" t="s">
        <v>1454</v>
      </c>
      <c r="B1039" s="45" t="s">
        <v>5015</v>
      </c>
      <c r="C1039" s="45" t="s">
        <v>6719</v>
      </c>
      <c r="D1039" s="45" t="s">
        <v>6681</v>
      </c>
      <c r="E1039" s="44"/>
      <c r="F1039" s="37">
        <v>1</v>
      </c>
      <c r="G1039" s="37" t="s">
        <v>6864</v>
      </c>
      <c r="H1039" s="63">
        <v>7135.7</v>
      </c>
    </row>
    <row r="1040" spans="1:8" ht="24.75" customHeight="1">
      <c r="A1040" s="44" t="s">
        <v>174</v>
      </c>
      <c r="B1040" s="45" t="s">
        <v>5947</v>
      </c>
      <c r="C1040" s="45" t="s">
        <v>6719</v>
      </c>
      <c r="D1040" s="45" t="s">
        <v>6681</v>
      </c>
      <c r="E1040" s="44" t="s">
        <v>6839</v>
      </c>
      <c r="F1040" s="37">
        <v>1</v>
      </c>
      <c r="G1040" s="37" t="s">
        <v>6864</v>
      </c>
      <c r="H1040" s="63">
        <v>1401.4</v>
      </c>
    </row>
    <row r="1041" spans="1:8" ht="24.75" customHeight="1">
      <c r="A1041" s="44" t="s">
        <v>719</v>
      </c>
      <c r="B1041" s="45" t="s">
        <v>5077</v>
      </c>
      <c r="C1041" s="45" t="s">
        <v>6719</v>
      </c>
      <c r="D1041" s="45" t="s">
        <v>6681</v>
      </c>
      <c r="E1041" s="44"/>
      <c r="F1041" s="37">
        <v>12</v>
      </c>
      <c r="G1041" s="37" t="s">
        <v>6864</v>
      </c>
      <c r="H1041" s="63">
        <v>3417.7</v>
      </c>
    </row>
    <row r="1042" spans="1:8" ht="24.75" customHeight="1">
      <c r="A1042" s="44" t="s">
        <v>1446</v>
      </c>
      <c r="B1042" s="45" t="s">
        <v>5007</v>
      </c>
      <c r="C1042" s="45" t="s">
        <v>6719</v>
      </c>
      <c r="D1042" s="45" t="s">
        <v>6681</v>
      </c>
      <c r="E1042" s="44"/>
      <c r="F1042" s="37">
        <v>1</v>
      </c>
      <c r="G1042" s="37" t="s">
        <v>6864</v>
      </c>
      <c r="H1042" s="63">
        <v>16087.5</v>
      </c>
    </row>
    <row r="1043" spans="1:8" ht="24.75" customHeight="1">
      <c r="A1043" s="44" t="s">
        <v>781</v>
      </c>
      <c r="B1043" s="45" t="s">
        <v>5944</v>
      </c>
      <c r="C1043" s="45" t="s">
        <v>6719</v>
      </c>
      <c r="D1043" s="45" t="s">
        <v>6681</v>
      </c>
      <c r="E1043" s="44" t="s">
        <v>6839</v>
      </c>
      <c r="F1043" s="37">
        <v>1</v>
      </c>
      <c r="G1043" s="37" t="s">
        <v>2568</v>
      </c>
      <c r="H1043" s="63">
        <v>6978.4</v>
      </c>
    </row>
    <row r="1044" spans="1:8" ht="24.75" customHeight="1">
      <c r="A1044" s="44" t="s">
        <v>3179</v>
      </c>
      <c r="B1044" s="45" t="s">
        <v>5385</v>
      </c>
      <c r="C1044" s="45" t="s">
        <v>6719</v>
      </c>
      <c r="D1044" s="45" t="s">
        <v>6681</v>
      </c>
      <c r="E1044" s="44"/>
      <c r="F1044" s="37">
        <v>1</v>
      </c>
      <c r="G1044" s="37" t="s">
        <v>2568</v>
      </c>
      <c r="H1044" s="63">
        <v>11625.9</v>
      </c>
    </row>
    <row r="1045" spans="1:8" ht="24.75" customHeight="1">
      <c r="A1045" s="44" t="s">
        <v>2886</v>
      </c>
      <c r="B1045" s="45" t="s">
        <v>5034</v>
      </c>
      <c r="C1045" s="45" t="s">
        <v>6719</v>
      </c>
      <c r="D1045" s="45" t="s">
        <v>6681</v>
      </c>
      <c r="E1045" s="44"/>
      <c r="F1045" s="37">
        <v>5</v>
      </c>
      <c r="G1045" s="37" t="s">
        <v>6864</v>
      </c>
      <c r="H1045" s="63">
        <v>271.7</v>
      </c>
    </row>
    <row r="1046" spans="1:8" ht="24.75" customHeight="1">
      <c r="A1046" s="44" t="s">
        <v>853</v>
      </c>
      <c r="B1046" s="45" t="s">
        <v>5548</v>
      </c>
      <c r="C1046" s="45" t="s">
        <v>6719</v>
      </c>
      <c r="D1046" s="45" t="s">
        <v>6681</v>
      </c>
      <c r="E1046" s="44" t="s">
        <v>6839</v>
      </c>
      <c r="F1046" s="37">
        <v>1</v>
      </c>
      <c r="G1046" s="37" t="s">
        <v>2568</v>
      </c>
      <c r="H1046" s="63">
        <v>11926.2</v>
      </c>
    </row>
    <row r="1047" spans="1:8" ht="24.75" customHeight="1">
      <c r="A1047" s="44" t="s">
        <v>717</v>
      </c>
      <c r="B1047" s="45" t="s">
        <v>5075</v>
      </c>
      <c r="C1047" s="45" t="s">
        <v>6719</v>
      </c>
      <c r="D1047" s="45" t="s">
        <v>6681</v>
      </c>
      <c r="E1047" s="44" t="s">
        <v>6839</v>
      </c>
      <c r="F1047" s="37">
        <v>1</v>
      </c>
      <c r="G1047" s="37" t="s">
        <v>2568</v>
      </c>
      <c r="H1047" s="63">
        <v>11625.9</v>
      </c>
    </row>
    <row r="1048" spans="1:8" ht="24.75" customHeight="1">
      <c r="A1048" s="44" t="s">
        <v>3186</v>
      </c>
      <c r="B1048" s="45" t="s">
        <v>5397</v>
      </c>
      <c r="C1048" s="45" t="s">
        <v>6719</v>
      </c>
      <c r="D1048" s="45" t="s">
        <v>6681</v>
      </c>
      <c r="E1048" s="44" t="s">
        <v>956</v>
      </c>
      <c r="F1048" s="37">
        <v>1</v>
      </c>
      <c r="G1048" s="37" t="s">
        <v>6864</v>
      </c>
      <c r="H1048" s="63">
        <v>8294</v>
      </c>
    </row>
    <row r="1049" spans="1:8" ht="24.75" customHeight="1">
      <c r="A1049" s="44" t="s">
        <v>1453</v>
      </c>
      <c r="B1049" s="45" t="s">
        <v>5014</v>
      </c>
      <c r="C1049" s="45" t="s">
        <v>6719</v>
      </c>
      <c r="D1049" s="45" t="s">
        <v>6681</v>
      </c>
      <c r="E1049" s="44"/>
      <c r="F1049" s="37">
        <v>1</v>
      </c>
      <c r="G1049" s="37" t="s">
        <v>6864</v>
      </c>
      <c r="H1049" s="63">
        <v>10610.6</v>
      </c>
    </row>
    <row r="1050" spans="1:8" ht="24.75" customHeight="1">
      <c r="A1050" s="44" t="s">
        <v>803</v>
      </c>
      <c r="B1050" s="45" t="s">
        <v>5943</v>
      </c>
      <c r="C1050" s="45" t="s">
        <v>6719</v>
      </c>
      <c r="D1050" s="45" t="s">
        <v>6681</v>
      </c>
      <c r="E1050" s="44" t="s">
        <v>6839</v>
      </c>
      <c r="F1050" s="37">
        <v>1</v>
      </c>
      <c r="G1050" s="37" t="s">
        <v>6864</v>
      </c>
      <c r="H1050" s="63">
        <v>6978.4</v>
      </c>
    </row>
    <row r="1051" spans="1:8" ht="24.75" customHeight="1">
      <c r="A1051" s="44" t="s">
        <v>3189</v>
      </c>
      <c r="B1051" s="45" t="s">
        <v>5404</v>
      </c>
      <c r="C1051" s="45" t="s">
        <v>6719</v>
      </c>
      <c r="D1051" s="45" t="s">
        <v>6681</v>
      </c>
      <c r="E1051" s="44"/>
      <c r="F1051" s="37">
        <v>5</v>
      </c>
      <c r="G1051" s="37" t="s">
        <v>6864</v>
      </c>
      <c r="H1051" s="63">
        <v>1172.5999999999999</v>
      </c>
    </row>
    <row r="1052" spans="1:8" ht="24.75" customHeight="1">
      <c r="A1052" s="44" t="s">
        <v>2840</v>
      </c>
      <c r="B1052" s="45" t="s">
        <v>5845</v>
      </c>
      <c r="C1052" s="45" t="s">
        <v>6719</v>
      </c>
      <c r="D1052" s="45" t="s">
        <v>6681</v>
      </c>
      <c r="E1052" s="44" t="s">
        <v>6839</v>
      </c>
      <c r="F1052" s="37">
        <v>1</v>
      </c>
      <c r="G1052" s="37" t="s">
        <v>6864</v>
      </c>
      <c r="H1052" s="63">
        <v>1787.5</v>
      </c>
    </row>
    <row r="1053" spans="1:8" ht="24.75" customHeight="1">
      <c r="A1053" s="44" t="s">
        <v>1467</v>
      </c>
      <c r="B1053" s="45" t="s">
        <v>5033</v>
      </c>
      <c r="C1053" s="45" t="s">
        <v>6680</v>
      </c>
      <c r="D1053" s="45" t="s">
        <v>6681</v>
      </c>
      <c r="E1053" s="44"/>
      <c r="F1053" s="37">
        <v>1</v>
      </c>
      <c r="G1053" s="37" t="s">
        <v>6864</v>
      </c>
      <c r="H1053" s="63">
        <v>4447.3</v>
      </c>
    </row>
    <row r="1054" spans="1:8" ht="24.75" customHeight="1">
      <c r="A1054" s="44" t="s">
        <v>1292</v>
      </c>
      <c r="B1054" s="45" t="s">
        <v>3637</v>
      </c>
      <c r="C1054" s="45" t="s">
        <v>6719</v>
      </c>
      <c r="D1054" s="45" t="s">
        <v>6711</v>
      </c>
      <c r="E1054" s="44" t="s">
        <v>6855</v>
      </c>
      <c r="F1054" s="37">
        <v>1</v>
      </c>
      <c r="G1054" s="37" t="s">
        <v>6864</v>
      </c>
      <c r="H1054" s="63">
        <v>29357.9</v>
      </c>
    </row>
    <row r="1055" spans="1:8" ht="24.75" customHeight="1">
      <c r="A1055" s="44" t="s">
        <v>1293</v>
      </c>
      <c r="B1055" s="45" t="s">
        <v>3638</v>
      </c>
      <c r="C1055" s="45" t="s">
        <v>6719</v>
      </c>
      <c r="D1055" s="45" t="s">
        <v>6711</v>
      </c>
      <c r="E1055" s="44" t="s">
        <v>6855</v>
      </c>
      <c r="F1055" s="37">
        <v>1</v>
      </c>
      <c r="G1055" s="37" t="s">
        <v>6864</v>
      </c>
      <c r="H1055" s="63">
        <v>39668.199999999997</v>
      </c>
    </row>
    <row r="1056" spans="1:8" ht="24.75" customHeight="1">
      <c r="A1056" s="44" t="s">
        <v>331</v>
      </c>
      <c r="B1056" s="45" t="s">
        <v>3635</v>
      </c>
      <c r="C1056" s="45" t="s">
        <v>6719</v>
      </c>
      <c r="D1056" s="45" t="s">
        <v>6711</v>
      </c>
      <c r="E1056" s="44" t="s">
        <v>6855</v>
      </c>
      <c r="F1056" s="37">
        <v>1</v>
      </c>
      <c r="G1056" s="37" t="s">
        <v>6864</v>
      </c>
      <c r="H1056" s="63">
        <v>39239.199999999997</v>
      </c>
    </row>
    <row r="1057" spans="1:8" ht="24.75" customHeight="1">
      <c r="A1057" s="44" t="s">
        <v>328</v>
      </c>
      <c r="B1057" s="45" t="s">
        <v>3632</v>
      </c>
      <c r="C1057" s="45" t="s">
        <v>6719</v>
      </c>
      <c r="D1057" s="45" t="s">
        <v>6711</v>
      </c>
      <c r="E1057" s="44" t="s">
        <v>6855</v>
      </c>
      <c r="F1057" s="37">
        <v>1</v>
      </c>
      <c r="G1057" s="37" t="s">
        <v>6864</v>
      </c>
      <c r="H1057" s="63">
        <v>29143.4</v>
      </c>
    </row>
    <row r="1058" spans="1:8" ht="24.75" customHeight="1">
      <c r="A1058" s="44" t="s">
        <v>766</v>
      </c>
      <c r="B1058" s="45" t="s">
        <v>3639</v>
      </c>
      <c r="C1058" s="45" t="s">
        <v>6719</v>
      </c>
      <c r="D1058" s="45" t="s">
        <v>6711</v>
      </c>
      <c r="E1058" s="44" t="s">
        <v>6855</v>
      </c>
      <c r="F1058" s="37">
        <v>1</v>
      </c>
      <c r="G1058" s="37" t="s">
        <v>6864</v>
      </c>
      <c r="H1058" s="63">
        <v>37365.9</v>
      </c>
    </row>
    <row r="1059" spans="1:8" ht="24.75" customHeight="1">
      <c r="A1059" s="44" t="s">
        <v>1607</v>
      </c>
      <c r="B1059" s="45" t="s">
        <v>5494</v>
      </c>
      <c r="C1059" s="45" t="s">
        <v>6719</v>
      </c>
      <c r="D1059" s="45" t="s">
        <v>6711</v>
      </c>
      <c r="E1059" s="44" t="s">
        <v>6839</v>
      </c>
      <c r="F1059" s="37">
        <v>1</v>
      </c>
      <c r="G1059" s="37" t="s">
        <v>6864</v>
      </c>
      <c r="H1059" s="63">
        <v>32990.1</v>
      </c>
    </row>
    <row r="1060" spans="1:8" ht="24.75" customHeight="1">
      <c r="A1060" s="44" t="s">
        <v>2896</v>
      </c>
      <c r="B1060" s="45" t="s">
        <v>5809</v>
      </c>
      <c r="C1060" s="45" t="s">
        <v>6719</v>
      </c>
      <c r="D1060" s="45" t="s">
        <v>6711</v>
      </c>
      <c r="E1060" s="44"/>
      <c r="F1060" s="37">
        <v>1</v>
      </c>
      <c r="G1060" s="37" t="s">
        <v>6864</v>
      </c>
      <c r="H1060" s="63">
        <v>41641.599999999999</v>
      </c>
    </row>
    <row r="1061" spans="1:8" ht="24.75" customHeight="1">
      <c r="A1061" s="44" t="s">
        <v>2182</v>
      </c>
      <c r="B1061" s="45" t="s">
        <v>5898</v>
      </c>
      <c r="C1061" s="45" t="s">
        <v>6719</v>
      </c>
      <c r="D1061" s="45" t="s">
        <v>6711</v>
      </c>
      <c r="E1061" s="44" t="s">
        <v>6855</v>
      </c>
      <c r="F1061" s="37">
        <v>1</v>
      </c>
      <c r="G1061" s="37" t="s">
        <v>6864</v>
      </c>
      <c r="H1061" s="63">
        <v>30158.7</v>
      </c>
    </row>
    <row r="1062" spans="1:8" ht="24.75" customHeight="1">
      <c r="A1062" s="44" t="s">
        <v>2424</v>
      </c>
      <c r="B1062" s="45" t="s">
        <v>3636</v>
      </c>
      <c r="C1062" s="45" t="s">
        <v>6719</v>
      </c>
      <c r="D1062" s="45" t="s">
        <v>6711</v>
      </c>
      <c r="E1062" s="44" t="s">
        <v>6855</v>
      </c>
      <c r="F1062" s="37">
        <v>1</v>
      </c>
      <c r="G1062" s="37" t="s">
        <v>6864</v>
      </c>
      <c r="H1062" s="63">
        <v>112355.1</v>
      </c>
    </row>
    <row r="1063" spans="1:8" ht="24.75" customHeight="1">
      <c r="A1063" s="44" t="s">
        <v>329</v>
      </c>
      <c r="B1063" s="45" t="s">
        <v>3633</v>
      </c>
      <c r="C1063" s="45" t="s">
        <v>6719</v>
      </c>
      <c r="D1063" s="45" t="s">
        <v>6711</v>
      </c>
      <c r="E1063" s="44" t="s">
        <v>6855</v>
      </c>
      <c r="F1063" s="37">
        <v>1</v>
      </c>
      <c r="G1063" s="37" t="s">
        <v>6864</v>
      </c>
      <c r="H1063" s="63">
        <v>31445.7</v>
      </c>
    </row>
    <row r="1064" spans="1:8" ht="24.75" customHeight="1">
      <c r="A1064" s="44" t="s">
        <v>330</v>
      </c>
      <c r="B1064" s="45" t="s">
        <v>3634</v>
      </c>
      <c r="C1064" s="45" t="s">
        <v>6719</v>
      </c>
      <c r="D1064" s="45" t="s">
        <v>6711</v>
      </c>
      <c r="E1064" s="44" t="s">
        <v>6855</v>
      </c>
      <c r="F1064" s="37">
        <v>1</v>
      </c>
      <c r="G1064" s="37" t="s">
        <v>6864</v>
      </c>
      <c r="H1064" s="63">
        <v>30001.4</v>
      </c>
    </row>
    <row r="1065" spans="1:8" ht="24.75" customHeight="1">
      <c r="A1065" s="44" t="s">
        <v>2615</v>
      </c>
      <c r="B1065" s="45" t="s">
        <v>4907</v>
      </c>
      <c r="C1065" s="45" t="s">
        <v>6719</v>
      </c>
      <c r="D1065" s="45" t="s">
        <v>6711</v>
      </c>
      <c r="E1065" s="44"/>
      <c r="F1065" s="37">
        <v>10</v>
      </c>
      <c r="G1065" s="37" t="s">
        <v>6864</v>
      </c>
      <c r="H1065" s="63">
        <v>400.4</v>
      </c>
    </row>
    <row r="1066" spans="1:8" ht="24.75" customHeight="1">
      <c r="A1066" s="44" t="s">
        <v>3123</v>
      </c>
      <c r="B1066" s="45" t="s">
        <v>5388</v>
      </c>
      <c r="C1066" s="45" t="s">
        <v>6719</v>
      </c>
      <c r="D1066" s="45" t="s">
        <v>6711</v>
      </c>
      <c r="E1066" s="44"/>
      <c r="F1066" s="37">
        <v>10</v>
      </c>
      <c r="G1066" s="37" t="s">
        <v>6864</v>
      </c>
      <c r="H1066" s="63">
        <v>114.4</v>
      </c>
    </row>
    <row r="1067" spans="1:8" ht="24.75" customHeight="1">
      <c r="A1067" s="44" t="s">
        <v>2422</v>
      </c>
      <c r="B1067" s="45" t="s">
        <v>4515</v>
      </c>
      <c r="C1067" s="45" t="s">
        <v>6719</v>
      </c>
      <c r="D1067" s="45" t="s">
        <v>6711</v>
      </c>
      <c r="E1067" s="44" t="s">
        <v>6855</v>
      </c>
      <c r="F1067" s="37">
        <v>1</v>
      </c>
      <c r="G1067" s="37" t="s">
        <v>2568</v>
      </c>
      <c r="H1067" s="63">
        <v>5362.5</v>
      </c>
    </row>
    <row r="1068" spans="1:8" ht="24.75" customHeight="1">
      <c r="A1068" s="44" t="s">
        <v>2421</v>
      </c>
      <c r="B1068" s="45" t="s">
        <v>4514</v>
      </c>
      <c r="C1068" s="45" t="s">
        <v>6719</v>
      </c>
      <c r="D1068" s="45" t="s">
        <v>6711</v>
      </c>
      <c r="E1068" s="44" t="s">
        <v>6855</v>
      </c>
      <c r="F1068" s="37">
        <v>1</v>
      </c>
      <c r="G1068" s="37" t="s">
        <v>2568</v>
      </c>
      <c r="H1068" s="63">
        <v>8937.5</v>
      </c>
    </row>
    <row r="1069" spans="1:8" ht="24.75" customHeight="1">
      <c r="A1069" s="44" t="s">
        <v>624</v>
      </c>
      <c r="B1069" s="45" t="s">
        <v>4522</v>
      </c>
      <c r="C1069" s="45" t="s">
        <v>6719</v>
      </c>
      <c r="D1069" s="45" t="s">
        <v>6711</v>
      </c>
      <c r="E1069" s="44" t="s">
        <v>6855</v>
      </c>
      <c r="F1069" s="37">
        <v>1</v>
      </c>
      <c r="G1069" s="37" t="s">
        <v>2568</v>
      </c>
      <c r="H1069" s="63">
        <v>6292</v>
      </c>
    </row>
    <row r="1070" spans="1:8" ht="24.75" customHeight="1">
      <c r="A1070" s="44" t="s">
        <v>2420</v>
      </c>
      <c r="B1070" s="45" t="s">
        <v>4513</v>
      </c>
      <c r="C1070" s="45" t="s">
        <v>6719</v>
      </c>
      <c r="D1070" s="45" t="s">
        <v>6711</v>
      </c>
      <c r="E1070" s="44" t="s">
        <v>6855</v>
      </c>
      <c r="F1070" s="37">
        <v>1</v>
      </c>
      <c r="G1070" s="37" t="s">
        <v>2568</v>
      </c>
      <c r="H1070" s="63">
        <v>13642.2</v>
      </c>
    </row>
    <row r="1071" spans="1:8" ht="24.75" customHeight="1">
      <c r="A1071" s="44" t="s">
        <v>628</v>
      </c>
      <c r="B1071" s="45" t="s">
        <v>4528</v>
      </c>
      <c r="C1071" s="45" t="s">
        <v>6719</v>
      </c>
      <c r="D1071" s="45" t="s">
        <v>6711</v>
      </c>
      <c r="E1071" s="44"/>
      <c r="F1071" s="37">
        <v>100</v>
      </c>
      <c r="G1071" s="37" t="s">
        <v>6864</v>
      </c>
      <c r="H1071" s="63">
        <v>100.1</v>
      </c>
    </row>
    <row r="1072" spans="1:8" ht="24.75" customHeight="1">
      <c r="A1072" s="44" t="s">
        <v>1129</v>
      </c>
      <c r="B1072" s="45" t="s">
        <v>4517</v>
      </c>
      <c r="C1072" s="45" t="s">
        <v>6719</v>
      </c>
      <c r="D1072" s="45" t="s">
        <v>6711</v>
      </c>
      <c r="E1072" s="44" t="s">
        <v>6855</v>
      </c>
      <c r="F1072" s="37">
        <v>1</v>
      </c>
      <c r="G1072" s="37" t="s">
        <v>2568</v>
      </c>
      <c r="H1072" s="63">
        <v>4976.3999999999996</v>
      </c>
    </row>
    <row r="1073" spans="1:8" ht="24.75" customHeight="1">
      <c r="A1073" s="44" t="s">
        <v>1133</v>
      </c>
      <c r="B1073" s="45" t="s">
        <v>4521</v>
      </c>
      <c r="C1073" s="45" t="s">
        <v>6719</v>
      </c>
      <c r="D1073" s="45" t="s">
        <v>6711</v>
      </c>
      <c r="E1073" s="44" t="s">
        <v>6855</v>
      </c>
      <c r="F1073" s="37">
        <v>1</v>
      </c>
      <c r="G1073" s="37" t="s">
        <v>2568</v>
      </c>
      <c r="H1073" s="63">
        <v>3975.4</v>
      </c>
    </row>
    <row r="1074" spans="1:8" ht="24.75" customHeight="1">
      <c r="A1074" s="44" t="s">
        <v>1132</v>
      </c>
      <c r="B1074" s="45" t="s">
        <v>4520</v>
      </c>
      <c r="C1074" s="45" t="s">
        <v>6719</v>
      </c>
      <c r="D1074" s="45" t="s">
        <v>6711</v>
      </c>
      <c r="E1074" s="44" t="s">
        <v>6855</v>
      </c>
      <c r="F1074" s="37">
        <v>1</v>
      </c>
      <c r="G1074" s="37" t="s">
        <v>2568</v>
      </c>
      <c r="H1074" s="63">
        <v>5834.4</v>
      </c>
    </row>
    <row r="1075" spans="1:8" ht="24.75" customHeight="1">
      <c r="A1075" s="44" t="s">
        <v>627</v>
      </c>
      <c r="B1075" s="45" t="s">
        <v>4525</v>
      </c>
      <c r="C1075" s="45" t="s">
        <v>6719</v>
      </c>
      <c r="D1075" s="45" t="s">
        <v>6711</v>
      </c>
      <c r="E1075" s="44" t="s">
        <v>6855</v>
      </c>
      <c r="F1075" s="37">
        <v>1</v>
      </c>
      <c r="G1075" s="37" t="s">
        <v>2568</v>
      </c>
      <c r="H1075" s="63">
        <v>3975.4</v>
      </c>
    </row>
    <row r="1076" spans="1:8" ht="24.75" customHeight="1">
      <c r="A1076" s="44" t="s">
        <v>626</v>
      </c>
      <c r="B1076" s="45" t="s">
        <v>4524</v>
      </c>
      <c r="C1076" s="45" t="s">
        <v>6719</v>
      </c>
      <c r="D1076" s="45" t="s">
        <v>6711</v>
      </c>
      <c r="E1076" s="44" t="s">
        <v>6855</v>
      </c>
      <c r="F1076" s="37">
        <v>1</v>
      </c>
      <c r="G1076" s="37" t="s">
        <v>2568</v>
      </c>
      <c r="H1076" s="63">
        <v>5634.2</v>
      </c>
    </row>
    <row r="1077" spans="1:8" ht="24.75" customHeight="1">
      <c r="A1077" s="44" t="s">
        <v>506</v>
      </c>
      <c r="B1077" s="45" t="s">
        <v>4516</v>
      </c>
      <c r="C1077" s="45" t="s">
        <v>6719</v>
      </c>
      <c r="D1077" s="45" t="s">
        <v>6711</v>
      </c>
      <c r="E1077" s="44" t="s">
        <v>6855</v>
      </c>
      <c r="F1077" s="37">
        <v>1</v>
      </c>
      <c r="G1077" s="37" t="s">
        <v>2568</v>
      </c>
      <c r="H1077" s="63">
        <v>4175.6000000000004</v>
      </c>
    </row>
    <row r="1078" spans="1:8" ht="24.75" customHeight="1">
      <c r="A1078" s="44" t="s">
        <v>2844</v>
      </c>
      <c r="B1078" s="45" t="s">
        <v>4527</v>
      </c>
      <c r="C1078" s="45" t="s">
        <v>6719</v>
      </c>
      <c r="D1078" s="45" t="s">
        <v>6711</v>
      </c>
      <c r="E1078" s="44" t="s">
        <v>6839</v>
      </c>
      <c r="F1078" s="37">
        <v>1</v>
      </c>
      <c r="G1078" s="37" t="s">
        <v>6864</v>
      </c>
      <c r="H1078" s="63">
        <v>4347.2</v>
      </c>
    </row>
    <row r="1079" spans="1:8" ht="24.75" customHeight="1">
      <c r="A1079" s="44" t="s">
        <v>1131</v>
      </c>
      <c r="B1079" s="45" t="s">
        <v>4519</v>
      </c>
      <c r="C1079" s="45" t="s">
        <v>6719</v>
      </c>
      <c r="D1079" s="45" t="s">
        <v>6711</v>
      </c>
      <c r="E1079" s="44" t="s">
        <v>6855</v>
      </c>
      <c r="F1079" s="37">
        <v>1</v>
      </c>
      <c r="G1079" s="37" t="s">
        <v>2568</v>
      </c>
      <c r="H1079" s="63">
        <v>5491.2</v>
      </c>
    </row>
    <row r="1080" spans="1:8" ht="24.75" customHeight="1">
      <c r="A1080" s="44" t="s">
        <v>625</v>
      </c>
      <c r="B1080" s="45" t="s">
        <v>4523</v>
      </c>
      <c r="C1080" s="45" t="s">
        <v>6719</v>
      </c>
      <c r="D1080" s="45" t="s">
        <v>6711</v>
      </c>
      <c r="E1080" s="44" t="s">
        <v>6855</v>
      </c>
      <c r="F1080" s="37">
        <v>1</v>
      </c>
      <c r="G1080" s="37" t="s">
        <v>2568</v>
      </c>
      <c r="H1080" s="63">
        <v>5062.2</v>
      </c>
    </row>
    <row r="1081" spans="1:8" ht="24.75" customHeight="1">
      <c r="A1081" s="44" t="s">
        <v>1130</v>
      </c>
      <c r="B1081" s="45" t="s">
        <v>4518</v>
      </c>
      <c r="C1081" s="45" t="s">
        <v>6719</v>
      </c>
      <c r="D1081" s="45" t="s">
        <v>6711</v>
      </c>
      <c r="E1081" s="44" t="s">
        <v>6855</v>
      </c>
      <c r="F1081" s="37">
        <v>1</v>
      </c>
      <c r="G1081" s="37" t="s">
        <v>2568</v>
      </c>
      <c r="H1081" s="63">
        <v>3703.7</v>
      </c>
    </row>
    <row r="1082" spans="1:8" ht="24.75" customHeight="1">
      <c r="A1082" s="44" t="s">
        <v>1216</v>
      </c>
      <c r="B1082" s="45" t="s">
        <v>4526</v>
      </c>
      <c r="C1082" s="45" t="s">
        <v>6719</v>
      </c>
      <c r="D1082" s="45" t="s">
        <v>6711</v>
      </c>
      <c r="E1082" s="44" t="s">
        <v>6855</v>
      </c>
      <c r="F1082" s="37">
        <v>1</v>
      </c>
      <c r="G1082" s="37" t="s">
        <v>2568</v>
      </c>
      <c r="H1082" s="63">
        <v>5033.6000000000004</v>
      </c>
    </row>
    <row r="1083" spans="1:8" ht="24.75" customHeight="1">
      <c r="A1083" s="44" t="s">
        <v>1617</v>
      </c>
      <c r="B1083" s="45" t="s">
        <v>5509</v>
      </c>
      <c r="C1083" s="45" t="s">
        <v>6719</v>
      </c>
      <c r="D1083" s="45" t="s">
        <v>6728</v>
      </c>
      <c r="E1083" s="44" t="s">
        <v>6839</v>
      </c>
      <c r="F1083" s="37">
        <v>1</v>
      </c>
      <c r="G1083" s="37" t="s">
        <v>6864</v>
      </c>
      <c r="H1083" s="63">
        <v>63921</v>
      </c>
    </row>
    <row r="1084" spans="1:8" ht="24.75" customHeight="1">
      <c r="A1084" s="44" t="s">
        <v>302</v>
      </c>
      <c r="B1084" s="45" t="s">
        <v>5645</v>
      </c>
      <c r="C1084" s="45" t="s">
        <v>6719</v>
      </c>
      <c r="D1084" s="45" t="s">
        <v>6728</v>
      </c>
      <c r="E1084" s="44" t="s">
        <v>6839</v>
      </c>
      <c r="F1084" s="37">
        <v>1</v>
      </c>
      <c r="G1084" s="37" t="s">
        <v>6864</v>
      </c>
      <c r="H1084" s="63">
        <v>51909</v>
      </c>
    </row>
    <row r="1085" spans="1:8" ht="24.75" customHeight="1">
      <c r="A1085" s="44" t="s">
        <v>1482</v>
      </c>
      <c r="B1085" s="45" t="s">
        <v>5948</v>
      </c>
      <c r="C1085" s="45" t="s">
        <v>6719</v>
      </c>
      <c r="D1085" s="45" t="s">
        <v>6728</v>
      </c>
      <c r="E1085" s="44" t="s">
        <v>6839</v>
      </c>
      <c r="F1085" s="37">
        <v>1</v>
      </c>
      <c r="G1085" s="37" t="s">
        <v>6864</v>
      </c>
      <c r="H1085" s="63">
        <v>69054.7</v>
      </c>
    </row>
    <row r="1086" spans="1:8" ht="24.75" customHeight="1">
      <c r="A1086" s="44" t="s">
        <v>1055</v>
      </c>
      <c r="B1086" s="45" t="s">
        <v>5185</v>
      </c>
      <c r="C1086" s="45" t="s">
        <v>6719</v>
      </c>
      <c r="D1086" s="45" t="s">
        <v>6728</v>
      </c>
      <c r="E1086" s="44" t="s">
        <v>6839</v>
      </c>
      <c r="F1086" s="37">
        <v>1</v>
      </c>
      <c r="G1086" s="37" t="s">
        <v>6864</v>
      </c>
      <c r="H1086" s="63">
        <v>44916.3</v>
      </c>
    </row>
    <row r="1087" spans="1:8" ht="24.75" customHeight="1">
      <c r="A1087" s="44" t="s">
        <v>1042</v>
      </c>
      <c r="B1087" s="45" t="s">
        <v>5720</v>
      </c>
      <c r="C1087" s="45" t="s">
        <v>6719</v>
      </c>
      <c r="D1087" s="45" t="s">
        <v>6728</v>
      </c>
      <c r="E1087" s="44" t="s">
        <v>6839</v>
      </c>
      <c r="F1087" s="37">
        <v>1</v>
      </c>
      <c r="G1087" s="37" t="s">
        <v>6864</v>
      </c>
      <c r="H1087" s="63">
        <v>57400.2</v>
      </c>
    </row>
    <row r="1088" spans="1:8" ht="24.75" customHeight="1">
      <c r="A1088" s="44" t="s">
        <v>1437</v>
      </c>
      <c r="B1088" s="45" t="s">
        <v>4997</v>
      </c>
      <c r="C1088" s="45" t="s">
        <v>6719</v>
      </c>
      <c r="D1088" s="45" t="s">
        <v>6728</v>
      </c>
      <c r="E1088" s="44"/>
      <c r="F1088" s="37">
        <v>1</v>
      </c>
      <c r="G1088" s="37" t="s">
        <v>2568</v>
      </c>
      <c r="H1088" s="63">
        <v>85556.9</v>
      </c>
    </row>
    <row r="1089" spans="1:8" ht="24.75" customHeight="1">
      <c r="A1089" s="44" t="s">
        <v>1462</v>
      </c>
      <c r="B1089" s="45" t="s">
        <v>5028</v>
      </c>
      <c r="C1089" s="45" t="s">
        <v>6719</v>
      </c>
      <c r="D1089" s="45" t="s">
        <v>6728</v>
      </c>
      <c r="E1089" s="44"/>
      <c r="F1089" s="37">
        <v>1</v>
      </c>
      <c r="G1089" s="37" t="s">
        <v>6864</v>
      </c>
      <c r="H1089" s="63">
        <v>3989.7</v>
      </c>
    </row>
    <row r="1090" spans="1:8" ht="24.75" customHeight="1">
      <c r="A1090" s="44" t="s">
        <v>3177</v>
      </c>
      <c r="B1090" s="45" t="s">
        <v>5374</v>
      </c>
      <c r="C1090" s="45" t="s">
        <v>6719</v>
      </c>
      <c r="D1090" s="45" t="s">
        <v>6728</v>
      </c>
      <c r="E1090" s="44"/>
      <c r="F1090" s="37">
        <v>1</v>
      </c>
      <c r="G1090" s="37" t="s">
        <v>6864</v>
      </c>
      <c r="H1090" s="63">
        <v>5848.7</v>
      </c>
    </row>
    <row r="1091" spans="1:8" ht="24.75" customHeight="1">
      <c r="A1091" s="44" t="s">
        <v>3156</v>
      </c>
      <c r="B1091" s="45" t="s">
        <v>5742</v>
      </c>
      <c r="C1091" s="45" t="s">
        <v>6719</v>
      </c>
      <c r="D1091" s="45" t="s">
        <v>6729</v>
      </c>
      <c r="E1091" s="44" t="s">
        <v>6839</v>
      </c>
      <c r="F1091" s="37">
        <v>1</v>
      </c>
      <c r="G1091" s="37" t="s">
        <v>6864</v>
      </c>
      <c r="H1091" s="63">
        <v>35006.400000000001</v>
      </c>
    </row>
    <row r="1092" spans="1:8" ht="24.75" customHeight="1">
      <c r="A1092" s="44" t="s">
        <v>1711</v>
      </c>
      <c r="B1092" s="45" t="s">
        <v>6359</v>
      </c>
      <c r="C1092" s="45" t="s">
        <v>6719</v>
      </c>
      <c r="D1092" s="45" t="s">
        <v>6729</v>
      </c>
      <c r="E1092" s="44" t="s">
        <v>6852</v>
      </c>
      <c r="F1092" s="37">
        <v>1</v>
      </c>
      <c r="G1092" s="37" t="s">
        <v>2568</v>
      </c>
      <c r="H1092" s="63">
        <v>4304.3</v>
      </c>
    </row>
    <row r="1093" spans="1:8" ht="24.75" customHeight="1">
      <c r="A1093" s="44" t="s">
        <v>1937</v>
      </c>
      <c r="B1093" s="45" t="s">
        <v>6360</v>
      </c>
      <c r="C1093" s="45" t="s">
        <v>6719</v>
      </c>
      <c r="D1093" s="45" t="s">
        <v>6729</v>
      </c>
      <c r="E1093" s="44" t="s">
        <v>6852</v>
      </c>
      <c r="F1093" s="37">
        <v>1</v>
      </c>
      <c r="G1093" s="37" t="s">
        <v>6864</v>
      </c>
      <c r="H1093" s="63">
        <v>10767.9</v>
      </c>
    </row>
    <row r="1094" spans="1:8" ht="24.75" customHeight="1">
      <c r="A1094" s="44" t="s">
        <v>1938</v>
      </c>
      <c r="B1094" s="45" t="s">
        <v>6361</v>
      </c>
      <c r="C1094" s="45" t="s">
        <v>6719</v>
      </c>
      <c r="D1094" s="45" t="s">
        <v>6729</v>
      </c>
      <c r="E1094" s="44" t="s">
        <v>6852</v>
      </c>
      <c r="F1094" s="37">
        <v>1</v>
      </c>
      <c r="G1094" s="37" t="s">
        <v>6864</v>
      </c>
      <c r="H1094" s="63">
        <v>12784.2</v>
      </c>
    </row>
    <row r="1095" spans="1:8" ht="24.75" customHeight="1">
      <c r="A1095" s="44" t="s">
        <v>1773</v>
      </c>
      <c r="B1095" s="45" t="s">
        <v>6362</v>
      </c>
      <c r="C1095" s="45" t="s">
        <v>6719</v>
      </c>
      <c r="D1095" s="45" t="s">
        <v>6729</v>
      </c>
      <c r="E1095" s="44" t="s">
        <v>6852</v>
      </c>
      <c r="F1095" s="37">
        <v>1</v>
      </c>
      <c r="G1095" s="37" t="s">
        <v>6864</v>
      </c>
      <c r="H1095" s="63">
        <v>10767.9</v>
      </c>
    </row>
    <row r="1096" spans="1:8" ht="24.75" customHeight="1">
      <c r="A1096" s="44" t="s">
        <v>1774</v>
      </c>
      <c r="B1096" s="45" t="s">
        <v>6363</v>
      </c>
      <c r="C1096" s="45" t="s">
        <v>6719</v>
      </c>
      <c r="D1096" s="45" t="s">
        <v>6729</v>
      </c>
      <c r="E1096" s="44" t="s">
        <v>6852</v>
      </c>
      <c r="F1096" s="37">
        <v>1</v>
      </c>
      <c r="G1096" s="37" t="s">
        <v>6864</v>
      </c>
      <c r="H1096" s="63">
        <v>12784.2</v>
      </c>
    </row>
    <row r="1097" spans="1:8" ht="24.75" customHeight="1">
      <c r="A1097" s="44" t="s">
        <v>1765</v>
      </c>
      <c r="B1097" s="45" t="s">
        <v>6364</v>
      </c>
      <c r="C1097" s="45" t="s">
        <v>6719</v>
      </c>
      <c r="D1097" s="45" t="s">
        <v>6729</v>
      </c>
      <c r="E1097" s="44" t="s">
        <v>6852</v>
      </c>
      <c r="F1097" s="37">
        <v>1</v>
      </c>
      <c r="G1097" s="37" t="s">
        <v>6864</v>
      </c>
      <c r="H1097" s="63">
        <v>9652.5</v>
      </c>
    </row>
    <row r="1098" spans="1:8" ht="24.75" customHeight="1">
      <c r="A1098" s="44" t="s">
        <v>1787</v>
      </c>
      <c r="B1098" s="45" t="s">
        <v>6365</v>
      </c>
      <c r="C1098" s="45" t="s">
        <v>6719</v>
      </c>
      <c r="D1098" s="45" t="s">
        <v>6729</v>
      </c>
      <c r="E1098" s="44" t="s">
        <v>6852</v>
      </c>
      <c r="F1098" s="37">
        <v>1</v>
      </c>
      <c r="G1098" s="37" t="s">
        <v>6864</v>
      </c>
      <c r="H1098" s="63">
        <v>10767.9</v>
      </c>
    </row>
    <row r="1099" spans="1:8" ht="24.75" customHeight="1">
      <c r="A1099" s="44" t="s">
        <v>1780</v>
      </c>
      <c r="B1099" s="45" t="s">
        <v>6366</v>
      </c>
      <c r="C1099" s="45" t="s">
        <v>6719</v>
      </c>
      <c r="D1099" s="45" t="s">
        <v>6729</v>
      </c>
      <c r="E1099" s="44" t="s">
        <v>6852</v>
      </c>
      <c r="F1099" s="37">
        <v>1</v>
      </c>
      <c r="G1099" s="37" t="s">
        <v>6864</v>
      </c>
      <c r="H1099" s="63">
        <v>10095.799999999999</v>
      </c>
    </row>
    <row r="1100" spans="1:8" ht="24.75" customHeight="1">
      <c r="A1100" s="44" t="s">
        <v>1757</v>
      </c>
      <c r="B1100" s="45" t="s">
        <v>6367</v>
      </c>
      <c r="C1100" s="45" t="s">
        <v>6719</v>
      </c>
      <c r="D1100" s="45" t="s">
        <v>6729</v>
      </c>
      <c r="E1100" s="44" t="s">
        <v>6852</v>
      </c>
      <c r="F1100" s="37">
        <v>1</v>
      </c>
      <c r="G1100" s="37" t="s">
        <v>6864</v>
      </c>
      <c r="H1100" s="63">
        <v>12912.9</v>
      </c>
    </row>
    <row r="1101" spans="1:8" ht="24.75" customHeight="1">
      <c r="A1101" s="44" t="s">
        <v>1944</v>
      </c>
      <c r="B1101" s="45" t="s">
        <v>4690</v>
      </c>
      <c r="C1101" s="45" t="s">
        <v>6719</v>
      </c>
      <c r="D1101" s="45" t="s">
        <v>6729</v>
      </c>
      <c r="E1101" s="44" t="s">
        <v>6852</v>
      </c>
      <c r="F1101" s="37">
        <v>1</v>
      </c>
      <c r="G1101" s="37" t="s">
        <v>2568</v>
      </c>
      <c r="H1101" s="63">
        <v>3417.7</v>
      </c>
    </row>
    <row r="1102" spans="1:8" ht="24.75" customHeight="1">
      <c r="A1102" s="44" t="s">
        <v>1950</v>
      </c>
      <c r="B1102" s="45" t="s">
        <v>4696</v>
      </c>
      <c r="C1102" s="45" t="s">
        <v>6719</v>
      </c>
      <c r="D1102" s="45" t="s">
        <v>6729</v>
      </c>
      <c r="E1102" s="44" t="s">
        <v>6852</v>
      </c>
      <c r="F1102" s="37">
        <v>1</v>
      </c>
      <c r="G1102" s="37" t="s">
        <v>2568</v>
      </c>
      <c r="H1102" s="63">
        <v>3846.7</v>
      </c>
    </row>
    <row r="1103" spans="1:8" ht="24.75" customHeight="1">
      <c r="A1103" s="44" t="s">
        <v>1955</v>
      </c>
      <c r="B1103" s="45" t="s">
        <v>4701</v>
      </c>
      <c r="C1103" s="45" t="s">
        <v>6719</v>
      </c>
      <c r="D1103" s="45" t="s">
        <v>6729</v>
      </c>
      <c r="E1103" s="44" t="s">
        <v>6852</v>
      </c>
      <c r="F1103" s="37">
        <v>1</v>
      </c>
      <c r="G1103" s="37" t="s">
        <v>2568</v>
      </c>
      <c r="H1103" s="63">
        <v>5791.5</v>
      </c>
    </row>
    <row r="1104" spans="1:8" ht="24.75" customHeight="1">
      <c r="A1104" s="44" t="s">
        <v>1951</v>
      </c>
      <c r="B1104" s="45" t="s">
        <v>4697</v>
      </c>
      <c r="C1104" s="45" t="s">
        <v>6719</v>
      </c>
      <c r="D1104" s="45" t="s">
        <v>6729</v>
      </c>
      <c r="E1104" s="44" t="s">
        <v>6852</v>
      </c>
      <c r="F1104" s="37">
        <v>1</v>
      </c>
      <c r="G1104" s="37" t="s">
        <v>2568</v>
      </c>
      <c r="H1104" s="63">
        <v>5176.6000000000004</v>
      </c>
    </row>
    <row r="1105" spans="1:8" ht="24.75" customHeight="1">
      <c r="A1105" s="44" t="s">
        <v>1942</v>
      </c>
      <c r="B1105" s="45" t="s">
        <v>4688</v>
      </c>
      <c r="C1105" s="45" t="s">
        <v>6719</v>
      </c>
      <c r="D1105" s="45" t="s">
        <v>6729</v>
      </c>
      <c r="E1105" s="44" t="s">
        <v>6852</v>
      </c>
      <c r="F1105" s="37">
        <v>1</v>
      </c>
      <c r="G1105" s="37" t="s">
        <v>2568</v>
      </c>
      <c r="H1105" s="63">
        <v>3417.7</v>
      </c>
    </row>
    <row r="1106" spans="1:8" ht="24.75" customHeight="1">
      <c r="A1106" s="44" t="s">
        <v>1952</v>
      </c>
      <c r="B1106" s="45" t="s">
        <v>4698</v>
      </c>
      <c r="C1106" s="45" t="s">
        <v>6719</v>
      </c>
      <c r="D1106" s="45" t="s">
        <v>6729</v>
      </c>
      <c r="E1106" s="44" t="s">
        <v>6852</v>
      </c>
      <c r="F1106" s="37">
        <v>1</v>
      </c>
      <c r="G1106" s="37" t="s">
        <v>2568</v>
      </c>
      <c r="H1106" s="63">
        <v>4776.2</v>
      </c>
    </row>
    <row r="1107" spans="1:8" ht="24.75" customHeight="1">
      <c r="A1107" s="44" t="s">
        <v>1943</v>
      </c>
      <c r="B1107" s="45" t="s">
        <v>4689</v>
      </c>
      <c r="C1107" s="45" t="s">
        <v>6719</v>
      </c>
      <c r="D1107" s="45" t="s">
        <v>6729</v>
      </c>
      <c r="E1107" s="44" t="s">
        <v>6852</v>
      </c>
      <c r="F1107" s="37">
        <v>1</v>
      </c>
      <c r="G1107" s="37" t="s">
        <v>2568</v>
      </c>
      <c r="H1107" s="63">
        <v>3746.6</v>
      </c>
    </row>
    <row r="1108" spans="1:8" ht="24.75" customHeight="1">
      <c r="A1108" s="44" t="s">
        <v>1949</v>
      </c>
      <c r="B1108" s="45" t="s">
        <v>4695</v>
      </c>
      <c r="C1108" s="45" t="s">
        <v>6719</v>
      </c>
      <c r="D1108" s="45" t="s">
        <v>6729</v>
      </c>
      <c r="E1108" s="44" t="s">
        <v>6852</v>
      </c>
      <c r="F1108" s="37">
        <v>1</v>
      </c>
      <c r="G1108" s="37" t="s">
        <v>2568</v>
      </c>
      <c r="H1108" s="63">
        <v>7107.1</v>
      </c>
    </row>
    <row r="1109" spans="1:8" ht="24.75" customHeight="1">
      <c r="A1109" s="44" t="s">
        <v>1946</v>
      </c>
      <c r="B1109" s="45" t="s">
        <v>4692</v>
      </c>
      <c r="C1109" s="45" t="s">
        <v>6719</v>
      </c>
      <c r="D1109" s="45" t="s">
        <v>6729</v>
      </c>
      <c r="E1109" s="44" t="s">
        <v>6852</v>
      </c>
      <c r="F1109" s="37">
        <v>1</v>
      </c>
      <c r="G1109" s="37" t="s">
        <v>2568</v>
      </c>
      <c r="H1109" s="63">
        <v>4361.5</v>
      </c>
    </row>
    <row r="1110" spans="1:8" ht="24.75" customHeight="1">
      <c r="A1110" s="44" t="s">
        <v>1954</v>
      </c>
      <c r="B1110" s="45" t="s">
        <v>4700</v>
      </c>
      <c r="C1110" s="45" t="s">
        <v>6719</v>
      </c>
      <c r="D1110" s="45" t="s">
        <v>6729</v>
      </c>
      <c r="E1110" s="44" t="s">
        <v>6852</v>
      </c>
      <c r="F1110" s="37">
        <v>1</v>
      </c>
      <c r="G1110" s="37" t="s">
        <v>2568</v>
      </c>
      <c r="H1110" s="63">
        <v>4547.3999999999996</v>
      </c>
    </row>
    <row r="1111" spans="1:8" ht="24.75" customHeight="1">
      <c r="A1111" s="44" t="s">
        <v>1947</v>
      </c>
      <c r="B1111" s="45" t="s">
        <v>4693</v>
      </c>
      <c r="C1111" s="45" t="s">
        <v>6719</v>
      </c>
      <c r="D1111" s="45" t="s">
        <v>6729</v>
      </c>
      <c r="E1111" s="44" t="s">
        <v>6852</v>
      </c>
      <c r="F1111" s="37">
        <v>1</v>
      </c>
      <c r="G1111" s="37" t="s">
        <v>2568</v>
      </c>
      <c r="H1111" s="63">
        <v>4819.1000000000004</v>
      </c>
    </row>
    <row r="1112" spans="1:8" ht="24.75" customHeight="1">
      <c r="A1112" s="44" t="s">
        <v>1953</v>
      </c>
      <c r="B1112" s="45" t="s">
        <v>4699</v>
      </c>
      <c r="C1112" s="45" t="s">
        <v>6719</v>
      </c>
      <c r="D1112" s="45" t="s">
        <v>6729</v>
      </c>
      <c r="E1112" s="44" t="s">
        <v>6852</v>
      </c>
      <c r="F1112" s="37">
        <v>1</v>
      </c>
      <c r="G1112" s="37" t="s">
        <v>2568</v>
      </c>
      <c r="H1112" s="63">
        <v>4475.8999999999996</v>
      </c>
    </row>
    <row r="1113" spans="1:8" ht="24.75" customHeight="1">
      <c r="A1113" s="44" t="s">
        <v>1945</v>
      </c>
      <c r="B1113" s="45" t="s">
        <v>4691</v>
      </c>
      <c r="C1113" s="45" t="s">
        <v>6719</v>
      </c>
      <c r="D1113" s="45" t="s">
        <v>6729</v>
      </c>
      <c r="E1113" s="44" t="s">
        <v>6852</v>
      </c>
      <c r="F1113" s="37">
        <v>1</v>
      </c>
      <c r="G1113" s="37" t="s">
        <v>2568</v>
      </c>
      <c r="H1113" s="63">
        <v>4418.7</v>
      </c>
    </row>
    <row r="1114" spans="1:8" ht="24.75" customHeight="1">
      <c r="A1114" s="44" t="s">
        <v>1948</v>
      </c>
      <c r="B1114" s="45" t="s">
        <v>4694</v>
      </c>
      <c r="C1114" s="45" t="s">
        <v>6719</v>
      </c>
      <c r="D1114" s="45" t="s">
        <v>6729</v>
      </c>
      <c r="E1114" s="44" t="s">
        <v>6852</v>
      </c>
      <c r="F1114" s="37">
        <v>1</v>
      </c>
      <c r="G1114" s="37" t="s">
        <v>2568</v>
      </c>
      <c r="H1114" s="63">
        <v>4304.3</v>
      </c>
    </row>
    <row r="1115" spans="1:8" ht="24.75" customHeight="1">
      <c r="A1115" s="44" t="s">
        <v>1694</v>
      </c>
      <c r="B1115" s="45" t="s">
        <v>4640</v>
      </c>
      <c r="C1115" s="45" t="s">
        <v>6719</v>
      </c>
      <c r="D1115" s="45" t="s">
        <v>6729</v>
      </c>
      <c r="E1115" s="44" t="s">
        <v>6852</v>
      </c>
      <c r="F1115" s="37">
        <v>1</v>
      </c>
      <c r="G1115" s="37" t="s">
        <v>2568</v>
      </c>
      <c r="H1115" s="63">
        <v>3417.7</v>
      </c>
    </row>
    <row r="1116" spans="1:8" ht="24.75" customHeight="1">
      <c r="A1116" s="44" t="s">
        <v>1700</v>
      </c>
      <c r="B1116" s="45" t="s">
        <v>4665</v>
      </c>
      <c r="C1116" s="45" t="s">
        <v>6719</v>
      </c>
      <c r="D1116" s="45" t="s">
        <v>6729</v>
      </c>
      <c r="E1116" s="44" t="s">
        <v>6852</v>
      </c>
      <c r="F1116" s="37">
        <v>1</v>
      </c>
      <c r="G1116" s="37" t="s">
        <v>2568</v>
      </c>
      <c r="H1116" s="63">
        <v>3846.7</v>
      </c>
    </row>
    <row r="1117" spans="1:8" ht="24.75" customHeight="1">
      <c r="A1117" s="44" t="s">
        <v>1705</v>
      </c>
      <c r="B1117" s="45" t="s">
        <v>4685</v>
      </c>
      <c r="C1117" s="45" t="s">
        <v>6719</v>
      </c>
      <c r="D1117" s="45" t="s">
        <v>6729</v>
      </c>
      <c r="E1117" s="44" t="s">
        <v>6852</v>
      </c>
      <c r="F1117" s="37">
        <v>1</v>
      </c>
      <c r="G1117" s="37" t="s">
        <v>2568</v>
      </c>
      <c r="H1117" s="63">
        <v>5791.5</v>
      </c>
    </row>
    <row r="1118" spans="1:8" ht="24.75" customHeight="1">
      <c r="A1118" s="44" t="s">
        <v>1692</v>
      </c>
      <c r="B1118" s="45" t="s">
        <v>4630</v>
      </c>
      <c r="C1118" s="45" t="s">
        <v>6719</v>
      </c>
      <c r="D1118" s="45" t="s">
        <v>6729</v>
      </c>
      <c r="E1118" s="44" t="s">
        <v>6852</v>
      </c>
      <c r="F1118" s="37">
        <v>1</v>
      </c>
      <c r="G1118" s="37" t="s">
        <v>2568</v>
      </c>
      <c r="H1118" s="63">
        <v>3417.7</v>
      </c>
    </row>
    <row r="1119" spans="1:8" ht="24.75" customHeight="1">
      <c r="A1119" s="44" t="s">
        <v>1702</v>
      </c>
      <c r="B1119" s="45" t="s">
        <v>4673</v>
      </c>
      <c r="C1119" s="45" t="s">
        <v>6719</v>
      </c>
      <c r="D1119" s="45" t="s">
        <v>6729</v>
      </c>
      <c r="E1119" s="44" t="s">
        <v>6852</v>
      </c>
      <c r="F1119" s="37">
        <v>1</v>
      </c>
      <c r="G1119" s="37" t="s">
        <v>2568</v>
      </c>
      <c r="H1119" s="63">
        <v>4776.2</v>
      </c>
    </row>
    <row r="1120" spans="1:8" ht="24.75" customHeight="1">
      <c r="A1120" s="44" t="s">
        <v>1701</v>
      </c>
      <c r="B1120" s="45" t="s">
        <v>4669</v>
      </c>
      <c r="C1120" s="45" t="s">
        <v>6719</v>
      </c>
      <c r="D1120" s="45" t="s">
        <v>6729</v>
      </c>
      <c r="E1120" s="44" t="s">
        <v>6852</v>
      </c>
      <c r="F1120" s="37">
        <v>1</v>
      </c>
      <c r="G1120" s="37" t="s">
        <v>2568</v>
      </c>
      <c r="H1120" s="63">
        <v>5176.6000000000004</v>
      </c>
    </row>
    <row r="1121" spans="1:8" ht="24.75" customHeight="1">
      <c r="A1121" s="44" t="s">
        <v>1693</v>
      </c>
      <c r="B1121" s="45" t="s">
        <v>4635</v>
      </c>
      <c r="C1121" s="45" t="s">
        <v>6719</v>
      </c>
      <c r="D1121" s="45" t="s">
        <v>6729</v>
      </c>
      <c r="E1121" s="44" t="s">
        <v>6852</v>
      </c>
      <c r="F1121" s="37">
        <v>1</v>
      </c>
      <c r="G1121" s="37" t="s">
        <v>2568</v>
      </c>
      <c r="H1121" s="63">
        <v>3746.6</v>
      </c>
    </row>
    <row r="1122" spans="1:8" ht="24.75" customHeight="1">
      <c r="A1122" s="44" t="s">
        <v>1699</v>
      </c>
      <c r="B1122" s="45" t="s">
        <v>4661</v>
      </c>
      <c r="C1122" s="45" t="s">
        <v>6719</v>
      </c>
      <c r="D1122" s="45" t="s">
        <v>6729</v>
      </c>
      <c r="E1122" s="44" t="s">
        <v>6852</v>
      </c>
      <c r="F1122" s="37">
        <v>1</v>
      </c>
      <c r="G1122" s="37" t="s">
        <v>2568</v>
      </c>
      <c r="H1122" s="63">
        <v>7107.1</v>
      </c>
    </row>
    <row r="1123" spans="1:8" ht="24.75" customHeight="1">
      <c r="A1123" s="44" t="s">
        <v>1696</v>
      </c>
      <c r="B1123" s="45" t="s">
        <v>4649</v>
      </c>
      <c r="C1123" s="45" t="s">
        <v>6719</v>
      </c>
      <c r="D1123" s="45" t="s">
        <v>6729</v>
      </c>
      <c r="E1123" s="44" t="s">
        <v>6852</v>
      </c>
      <c r="F1123" s="37">
        <v>1</v>
      </c>
      <c r="G1123" s="37" t="s">
        <v>2568</v>
      </c>
      <c r="H1123" s="63">
        <v>4361.5</v>
      </c>
    </row>
    <row r="1124" spans="1:8" ht="24.75" customHeight="1">
      <c r="A1124" s="44" t="s">
        <v>1704</v>
      </c>
      <c r="B1124" s="45" t="s">
        <v>4681</v>
      </c>
      <c r="C1124" s="45" t="s">
        <v>6719</v>
      </c>
      <c r="D1124" s="45" t="s">
        <v>6729</v>
      </c>
      <c r="E1124" s="44" t="s">
        <v>6852</v>
      </c>
      <c r="F1124" s="37">
        <v>1</v>
      </c>
      <c r="G1124" s="37" t="s">
        <v>2568</v>
      </c>
      <c r="H1124" s="63">
        <v>4547.3999999999996</v>
      </c>
    </row>
    <row r="1125" spans="1:8" ht="24.75" customHeight="1">
      <c r="A1125" s="44" t="s">
        <v>1697</v>
      </c>
      <c r="B1125" s="45" t="s">
        <v>4653</v>
      </c>
      <c r="C1125" s="45" t="s">
        <v>6719</v>
      </c>
      <c r="D1125" s="45" t="s">
        <v>6729</v>
      </c>
      <c r="E1125" s="44" t="s">
        <v>6852</v>
      </c>
      <c r="F1125" s="37">
        <v>1</v>
      </c>
      <c r="G1125" s="37" t="s">
        <v>2568</v>
      </c>
      <c r="H1125" s="63">
        <v>4819.1000000000004</v>
      </c>
    </row>
    <row r="1126" spans="1:8" ht="24.75" customHeight="1">
      <c r="A1126" s="44" t="s">
        <v>1703</v>
      </c>
      <c r="B1126" s="45" t="s">
        <v>4677</v>
      </c>
      <c r="C1126" s="45" t="s">
        <v>6719</v>
      </c>
      <c r="D1126" s="45" t="s">
        <v>6729</v>
      </c>
      <c r="E1126" s="44" t="s">
        <v>6852</v>
      </c>
      <c r="F1126" s="37">
        <v>1</v>
      </c>
      <c r="G1126" s="37" t="s">
        <v>2568</v>
      </c>
      <c r="H1126" s="63">
        <v>4475.8999999999996</v>
      </c>
    </row>
    <row r="1127" spans="1:8" ht="24.75" customHeight="1">
      <c r="A1127" s="44" t="s">
        <v>1695</v>
      </c>
      <c r="B1127" s="45" t="s">
        <v>4645</v>
      </c>
      <c r="C1127" s="45" t="s">
        <v>6719</v>
      </c>
      <c r="D1127" s="45" t="s">
        <v>6729</v>
      </c>
      <c r="E1127" s="44" t="s">
        <v>6852</v>
      </c>
      <c r="F1127" s="37">
        <v>1</v>
      </c>
      <c r="G1127" s="37" t="s">
        <v>2568</v>
      </c>
      <c r="H1127" s="63">
        <v>4418.7</v>
      </c>
    </row>
    <row r="1128" spans="1:8" ht="24.75" customHeight="1">
      <c r="A1128" s="44" t="s">
        <v>1698</v>
      </c>
      <c r="B1128" s="45" t="s">
        <v>4657</v>
      </c>
      <c r="C1128" s="45" t="s">
        <v>6719</v>
      </c>
      <c r="D1128" s="45" t="s">
        <v>6729</v>
      </c>
      <c r="E1128" s="44" t="s">
        <v>6852</v>
      </c>
      <c r="F1128" s="37">
        <v>1</v>
      </c>
      <c r="G1128" s="37" t="s">
        <v>2568</v>
      </c>
      <c r="H1128" s="63">
        <v>4304.3</v>
      </c>
    </row>
    <row r="1129" spans="1:8" ht="24.75" customHeight="1">
      <c r="A1129" s="44" t="s">
        <v>1998</v>
      </c>
      <c r="B1129" s="45" t="s">
        <v>4704</v>
      </c>
      <c r="C1129" s="45" t="s">
        <v>6719</v>
      </c>
      <c r="D1129" s="45" t="s">
        <v>6729</v>
      </c>
      <c r="E1129" s="44" t="s">
        <v>6852</v>
      </c>
      <c r="F1129" s="37">
        <v>1</v>
      </c>
      <c r="G1129" s="37" t="s">
        <v>2568</v>
      </c>
      <c r="H1129" s="63">
        <v>3417.7</v>
      </c>
    </row>
    <row r="1130" spans="1:8" ht="24.75" customHeight="1">
      <c r="A1130" s="44" t="s">
        <v>2004</v>
      </c>
      <c r="B1130" s="45" t="s">
        <v>4710</v>
      </c>
      <c r="C1130" s="45" t="s">
        <v>6719</v>
      </c>
      <c r="D1130" s="45" t="s">
        <v>6729</v>
      </c>
      <c r="E1130" s="44" t="s">
        <v>6852</v>
      </c>
      <c r="F1130" s="37">
        <v>1</v>
      </c>
      <c r="G1130" s="37" t="s">
        <v>2568</v>
      </c>
      <c r="H1130" s="63">
        <v>3846.7</v>
      </c>
    </row>
    <row r="1131" spans="1:8" ht="24.75" customHeight="1">
      <c r="A1131" s="44" t="s">
        <v>2007</v>
      </c>
      <c r="B1131" s="45" t="s">
        <v>4715</v>
      </c>
      <c r="C1131" s="45" t="s">
        <v>6719</v>
      </c>
      <c r="D1131" s="45" t="s">
        <v>6729</v>
      </c>
      <c r="E1131" s="44" t="s">
        <v>6852</v>
      </c>
      <c r="F1131" s="37">
        <v>1</v>
      </c>
      <c r="G1131" s="37" t="s">
        <v>2568</v>
      </c>
      <c r="H1131" s="63">
        <v>5791.5</v>
      </c>
    </row>
    <row r="1132" spans="1:8" ht="24.75" customHeight="1">
      <c r="A1132" s="44" t="s">
        <v>2005</v>
      </c>
      <c r="B1132" s="45" t="s">
        <v>4711</v>
      </c>
      <c r="C1132" s="45" t="s">
        <v>6719</v>
      </c>
      <c r="D1132" s="45" t="s">
        <v>6729</v>
      </c>
      <c r="E1132" s="44" t="s">
        <v>6852</v>
      </c>
      <c r="F1132" s="37">
        <v>1</v>
      </c>
      <c r="G1132" s="37" t="s">
        <v>2568</v>
      </c>
      <c r="H1132" s="63">
        <v>5176.6000000000004</v>
      </c>
    </row>
    <row r="1133" spans="1:8" ht="24.75" customHeight="1">
      <c r="A1133" s="44" t="s">
        <v>1996</v>
      </c>
      <c r="B1133" s="45" t="s">
        <v>4702</v>
      </c>
      <c r="C1133" s="45" t="s">
        <v>6719</v>
      </c>
      <c r="D1133" s="45" t="s">
        <v>6729</v>
      </c>
      <c r="E1133" s="44" t="s">
        <v>6852</v>
      </c>
      <c r="F1133" s="37">
        <v>1</v>
      </c>
      <c r="G1133" s="37" t="s">
        <v>2568</v>
      </c>
      <c r="H1133" s="63">
        <v>3417.7</v>
      </c>
    </row>
    <row r="1134" spans="1:8" ht="24.75" customHeight="1">
      <c r="A1134" s="44" t="s">
        <v>2006</v>
      </c>
      <c r="B1134" s="45" t="s">
        <v>4712</v>
      </c>
      <c r="C1134" s="45" t="s">
        <v>6719</v>
      </c>
      <c r="D1134" s="45" t="s">
        <v>6729</v>
      </c>
      <c r="E1134" s="44" t="s">
        <v>6852</v>
      </c>
      <c r="F1134" s="37">
        <v>1</v>
      </c>
      <c r="G1134" s="37" t="s">
        <v>2568</v>
      </c>
      <c r="H1134" s="63">
        <v>4776.2</v>
      </c>
    </row>
    <row r="1135" spans="1:8" ht="24.75" customHeight="1">
      <c r="A1135" s="44" t="s">
        <v>1997</v>
      </c>
      <c r="B1135" s="45" t="s">
        <v>4703</v>
      </c>
      <c r="C1135" s="45" t="s">
        <v>6719</v>
      </c>
      <c r="D1135" s="45" t="s">
        <v>6729</v>
      </c>
      <c r="E1135" s="44" t="s">
        <v>6852</v>
      </c>
      <c r="F1135" s="37">
        <v>1</v>
      </c>
      <c r="G1135" s="37" t="s">
        <v>2568</v>
      </c>
      <c r="H1135" s="63">
        <v>3746.6</v>
      </c>
    </row>
    <row r="1136" spans="1:8" ht="24.75" customHeight="1">
      <c r="A1136" s="44" t="s">
        <v>2003</v>
      </c>
      <c r="B1136" s="45" t="s">
        <v>4709</v>
      </c>
      <c r="C1136" s="45" t="s">
        <v>6719</v>
      </c>
      <c r="D1136" s="45" t="s">
        <v>6729</v>
      </c>
      <c r="E1136" s="44" t="s">
        <v>6852</v>
      </c>
      <c r="F1136" s="37">
        <v>1</v>
      </c>
      <c r="G1136" s="37" t="s">
        <v>2568</v>
      </c>
      <c r="H1136" s="63">
        <v>7107.1</v>
      </c>
    </row>
    <row r="1137" spans="1:8" ht="24.75" customHeight="1">
      <c r="A1137" s="44" t="s">
        <v>2000</v>
      </c>
      <c r="B1137" s="45" t="s">
        <v>4706</v>
      </c>
      <c r="C1137" s="45" t="s">
        <v>6719</v>
      </c>
      <c r="D1137" s="45" t="s">
        <v>6729</v>
      </c>
      <c r="E1137" s="44" t="s">
        <v>6852</v>
      </c>
      <c r="F1137" s="37">
        <v>1</v>
      </c>
      <c r="G1137" s="37" t="s">
        <v>2568</v>
      </c>
      <c r="H1137" s="63">
        <v>4361.5</v>
      </c>
    </row>
    <row r="1138" spans="1:8" ht="24.75" customHeight="1">
      <c r="A1138" s="44" t="s">
        <v>2116</v>
      </c>
      <c r="B1138" s="45" t="s">
        <v>4714</v>
      </c>
      <c r="C1138" s="45" t="s">
        <v>6719</v>
      </c>
      <c r="D1138" s="45" t="s">
        <v>6729</v>
      </c>
      <c r="E1138" s="44" t="s">
        <v>6852</v>
      </c>
      <c r="F1138" s="37">
        <v>1</v>
      </c>
      <c r="G1138" s="37" t="s">
        <v>2568</v>
      </c>
      <c r="H1138" s="63">
        <v>4547.3999999999996</v>
      </c>
    </row>
    <row r="1139" spans="1:8" ht="24.75" customHeight="1">
      <c r="A1139" s="44" t="s">
        <v>2001</v>
      </c>
      <c r="B1139" s="45" t="s">
        <v>4707</v>
      </c>
      <c r="C1139" s="45" t="s">
        <v>6719</v>
      </c>
      <c r="D1139" s="45" t="s">
        <v>6729</v>
      </c>
      <c r="E1139" s="44" t="s">
        <v>6852</v>
      </c>
      <c r="F1139" s="37">
        <v>1</v>
      </c>
      <c r="G1139" s="37" t="s">
        <v>2568</v>
      </c>
      <c r="H1139" s="63">
        <v>4819.1000000000004</v>
      </c>
    </row>
    <row r="1140" spans="1:8" ht="24.75" customHeight="1">
      <c r="A1140" s="44" t="s">
        <v>2115</v>
      </c>
      <c r="B1140" s="45" t="s">
        <v>4713</v>
      </c>
      <c r="C1140" s="45" t="s">
        <v>6719</v>
      </c>
      <c r="D1140" s="45" t="s">
        <v>6729</v>
      </c>
      <c r="E1140" s="44" t="s">
        <v>6852</v>
      </c>
      <c r="F1140" s="37">
        <v>1</v>
      </c>
      <c r="G1140" s="37" t="s">
        <v>2568</v>
      </c>
      <c r="H1140" s="63">
        <v>4475.8999999999996</v>
      </c>
    </row>
    <row r="1141" spans="1:8" ht="24.75" customHeight="1">
      <c r="A1141" s="44" t="s">
        <v>1999</v>
      </c>
      <c r="B1141" s="45" t="s">
        <v>4705</v>
      </c>
      <c r="C1141" s="45" t="s">
        <v>6719</v>
      </c>
      <c r="D1141" s="45" t="s">
        <v>6729</v>
      </c>
      <c r="E1141" s="44" t="s">
        <v>6852</v>
      </c>
      <c r="F1141" s="37">
        <v>1</v>
      </c>
      <c r="G1141" s="37" t="s">
        <v>2568</v>
      </c>
      <c r="H1141" s="63">
        <v>4418.7</v>
      </c>
    </row>
    <row r="1142" spans="1:8" ht="24.75" customHeight="1">
      <c r="A1142" s="44" t="s">
        <v>2002</v>
      </c>
      <c r="B1142" s="45" t="s">
        <v>4708</v>
      </c>
      <c r="C1142" s="45" t="s">
        <v>6719</v>
      </c>
      <c r="D1142" s="45" t="s">
        <v>6729</v>
      </c>
      <c r="E1142" s="44" t="s">
        <v>6852</v>
      </c>
      <c r="F1142" s="37">
        <v>1</v>
      </c>
      <c r="G1142" s="37" t="s">
        <v>2568</v>
      </c>
      <c r="H1142" s="63">
        <v>4304.3</v>
      </c>
    </row>
    <row r="1143" spans="1:8" ht="24.75" customHeight="1">
      <c r="A1143" s="44" t="s">
        <v>1707</v>
      </c>
      <c r="B1143" s="45" t="s">
        <v>4641</v>
      </c>
      <c r="C1143" s="45" t="s">
        <v>6719</v>
      </c>
      <c r="D1143" s="45" t="s">
        <v>6729</v>
      </c>
      <c r="E1143" s="44" t="s">
        <v>6852</v>
      </c>
      <c r="F1143" s="37">
        <v>1</v>
      </c>
      <c r="G1143" s="37" t="s">
        <v>2568</v>
      </c>
      <c r="H1143" s="63">
        <v>3417.7</v>
      </c>
    </row>
    <row r="1144" spans="1:8" ht="24.75" customHeight="1">
      <c r="A1144" s="44" t="s">
        <v>1713</v>
      </c>
      <c r="B1144" s="45" t="s">
        <v>4666</v>
      </c>
      <c r="C1144" s="45" t="s">
        <v>6719</v>
      </c>
      <c r="D1144" s="45" t="s">
        <v>6729</v>
      </c>
      <c r="E1144" s="44" t="s">
        <v>6852</v>
      </c>
      <c r="F1144" s="37">
        <v>1</v>
      </c>
      <c r="G1144" s="37" t="s">
        <v>2568</v>
      </c>
      <c r="H1144" s="63">
        <v>3846.7</v>
      </c>
    </row>
    <row r="1145" spans="1:8" ht="24.75" customHeight="1">
      <c r="A1145" s="44" t="s">
        <v>1718</v>
      </c>
      <c r="B1145" s="45" t="s">
        <v>4686</v>
      </c>
      <c r="C1145" s="45" t="s">
        <v>6719</v>
      </c>
      <c r="D1145" s="45" t="s">
        <v>6729</v>
      </c>
      <c r="E1145" s="44" t="s">
        <v>6852</v>
      </c>
      <c r="F1145" s="37">
        <v>1</v>
      </c>
      <c r="G1145" s="37" t="s">
        <v>2568</v>
      </c>
      <c r="H1145" s="63">
        <v>5791.5</v>
      </c>
    </row>
    <row r="1146" spans="1:8" ht="24.75" customHeight="1">
      <c r="A1146" s="44" t="s">
        <v>3146</v>
      </c>
      <c r="B1146" s="45" t="s">
        <v>4631</v>
      </c>
      <c r="C1146" s="45" t="s">
        <v>6719</v>
      </c>
      <c r="D1146" s="45" t="s">
        <v>6729</v>
      </c>
      <c r="E1146" s="44" t="s">
        <v>6852</v>
      </c>
      <c r="F1146" s="37">
        <v>1</v>
      </c>
      <c r="G1146" s="37" t="s">
        <v>2568</v>
      </c>
      <c r="H1146" s="63">
        <v>3417.7</v>
      </c>
    </row>
    <row r="1147" spans="1:8" ht="24.75" customHeight="1">
      <c r="A1147" s="44" t="s">
        <v>1715</v>
      </c>
      <c r="B1147" s="45" t="s">
        <v>4674</v>
      </c>
      <c r="C1147" s="45" t="s">
        <v>6719</v>
      </c>
      <c r="D1147" s="45" t="s">
        <v>6729</v>
      </c>
      <c r="E1147" s="44" t="s">
        <v>6852</v>
      </c>
      <c r="F1147" s="37">
        <v>1</v>
      </c>
      <c r="G1147" s="37" t="s">
        <v>2568</v>
      </c>
      <c r="H1147" s="63">
        <v>4776.2</v>
      </c>
    </row>
    <row r="1148" spans="1:8" ht="24.75" customHeight="1">
      <c r="A1148" s="44" t="s">
        <v>1714</v>
      </c>
      <c r="B1148" s="45" t="s">
        <v>4670</v>
      </c>
      <c r="C1148" s="45" t="s">
        <v>6719</v>
      </c>
      <c r="D1148" s="45" t="s">
        <v>6729</v>
      </c>
      <c r="E1148" s="44" t="s">
        <v>6852</v>
      </c>
      <c r="F1148" s="37">
        <v>1</v>
      </c>
      <c r="G1148" s="37" t="s">
        <v>2568</v>
      </c>
      <c r="H1148" s="63">
        <v>5176.6000000000004</v>
      </c>
    </row>
    <row r="1149" spans="1:8" ht="24.75" customHeight="1">
      <c r="A1149" s="44" t="s">
        <v>1706</v>
      </c>
      <c r="B1149" s="45" t="s">
        <v>4636</v>
      </c>
      <c r="C1149" s="45" t="s">
        <v>6719</v>
      </c>
      <c r="D1149" s="45" t="s">
        <v>6729</v>
      </c>
      <c r="E1149" s="44" t="s">
        <v>6852</v>
      </c>
      <c r="F1149" s="37">
        <v>1</v>
      </c>
      <c r="G1149" s="37" t="s">
        <v>2568</v>
      </c>
      <c r="H1149" s="63">
        <v>3746.6</v>
      </c>
    </row>
    <row r="1150" spans="1:8" ht="24.75" customHeight="1">
      <c r="A1150" s="44" t="s">
        <v>1712</v>
      </c>
      <c r="B1150" s="45" t="s">
        <v>4662</v>
      </c>
      <c r="C1150" s="45" t="s">
        <v>6719</v>
      </c>
      <c r="D1150" s="45" t="s">
        <v>6729</v>
      </c>
      <c r="E1150" s="44" t="s">
        <v>6852</v>
      </c>
      <c r="F1150" s="37">
        <v>1</v>
      </c>
      <c r="G1150" s="37" t="s">
        <v>2568</v>
      </c>
      <c r="H1150" s="63">
        <v>7107.1</v>
      </c>
    </row>
    <row r="1151" spans="1:8" ht="24.75" customHeight="1">
      <c r="A1151" s="44" t="s">
        <v>1709</v>
      </c>
      <c r="B1151" s="45" t="s">
        <v>4650</v>
      </c>
      <c r="C1151" s="45" t="s">
        <v>6719</v>
      </c>
      <c r="D1151" s="45" t="s">
        <v>6729</v>
      </c>
      <c r="E1151" s="44" t="s">
        <v>6852</v>
      </c>
      <c r="F1151" s="37">
        <v>1</v>
      </c>
      <c r="G1151" s="37" t="s">
        <v>2568</v>
      </c>
      <c r="H1151" s="63">
        <v>4361.5</v>
      </c>
    </row>
    <row r="1152" spans="1:8" ht="24.75" customHeight="1">
      <c r="A1152" s="44" t="s">
        <v>1717</v>
      </c>
      <c r="B1152" s="45" t="s">
        <v>4682</v>
      </c>
      <c r="C1152" s="45" t="s">
        <v>6719</v>
      </c>
      <c r="D1152" s="45" t="s">
        <v>6729</v>
      </c>
      <c r="E1152" s="44" t="s">
        <v>6852</v>
      </c>
      <c r="F1152" s="37">
        <v>1</v>
      </c>
      <c r="G1152" s="37" t="s">
        <v>2568</v>
      </c>
      <c r="H1152" s="63">
        <v>4547.3999999999996</v>
      </c>
    </row>
    <row r="1153" spans="1:8" ht="24.75" customHeight="1">
      <c r="A1153" s="44" t="s">
        <v>1710</v>
      </c>
      <c r="B1153" s="45" t="s">
        <v>4654</v>
      </c>
      <c r="C1153" s="45" t="s">
        <v>6719</v>
      </c>
      <c r="D1153" s="45" t="s">
        <v>6729</v>
      </c>
      <c r="E1153" s="44" t="s">
        <v>6852</v>
      </c>
      <c r="F1153" s="37">
        <v>1</v>
      </c>
      <c r="G1153" s="37" t="s">
        <v>2568</v>
      </c>
      <c r="H1153" s="63">
        <v>4819.1000000000004</v>
      </c>
    </row>
    <row r="1154" spans="1:8" ht="24.75" customHeight="1">
      <c r="A1154" s="44" t="s">
        <v>1716</v>
      </c>
      <c r="B1154" s="45" t="s">
        <v>4678</v>
      </c>
      <c r="C1154" s="45" t="s">
        <v>6719</v>
      </c>
      <c r="D1154" s="45" t="s">
        <v>6729</v>
      </c>
      <c r="E1154" s="44" t="s">
        <v>6852</v>
      </c>
      <c r="F1154" s="37">
        <v>1</v>
      </c>
      <c r="G1154" s="37" t="s">
        <v>2568</v>
      </c>
      <c r="H1154" s="63">
        <v>4475.8999999999996</v>
      </c>
    </row>
    <row r="1155" spans="1:8" ht="24.75" customHeight="1">
      <c r="A1155" s="44" t="s">
        <v>1708</v>
      </c>
      <c r="B1155" s="45" t="s">
        <v>4646</v>
      </c>
      <c r="C1155" s="45" t="s">
        <v>6719</v>
      </c>
      <c r="D1155" s="45" t="s">
        <v>6729</v>
      </c>
      <c r="E1155" s="44" t="s">
        <v>6852</v>
      </c>
      <c r="F1155" s="37">
        <v>1</v>
      </c>
      <c r="G1155" s="37" t="s">
        <v>2568</v>
      </c>
      <c r="H1155" s="63">
        <v>4418.7</v>
      </c>
    </row>
    <row r="1156" spans="1:8" ht="24.75" customHeight="1">
      <c r="A1156" s="44" t="s">
        <v>1721</v>
      </c>
      <c r="B1156" s="45" t="s">
        <v>4642</v>
      </c>
      <c r="C1156" s="45" t="s">
        <v>6719</v>
      </c>
      <c r="D1156" s="45" t="s">
        <v>6729</v>
      </c>
      <c r="E1156" s="44" t="s">
        <v>6852</v>
      </c>
      <c r="F1156" s="37">
        <v>1</v>
      </c>
      <c r="G1156" s="37" t="s">
        <v>2568</v>
      </c>
      <c r="H1156" s="63">
        <v>3417.7</v>
      </c>
    </row>
    <row r="1157" spans="1:8" ht="24.75" customHeight="1">
      <c r="A1157" s="44" t="s">
        <v>1727</v>
      </c>
      <c r="B1157" s="45" t="s">
        <v>4667</v>
      </c>
      <c r="C1157" s="45" t="s">
        <v>6719</v>
      </c>
      <c r="D1157" s="45" t="s">
        <v>6729</v>
      </c>
      <c r="E1157" s="44" t="s">
        <v>6852</v>
      </c>
      <c r="F1157" s="37">
        <v>1</v>
      </c>
      <c r="G1157" s="37" t="s">
        <v>2568</v>
      </c>
      <c r="H1157" s="63">
        <v>3846.7</v>
      </c>
    </row>
    <row r="1158" spans="1:8" ht="24.75" customHeight="1">
      <c r="A1158" s="44" t="s">
        <v>1732</v>
      </c>
      <c r="B1158" s="45" t="s">
        <v>4687</v>
      </c>
      <c r="C1158" s="45" t="s">
        <v>6719</v>
      </c>
      <c r="D1158" s="45" t="s">
        <v>6729</v>
      </c>
      <c r="E1158" s="44" t="s">
        <v>6852</v>
      </c>
      <c r="F1158" s="37">
        <v>1</v>
      </c>
      <c r="G1158" s="37" t="s">
        <v>2568</v>
      </c>
      <c r="H1158" s="63">
        <v>5791.5</v>
      </c>
    </row>
    <row r="1159" spans="1:8" ht="24.75" customHeight="1">
      <c r="A1159" s="44" t="s">
        <v>1719</v>
      </c>
      <c r="B1159" s="45" t="s">
        <v>4632</v>
      </c>
      <c r="C1159" s="45" t="s">
        <v>6719</v>
      </c>
      <c r="D1159" s="45" t="s">
        <v>6729</v>
      </c>
      <c r="E1159" s="44" t="s">
        <v>6852</v>
      </c>
      <c r="F1159" s="37">
        <v>1</v>
      </c>
      <c r="G1159" s="37" t="s">
        <v>2568</v>
      </c>
      <c r="H1159" s="63">
        <v>3417.7</v>
      </c>
    </row>
    <row r="1160" spans="1:8" ht="24.75" customHeight="1">
      <c r="A1160" s="44" t="s">
        <v>1729</v>
      </c>
      <c r="B1160" s="45" t="s">
        <v>4675</v>
      </c>
      <c r="C1160" s="45" t="s">
        <v>6719</v>
      </c>
      <c r="D1160" s="45" t="s">
        <v>6729</v>
      </c>
      <c r="E1160" s="44" t="s">
        <v>6852</v>
      </c>
      <c r="F1160" s="37">
        <v>1</v>
      </c>
      <c r="G1160" s="37" t="s">
        <v>2568</v>
      </c>
      <c r="H1160" s="63">
        <v>4776.2</v>
      </c>
    </row>
    <row r="1161" spans="1:8" ht="24.75" customHeight="1">
      <c r="A1161" s="44" t="s">
        <v>1728</v>
      </c>
      <c r="B1161" s="45" t="s">
        <v>4671</v>
      </c>
      <c r="C1161" s="45" t="s">
        <v>6719</v>
      </c>
      <c r="D1161" s="45" t="s">
        <v>6729</v>
      </c>
      <c r="E1161" s="44" t="s">
        <v>6852</v>
      </c>
      <c r="F1161" s="37">
        <v>1</v>
      </c>
      <c r="G1161" s="37" t="s">
        <v>2568</v>
      </c>
      <c r="H1161" s="63">
        <v>5176.6000000000004</v>
      </c>
    </row>
    <row r="1162" spans="1:8" ht="24.75" customHeight="1">
      <c r="A1162" s="44" t="s">
        <v>1720</v>
      </c>
      <c r="B1162" s="45" t="s">
        <v>4637</v>
      </c>
      <c r="C1162" s="45" t="s">
        <v>6719</v>
      </c>
      <c r="D1162" s="45" t="s">
        <v>6729</v>
      </c>
      <c r="E1162" s="44" t="s">
        <v>6852</v>
      </c>
      <c r="F1162" s="37">
        <v>1</v>
      </c>
      <c r="G1162" s="37" t="s">
        <v>2568</v>
      </c>
      <c r="H1162" s="63">
        <v>3746.6</v>
      </c>
    </row>
    <row r="1163" spans="1:8" ht="24.75" customHeight="1">
      <c r="A1163" s="44" t="s">
        <v>1726</v>
      </c>
      <c r="B1163" s="45" t="s">
        <v>4663</v>
      </c>
      <c r="C1163" s="45" t="s">
        <v>6719</v>
      </c>
      <c r="D1163" s="45" t="s">
        <v>6729</v>
      </c>
      <c r="E1163" s="44" t="s">
        <v>6852</v>
      </c>
      <c r="F1163" s="37">
        <v>1</v>
      </c>
      <c r="G1163" s="37" t="s">
        <v>2568</v>
      </c>
      <c r="H1163" s="63">
        <v>7107.1</v>
      </c>
    </row>
    <row r="1164" spans="1:8" ht="24.75" customHeight="1">
      <c r="A1164" s="44" t="s">
        <v>1723</v>
      </c>
      <c r="B1164" s="45" t="s">
        <v>4651</v>
      </c>
      <c r="C1164" s="45" t="s">
        <v>6719</v>
      </c>
      <c r="D1164" s="45" t="s">
        <v>6729</v>
      </c>
      <c r="E1164" s="44" t="s">
        <v>6852</v>
      </c>
      <c r="F1164" s="37">
        <v>1</v>
      </c>
      <c r="G1164" s="37" t="s">
        <v>2568</v>
      </c>
      <c r="H1164" s="63">
        <v>4361.5</v>
      </c>
    </row>
    <row r="1165" spans="1:8" ht="24.75" customHeight="1">
      <c r="A1165" s="44" t="s">
        <v>1731</v>
      </c>
      <c r="B1165" s="45" t="s">
        <v>4683</v>
      </c>
      <c r="C1165" s="45" t="s">
        <v>6719</v>
      </c>
      <c r="D1165" s="45" t="s">
        <v>6729</v>
      </c>
      <c r="E1165" s="44" t="s">
        <v>6852</v>
      </c>
      <c r="F1165" s="37">
        <v>1</v>
      </c>
      <c r="G1165" s="37" t="s">
        <v>2568</v>
      </c>
      <c r="H1165" s="63">
        <v>4547.3999999999996</v>
      </c>
    </row>
    <row r="1166" spans="1:8" ht="24.75" customHeight="1">
      <c r="A1166" s="44" t="s">
        <v>1724</v>
      </c>
      <c r="B1166" s="45" t="s">
        <v>4655</v>
      </c>
      <c r="C1166" s="45" t="s">
        <v>6719</v>
      </c>
      <c r="D1166" s="45" t="s">
        <v>6729</v>
      </c>
      <c r="E1166" s="44" t="s">
        <v>6852</v>
      </c>
      <c r="F1166" s="37">
        <v>1</v>
      </c>
      <c r="G1166" s="37" t="s">
        <v>2568</v>
      </c>
      <c r="H1166" s="63">
        <v>4819.1000000000004</v>
      </c>
    </row>
    <row r="1167" spans="1:8" ht="24.75" customHeight="1">
      <c r="A1167" s="44" t="s">
        <v>1730</v>
      </c>
      <c r="B1167" s="45" t="s">
        <v>4679</v>
      </c>
      <c r="C1167" s="45" t="s">
        <v>6719</v>
      </c>
      <c r="D1167" s="45" t="s">
        <v>6729</v>
      </c>
      <c r="E1167" s="44" t="s">
        <v>6852</v>
      </c>
      <c r="F1167" s="37">
        <v>1</v>
      </c>
      <c r="G1167" s="37" t="s">
        <v>2568</v>
      </c>
      <c r="H1167" s="63">
        <v>4475.8999999999996</v>
      </c>
    </row>
    <row r="1168" spans="1:8" ht="24.75" customHeight="1">
      <c r="A1168" s="44" t="s">
        <v>1722</v>
      </c>
      <c r="B1168" s="45" t="s">
        <v>4647</v>
      </c>
      <c r="C1168" s="45" t="s">
        <v>6719</v>
      </c>
      <c r="D1168" s="45" t="s">
        <v>6729</v>
      </c>
      <c r="E1168" s="44" t="s">
        <v>6852</v>
      </c>
      <c r="F1168" s="37">
        <v>1</v>
      </c>
      <c r="G1168" s="37" t="s">
        <v>2568</v>
      </c>
      <c r="H1168" s="63">
        <v>4418.7</v>
      </c>
    </row>
    <row r="1169" spans="1:8" ht="24.75" customHeight="1">
      <c r="A1169" s="44" t="s">
        <v>1725</v>
      </c>
      <c r="B1169" s="45" t="s">
        <v>4658</v>
      </c>
      <c r="C1169" s="45" t="s">
        <v>6719</v>
      </c>
      <c r="D1169" s="45" t="s">
        <v>6729</v>
      </c>
      <c r="E1169" s="44" t="s">
        <v>6852</v>
      </c>
      <c r="F1169" s="37">
        <v>1</v>
      </c>
      <c r="G1169" s="37" t="s">
        <v>2568</v>
      </c>
      <c r="H1169" s="63">
        <v>4304.3</v>
      </c>
    </row>
    <row r="1170" spans="1:8" ht="24.75" customHeight="1">
      <c r="A1170" s="44" t="s">
        <v>1735</v>
      </c>
      <c r="B1170" s="45" t="s">
        <v>4643</v>
      </c>
      <c r="C1170" s="45" t="s">
        <v>6719</v>
      </c>
      <c r="D1170" s="45" t="s">
        <v>6729</v>
      </c>
      <c r="E1170" s="44" t="s">
        <v>6852</v>
      </c>
      <c r="F1170" s="37">
        <v>1</v>
      </c>
      <c r="G1170" s="37" t="s">
        <v>2568</v>
      </c>
      <c r="H1170" s="63">
        <v>3417.7</v>
      </c>
    </row>
    <row r="1171" spans="1:8" ht="24.75" customHeight="1">
      <c r="A1171" s="44" t="s">
        <v>1733</v>
      </c>
      <c r="B1171" s="45" t="s">
        <v>4633</v>
      </c>
      <c r="C1171" s="45" t="s">
        <v>6719</v>
      </c>
      <c r="D1171" s="45" t="s">
        <v>6729</v>
      </c>
      <c r="E1171" s="44" t="s">
        <v>6852</v>
      </c>
      <c r="F1171" s="37">
        <v>1</v>
      </c>
      <c r="G1171" s="37" t="s">
        <v>2568</v>
      </c>
      <c r="H1171" s="63">
        <v>3417.7</v>
      </c>
    </row>
    <row r="1172" spans="1:8" ht="24.75" customHeight="1">
      <c r="A1172" s="44" t="s">
        <v>1734</v>
      </c>
      <c r="B1172" s="45" t="s">
        <v>4638</v>
      </c>
      <c r="C1172" s="45" t="s">
        <v>6719</v>
      </c>
      <c r="D1172" s="45" t="s">
        <v>6729</v>
      </c>
      <c r="E1172" s="44" t="s">
        <v>6852</v>
      </c>
      <c r="F1172" s="37">
        <v>1</v>
      </c>
      <c r="G1172" s="37" t="s">
        <v>2568</v>
      </c>
      <c r="H1172" s="63">
        <v>3746.6</v>
      </c>
    </row>
    <row r="1173" spans="1:8" ht="24.75" customHeight="1">
      <c r="A1173" s="44" t="s">
        <v>1736</v>
      </c>
      <c r="B1173" s="45" t="s">
        <v>4659</v>
      </c>
      <c r="C1173" s="45" t="s">
        <v>6719</v>
      </c>
      <c r="D1173" s="45" t="s">
        <v>6729</v>
      </c>
      <c r="E1173" s="44" t="s">
        <v>6852</v>
      </c>
      <c r="F1173" s="37">
        <v>1</v>
      </c>
      <c r="G1173" s="37" t="s">
        <v>2568</v>
      </c>
      <c r="H1173" s="63">
        <v>4304.3</v>
      </c>
    </row>
    <row r="1174" spans="1:8" ht="24.75" customHeight="1">
      <c r="A1174" s="44" t="s">
        <v>1680</v>
      </c>
      <c r="B1174" s="45" t="s">
        <v>4639</v>
      </c>
      <c r="C1174" s="45" t="s">
        <v>6719</v>
      </c>
      <c r="D1174" s="45" t="s">
        <v>6729</v>
      </c>
      <c r="E1174" s="44" t="s">
        <v>6852</v>
      </c>
      <c r="F1174" s="37">
        <v>1</v>
      </c>
      <c r="G1174" s="37" t="s">
        <v>2568</v>
      </c>
      <c r="H1174" s="63">
        <v>3417.7</v>
      </c>
    </row>
    <row r="1175" spans="1:8" ht="24.75" customHeight="1">
      <c r="A1175" s="44" t="s">
        <v>1686</v>
      </c>
      <c r="B1175" s="45" t="s">
        <v>4664</v>
      </c>
      <c r="C1175" s="45" t="s">
        <v>6719</v>
      </c>
      <c r="D1175" s="45" t="s">
        <v>6729</v>
      </c>
      <c r="E1175" s="44" t="s">
        <v>6852</v>
      </c>
      <c r="F1175" s="37">
        <v>1</v>
      </c>
      <c r="G1175" s="37" t="s">
        <v>2568</v>
      </c>
      <c r="H1175" s="63">
        <v>3846.7</v>
      </c>
    </row>
    <row r="1176" spans="1:8" ht="24.75" customHeight="1">
      <c r="A1176" s="44" t="s">
        <v>1691</v>
      </c>
      <c r="B1176" s="45" t="s">
        <v>4684</v>
      </c>
      <c r="C1176" s="45" t="s">
        <v>6719</v>
      </c>
      <c r="D1176" s="45" t="s">
        <v>6729</v>
      </c>
      <c r="E1176" s="44" t="s">
        <v>6852</v>
      </c>
      <c r="F1176" s="37">
        <v>1</v>
      </c>
      <c r="G1176" s="37" t="s">
        <v>2568</v>
      </c>
      <c r="H1176" s="63">
        <v>5791.5</v>
      </c>
    </row>
    <row r="1177" spans="1:8" ht="24.75" customHeight="1">
      <c r="A1177" s="44" t="s">
        <v>1678</v>
      </c>
      <c r="B1177" s="45" t="s">
        <v>4629</v>
      </c>
      <c r="C1177" s="45" t="s">
        <v>6719</v>
      </c>
      <c r="D1177" s="45" t="s">
        <v>6729</v>
      </c>
      <c r="E1177" s="44" t="s">
        <v>6852</v>
      </c>
      <c r="F1177" s="37">
        <v>1</v>
      </c>
      <c r="G1177" s="37" t="s">
        <v>2568</v>
      </c>
      <c r="H1177" s="63">
        <v>3417.7</v>
      </c>
    </row>
    <row r="1178" spans="1:8" ht="24.75" customHeight="1">
      <c r="A1178" s="44" t="s">
        <v>1688</v>
      </c>
      <c r="B1178" s="45" t="s">
        <v>4672</v>
      </c>
      <c r="C1178" s="45" t="s">
        <v>6719</v>
      </c>
      <c r="D1178" s="45" t="s">
        <v>6729</v>
      </c>
      <c r="E1178" s="44" t="s">
        <v>6852</v>
      </c>
      <c r="F1178" s="37">
        <v>1</v>
      </c>
      <c r="G1178" s="37" t="s">
        <v>2568</v>
      </c>
      <c r="H1178" s="63">
        <v>4776.2</v>
      </c>
    </row>
    <row r="1179" spans="1:8" ht="24.75" customHeight="1">
      <c r="A1179" s="44" t="s">
        <v>1679</v>
      </c>
      <c r="B1179" s="45" t="s">
        <v>4634</v>
      </c>
      <c r="C1179" s="45" t="s">
        <v>6719</v>
      </c>
      <c r="D1179" s="45" t="s">
        <v>6729</v>
      </c>
      <c r="E1179" s="44" t="s">
        <v>6852</v>
      </c>
      <c r="F1179" s="37">
        <v>1</v>
      </c>
      <c r="G1179" s="37" t="s">
        <v>2568</v>
      </c>
      <c r="H1179" s="63">
        <v>3746.6</v>
      </c>
    </row>
    <row r="1180" spans="1:8" ht="24.75" customHeight="1">
      <c r="A1180" s="44" t="s">
        <v>1685</v>
      </c>
      <c r="B1180" s="45" t="s">
        <v>4660</v>
      </c>
      <c r="C1180" s="45" t="s">
        <v>6719</v>
      </c>
      <c r="D1180" s="45" t="s">
        <v>6729</v>
      </c>
      <c r="E1180" s="44" t="s">
        <v>6852</v>
      </c>
      <c r="F1180" s="37">
        <v>1</v>
      </c>
      <c r="G1180" s="37" t="s">
        <v>2568</v>
      </c>
      <c r="H1180" s="63">
        <v>7107.1</v>
      </c>
    </row>
    <row r="1181" spans="1:8" ht="24.75" customHeight="1">
      <c r="A1181" s="44" t="s">
        <v>1682</v>
      </c>
      <c r="B1181" s="45" t="s">
        <v>4648</v>
      </c>
      <c r="C1181" s="45" t="s">
        <v>6719</v>
      </c>
      <c r="D1181" s="45" t="s">
        <v>6729</v>
      </c>
      <c r="E1181" s="44" t="s">
        <v>6852</v>
      </c>
      <c r="F1181" s="37">
        <v>1</v>
      </c>
      <c r="G1181" s="37" t="s">
        <v>2568</v>
      </c>
      <c r="H1181" s="63">
        <v>4361.5</v>
      </c>
    </row>
    <row r="1182" spans="1:8" ht="24.75" customHeight="1">
      <c r="A1182" s="44" t="s">
        <v>1690</v>
      </c>
      <c r="B1182" s="45" t="s">
        <v>4680</v>
      </c>
      <c r="C1182" s="45" t="s">
        <v>6719</v>
      </c>
      <c r="D1182" s="45" t="s">
        <v>6729</v>
      </c>
      <c r="E1182" s="44" t="s">
        <v>6852</v>
      </c>
      <c r="F1182" s="37">
        <v>1</v>
      </c>
      <c r="G1182" s="37" t="s">
        <v>2568</v>
      </c>
      <c r="H1182" s="63">
        <v>4547.3999999999996</v>
      </c>
    </row>
    <row r="1183" spans="1:8" ht="24.75" customHeight="1">
      <c r="A1183" s="44" t="s">
        <v>1683</v>
      </c>
      <c r="B1183" s="45" t="s">
        <v>4652</v>
      </c>
      <c r="C1183" s="45" t="s">
        <v>6719</v>
      </c>
      <c r="D1183" s="45" t="s">
        <v>6729</v>
      </c>
      <c r="E1183" s="44" t="s">
        <v>6852</v>
      </c>
      <c r="F1183" s="37">
        <v>1</v>
      </c>
      <c r="G1183" s="37" t="s">
        <v>2568</v>
      </c>
      <c r="H1183" s="63">
        <v>4819.1000000000004</v>
      </c>
    </row>
    <row r="1184" spans="1:8" ht="24.75" customHeight="1">
      <c r="A1184" s="44" t="s">
        <v>1689</v>
      </c>
      <c r="B1184" s="45" t="s">
        <v>4676</v>
      </c>
      <c r="C1184" s="45" t="s">
        <v>6719</v>
      </c>
      <c r="D1184" s="45" t="s">
        <v>6729</v>
      </c>
      <c r="E1184" s="44" t="s">
        <v>6852</v>
      </c>
      <c r="F1184" s="37">
        <v>1</v>
      </c>
      <c r="G1184" s="37" t="s">
        <v>2568</v>
      </c>
      <c r="H1184" s="63">
        <v>4475.8999999999996</v>
      </c>
    </row>
    <row r="1185" spans="1:8" ht="24.75" customHeight="1">
      <c r="A1185" s="44" t="s">
        <v>1681</v>
      </c>
      <c r="B1185" s="45" t="s">
        <v>4644</v>
      </c>
      <c r="C1185" s="45" t="s">
        <v>6719</v>
      </c>
      <c r="D1185" s="45" t="s">
        <v>6729</v>
      </c>
      <c r="E1185" s="44" t="s">
        <v>6852</v>
      </c>
      <c r="F1185" s="37">
        <v>1</v>
      </c>
      <c r="G1185" s="37" t="s">
        <v>2568</v>
      </c>
      <c r="H1185" s="63">
        <v>4418.7</v>
      </c>
    </row>
    <row r="1186" spans="1:8" ht="24.75" customHeight="1">
      <c r="A1186" s="44" t="s">
        <v>1684</v>
      </c>
      <c r="B1186" s="45" t="s">
        <v>4656</v>
      </c>
      <c r="C1186" s="45" t="s">
        <v>6719</v>
      </c>
      <c r="D1186" s="45" t="s">
        <v>6729</v>
      </c>
      <c r="E1186" s="44" t="s">
        <v>6852</v>
      </c>
      <c r="F1186" s="37">
        <v>1</v>
      </c>
      <c r="G1186" s="37" t="s">
        <v>2568</v>
      </c>
      <c r="H1186" s="63">
        <v>4304.3</v>
      </c>
    </row>
    <row r="1187" spans="1:8" ht="24.75" customHeight="1">
      <c r="A1187" s="44" t="s">
        <v>1687</v>
      </c>
      <c r="B1187" s="45" t="s">
        <v>4668</v>
      </c>
      <c r="C1187" s="45" t="s">
        <v>6719</v>
      </c>
      <c r="D1187" s="45" t="s">
        <v>6729</v>
      </c>
      <c r="E1187" s="44" t="s">
        <v>6852</v>
      </c>
      <c r="F1187" s="37">
        <v>1</v>
      </c>
      <c r="G1187" s="37" t="s">
        <v>2568</v>
      </c>
      <c r="H1187" s="63">
        <v>5176.6000000000004</v>
      </c>
    </row>
    <row r="1188" spans="1:8" ht="24.75" customHeight="1">
      <c r="A1188" s="44" t="s">
        <v>2930</v>
      </c>
      <c r="B1188" s="45" t="s">
        <v>4543</v>
      </c>
      <c r="C1188" s="45" t="s">
        <v>6719</v>
      </c>
      <c r="D1188" s="45" t="s">
        <v>6729</v>
      </c>
      <c r="E1188" s="44" t="s">
        <v>6852</v>
      </c>
      <c r="F1188" s="37">
        <v>1</v>
      </c>
      <c r="G1188" s="37" t="s">
        <v>2568</v>
      </c>
      <c r="H1188" s="63">
        <v>80065.7</v>
      </c>
    </row>
    <row r="1189" spans="1:8" ht="24.75" customHeight="1">
      <c r="A1189" s="44" t="s">
        <v>1739</v>
      </c>
      <c r="B1189" s="45" t="s">
        <v>4531</v>
      </c>
      <c r="C1189" s="45" t="s">
        <v>6719</v>
      </c>
      <c r="D1189" s="45" t="s">
        <v>6729</v>
      </c>
      <c r="E1189" s="44" t="s">
        <v>6852</v>
      </c>
      <c r="F1189" s="37">
        <v>1</v>
      </c>
      <c r="G1189" s="37" t="s">
        <v>2568</v>
      </c>
      <c r="H1189" s="63">
        <v>41026.699999999997</v>
      </c>
    </row>
    <row r="1190" spans="1:8" ht="24.75" customHeight="1">
      <c r="A1190" s="44" t="s">
        <v>1745</v>
      </c>
      <c r="B1190" s="45" t="s">
        <v>4537</v>
      </c>
      <c r="C1190" s="45" t="s">
        <v>6719</v>
      </c>
      <c r="D1190" s="45" t="s">
        <v>6729</v>
      </c>
      <c r="E1190" s="44" t="s">
        <v>6852</v>
      </c>
      <c r="F1190" s="37">
        <v>1</v>
      </c>
      <c r="G1190" s="37" t="s">
        <v>2568</v>
      </c>
      <c r="H1190" s="63">
        <v>46003.1</v>
      </c>
    </row>
    <row r="1191" spans="1:8" ht="24.75" customHeight="1">
      <c r="A1191" s="44" t="s">
        <v>2931</v>
      </c>
      <c r="B1191" s="45" t="s">
        <v>4547</v>
      </c>
      <c r="C1191" s="45" t="s">
        <v>6719</v>
      </c>
      <c r="D1191" s="45" t="s">
        <v>6729</v>
      </c>
      <c r="E1191" s="44" t="s">
        <v>6852</v>
      </c>
      <c r="F1191" s="37">
        <v>1</v>
      </c>
      <c r="G1191" s="37" t="s">
        <v>2568</v>
      </c>
      <c r="H1191" s="63">
        <v>48648.6</v>
      </c>
    </row>
    <row r="1192" spans="1:8" ht="24.75" customHeight="1">
      <c r="A1192" s="44" t="s">
        <v>3041</v>
      </c>
      <c r="B1192" s="45" t="s">
        <v>4548</v>
      </c>
      <c r="C1192" s="45" t="s">
        <v>6719</v>
      </c>
      <c r="D1192" s="45" t="s">
        <v>6729</v>
      </c>
      <c r="E1192" s="44"/>
      <c r="F1192" s="37">
        <v>1</v>
      </c>
      <c r="G1192" s="37" t="s">
        <v>2568</v>
      </c>
      <c r="H1192" s="63">
        <v>53625</v>
      </c>
    </row>
    <row r="1193" spans="1:8" ht="24.75" customHeight="1">
      <c r="A1193" s="44" t="s">
        <v>1746</v>
      </c>
      <c r="B1193" s="45" t="s">
        <v>4538</v>
      </c>
      <c r="C1193" s="45" t="s">
        <v>6719</v>
      </c>
      <c r="D1193" s="45" t="s">
        <v>6729</v>
      </c>
      <c r="E1193" s="44" t="s">
        <v>6852</v>
      </c>
      <c r="F1193" s="37">
        <v>1</v>
      </c>
      <c r="G1193" s="37" t="s">
        <v>2568</v>
      </c>
      <c r="H1193" s="63">
        <v>46360.6</v>
      </c>
    </row>
    <row r="1194" spans="1:8" ht="24.75" customHeight="1">
      <c r="A1194" s="44" t="s">
        <v>2124</v>
      </c>
      <c r="B1194" s="45" t="s">
        <v>4544</v>
      </c>
      <c r="C1194" s="45" t="s">
        <v>6719</v>
      </c>
      <c r="D1194" s="45" t="s">
        <v>6729</v>
      </c>
      <c r="E1194" s="44" t="s">
        <v>6852</v>
      </c>
      <c r="F1194" s="37">
        <v>1</v>
      </c>
      <c r="G1194" s="37" t="s">
        <v>2568</v>
      </c>
      <c r="H1194" s="63">
        <v>64064</v>
      </c>
    </row>
    <row r="1195" spans="1:8" ht="24.75" customHeight="1">
      <c r="A1195" s="44" t="s">
        <v>1750</v>
      </c>
      <c r="B1195" s="45" t="s">
        <v>4542</v>
      </c>
      <c r="C1195" s="45" t="s">
        <v>6719</v>
      </c>
      <c r="D1195" s="45" t="s">
        <v>6729</v>
      </c>
      <c r="E1195" s="44" t="s">
        <v>6852</v>
      </c>
      <c r="F1195" s="37">
        <v>1</v>
      </c>
      <c r="G1195" s="37" t="s">
        <v>2568</v>
      </c>
      <c r="H1195" s="63">
        <v>53625</v>
      </c>
    </row>
    <row r="1196" spans="1:8" ht="24.75" customHeight="1">
      <c r="A1196" s="44" t="s">
        <v>2288</v>
      </c>
      <c r="B1196" s="45" t="s">
        <v>4545</v>
      </c>
      <c r="C1196" s="45" t="s">
        <v>6719</v>
      </c>
      <c r="D1196" s="45" t="s">
        <v>6729</v>
      </c>
      <c r="E1196" s="44" t="s">
        <v>6852</v>
      </c>
      <c r="F1196" s="37">
        <v>1</v>
      </c>
      <c r="G1196" s="37" t="s">
        <v>2568</v>
      </c>
      <c r="H1196" s="63">
        <v>116459.2</v>
      </c>
    </row>
    <row r="1197" spans="1:8" ht="24.75" customHeight="1">
      <c r="A1197" s="44" t="s">
        <v>1737</v>
      </c>
      <c r="B1197" s="45" t="s">
        <v>4529</v>
      </c>
      <c r="C1197" s="45" t="s">
        <v>6719</v>
      </c>
      <c r="D1197" s="45" t="s">
        <v>6729</v>
      </c>
      <c r="E1197" s="44" t="s">
        <v>6852</v>
      </c>
      <c r="F1197" s="37">
        <v>1</v>
      </c>
      <c r="G1197" s="37" t="s">
        <v>2568</v>
      </c>
      <c r="H1197" s="63">
        <v>37566.1</v>
      </c>
    </row>
    <row r="1198" spans="1:8" ht="24.75" customHeight="1">
      <c r="A1198" s="44" t="s">
        <v>3040</v>
      </c>
      <c r="B1198" s="45" t="s">
        <v>4546</v>
      </c>
      <c r="C1198" s="45" t="s">
        <v>6719</v>
      </c>
      <c r="D1198" s="45" t="s">
        <v>6729</v>
      </c>
      <c r="E1198" s="44" t="s">
        <v>6852</v>
      </c>
      <c r="F1198" s="37">
        <v>1</v>
      </c>
      <c r="G1198" s="37" t="s">
        <v>2568</v>
      </c>
      <c r="H1198" s="63">
        <v>41884.699999999997</v>
      </c>
    </row>
    <row r="1199" spans="1:8" ht="24.75" customHeight="1">
      <c r="A1199" s="44" t="s">
        <v>1747</v>
      </c>
      <c r="B1199" s="45" t="s">
        <v>4539</v>
      </c>
      <c r="C1199" s="45" t="s">
        <v>6719</v>
      </c>
      <c r="D1199" s="45" t="s">
        <v>6729</v>
      </c>
      <c r="E1199" s="44" t="s">
        <v>6852</v>
      </c>
      <c r="F1199" s="37">
        <v>1</v>
      </c>
      <c r="G1199" s="37" t="s">
        <v>2568</v>
      </c>
      <c r="H1199" s="63">
        <v>44272.800000000003</v>
      </c>
    </row>
    <row r="1200" spans="1:8" ht="24.75" customHeight="1">
      <c r="A1200" s="44" t="s">
        <v>1738</v>
      </c>
      <c r="B1200" s="45" t="s">
        <v>4530</v>
      </c>
      <c r="C1200" s="45" t="s">
        <v>6719</v>
      </c>
      <c r="D1200" s="45" t="s">
        <v>6729</v>
      </c>
      <c r="E1200" s="44" t="s">
        <v>6852</v>
      </c>
      <c r="F1200" s="37">
        <v>1</v>
      </c>
      <c r="G1200" s="37" t="s">
        <v>2568</v>
      </c>
      <c r="H1200" s="63">
        <v>35120.800000000003</v>
      </c>
    </row>
    <row r="1201" spans="1:8" ht="24.75" customHeight="1">
      <c r="A1201" s="44" t="s">
        <v>1744</v>
      </c>
      <c r="B1201" s="45" t="s">
        <v>4536</v>
      </c>
      <c r="C1201" s="45" t="s">
        <v>6719</v>
      </c>
      <c r="D1201" s="45" t="s">
        <v>6729</v>
      </c>
      <c r="E1201" s="44" t="s">
        <v>6852</v>
      </c>
      <c r="F1201" s="37">
        <v>1</v>
      </c>
      <c r="G1201" s="37" t="s">
        <v>2568</v>
      </c>
      <c r="H1201" s="63">
        <v>63263.199999999997</v>
      </c>
    </row>
    <row r="1202" spans="1:8" ht="24.75" customHeight="1">
      <c r="A1202" s="44" t="s">
        <v>1741</v>
      </c>
      <c r="B1202" s="45" t="s">
        <v>4533</v>
      </c>
      <c r="C1202" s="45" t="s">
        <v>6719</v>
      </c>
      <c r="D1202" s="45" t="s">
        <v>6729</v>
      </c>
      <c r="E1202" s="44" t="s">
        <v>6852</v>
      </c>
      <c r="F1202" s="37">
        <v>1</v>
      </c>
      <c r="G1202" s="37" t="s">
        <v>2568</v>
      </c>
      <c r="H1202" s="63">
        <v>76805.3</v>
      </c>
    </row>
    <row r="1203" spans="1:8" ht="24.75" customHeight="1">
      <c r="A1203" s="44" t="s">
        <v>1742</v>
      </c>
      <c r="B1203" s="45" t="s">
        <v>4534</v>
      </c>
      <c r="C1203" s="45" t="s">
        <v>6719</v>
      </c>
      <c r="D1203" s="45" t="s">
        <v>6729</v>
      </c>
      <c r="E1203" s="44" t="s">
        <v>6852</v>
      </c>
      <c r="F1203" s="37">
        <v>1</v>
      </c>
      <c r="G1203" s="37" t="s">
        <v>2568</v>
      </c>
      <c r="H1203" s="63">
        <v>49792.6</v>
      </c>
    </row>
    <row r="1204" spans="1:8" ht="24.75" customHeight="1">
      <c r="A1204" s="44" t="s">
        <v>1749</v>
      </c>
      <c r="B1204" s="45" t="s">
        <v>4541</v>
      </c>
      <c r="C1204" s="45" t="s">
        <v>6719</v>
      </c>
      <c r="D1204" s="45" t="s">
        <v>6729</v>
      </c>
      <c r="E1204" s="44" t="s">
        <v>6852</v>
      </c>
      <c r="F1204" s="37">
        <v>1</v>
      </c>
      <c r="G1204" s="37" t="s">
        <v>2568</v>
      </c>
      <c r="H1204" s="63">
        <v>38610</v>
      </c>
    </row>
    <row r="1205" spans="1:8" ht="24.75" customHeight="1">
      <c r="A1205" s="44" t="s">
        <v>1748</v>
      </c>
      <c r="B1205" s="45" t="s">
        <v>4540</v>
      </c>
      <c r="C1205" s="45" t="s">
        <v>6719</v>
      </c>
      <c r="D1205" s="45" t="s">
        <v>6729</v>
      </c>
      <c r="E1205" s="44" t="s">
        <v>6852</v>
      </c>
      <c r="F1205" s="37">
        <v>1</v>
      </c>
      <c r="G1205" s="37" t="s">
        <v>2568</v>
      </c>
      <c r="H1205" s="63">
        <v>64321.4</v>
      </c>
    </row>
    <row r="1206" spans="1:8" ht="24.75" customHeight="1">
      <c r="A1206" s="44" t="s">
        <v>1740</v>
      </c>
      <c r="B1206" s="45" t="s">
        <v>4532</v>
      </c>
      <c r="C1206" s="45" t="s">
        <v>6719</v>
      </c>
      <c r="D1206" s="45" t="s">
        <v>6729</v>
      </c>
      <c r="E1206" s="44" t="s">
        <v>6852</v>
      </c>
      <c r="F1206" s="37">
        <v>1</v>
      </c>
      <c r="G1206" s="37" t="s">
        <v>2568</v>
      </c>
      <c r="H1206" s="63">
        <v>48577.1</v>
      </c>
    </row>
    <row r="1207" spans="1:8" ht="24.75" customHeight="1">
      <c r="A1207" s="44" t="s">
        <v>1743</v>
      </c>
      <c r="B1207" s="45" t="s">
        <v>4535</v>
      </c>
      <c r="C1207" s="45" t="s">
        <v>6719</v>
      </c>
      <c r="D1207" s="45" t="s">
        <v>6729</v>
      </c>
      <c r="E1207" s="44" t="s">
        <v>6852</v>
      </c>
      <c r="F1207" s="37">
        <v>1</v>
      </c>
      <c r="G1207" s="37" t="s">
        <v>2568</v>
      </c>
      <c r="H1207" s="63">
        <v>46274.8</v>
      </c>
    </row>
    <row r="1208" spans="1:8" ht="24.75" customHeight="1">
      <c r="A1208" s="44" t="s">
        <v>1931</v>
      </c>
      <c r="B1208" s="45" t="s">
        <v>4605</v>
      </c>
      <c r="C1208" s="45" t="s">
        <v>6719</v>
      </c>
      <c r="D1208" s="45" t="s">
        <v>6729</v>
      </c>
      <c r="E1208" s="44" t="s">
        <v>6852</v>
      </c>
      <c r="F1208" s="37">
        <v>1</v>
      </c>
      <c r="G1208" s="37" t="s">
        <v>6864</v>
      </c>
      <c r="H1208" s="63">
        <v>9824.1</v>
      </c>
    </row>
    <row r="1209" spans="1:8" ht="24.75" customHeight="1">
      <c r="A1209" s="44" t="s">
        <v>2511</v>
      </c>
      <c r="B1209" s="45" t="s">
        <v>4614</v>
      </c>
      <c r="C1209" s="45" t="s">
        <v>6719</v>
      </c>
      <c r="D1209" s="45" t="s">
        <v>6729</v>
      </c>
      <c r="E1209" s="44" t="s">
        <v>6852</v>
      </c>
      <c r="F1209" s="37">
        <v>1</v>
      </c>
      <c r="G1209" s="37" t="s">
        <v>6864</v>
      </c>
      <c r="H1209" s="63">
        <v>14443</v>
      </c>
    </row>
    <row r="1210" spans="1:8" ht="24.75" customHeight="1">
      <c r="A1210" s="44" t="s">
        <v>1929</v>
      </c>
      <c r="B1210" s="45" t="s">
        <v>4603</v>
      </c>
      <c r="C1210" s="45" t="s">
        <v>6719</v>
      </c>
      <c r="D1210" s="45" t="s">
        <v>6729</v>
      </c>
      <c r="E1210" s="44" t="s">
        <v>6852</v>
      </c>
      <c r="F1210" s="37">
        <v>1</v>
      </c>
      <c r="G1210" s="37" t="s">
        <v>6864</v>
      </c>
      <c r="H1210" s="63">
        <v>9652.5</v>
      </c>
    </row>
    <row r="1211" spans="1:8" ht="24.75" customHeight="1">
      <c r="A1211" s="44" t="s">
        <v>1939</v>
      </c>
      <c r="B1211" s="45" t="s">
        <v>4611</v>
      </c>
      <c r="C1211" s="45" t="s">
        <v>6719</v>
      </c>
      <c r="D1211" s="45" t="s">
        <v>6729</v>
      </c>
      <c r="E1211" s="44" t="s">
        <v>6852</v>
      </c>
      <c r="F1211" s="37">
        <v>1</v>
      </c>
      <c r="G1211" s="37" t="s">
        <v>6864</v>
      </c>
      <c r="H1211" s="63">
        <v>12584</v>
      </c>
    </row>
    <row r="1212" spans="1:8" ht="24.75" customHeight="1">
      <c r="A1212" s="44" t="s">
        <v>1930</v>
      </c>
      <c r="B1212" s="45" t="s">
        <v>4604</v>
      </c>
      <c r="C1212" s="45" t="s">
        <v>6719</v>
      </c>
      <c r="D1212" s="45" t="s">
        <v>6729</v>
      </c>
      <c r="E1212" s="44" t="s">
        <v>6852</v>
      </c>
      <c r="F1212" s="37">
        <v>1</v>
      </c>
      <c r="G1212" s="37" t="s">
        <v>6864</v>
      </c>
      <c r="H1212" s="63">
        <v>10095.799999999999</v>
      </c>
    </row>
    <row r="1213" spans="1:8" ht="24.75" customHeight="1">
      <c r="A1213" s="44" t="s">
        <v>1936</v>
      </c>
      <c r="B1213" s="45" t="s">
        <v>4610</v>
      </c>
      <c r="C1213" s="45" t="s">
        <v>6719</v>
      </c>
      <c r="D1213" s="45" t="s">
        <v>6729</v>
      </c>
      <c r="E1213" s="44" t="s">
        <v>6852</v>
      </c>
      <c r="F1213" s="37">
        <v>1</v>
      </c>
      <c r="G1213" s="37" t="s">
        <v>6864</v>
      </c>
      <c r="H1213" s="63">
        <v>17031.3</v>
      </c>
    </row>
    <row r="1214" spans="1:8" ht="24.75" customHeight="1">
      <c r="A1214" s="44" t="s">
        <v>1933</v>
      </c>
      <c r="B1214" s="45" t="s">
        <v>4607</v>
      </c>
      <c r="C1214" s="45" t="s">
        <v>6719</v>
      </c>
      <c r="D1214" s="45" t="s">
        <v>6729</v>
      </c>
      <c r="E1214" s="44" t="s">
        <v>6852</v>
      </c>
      <c r="F1214" s="37">
        <v>1</v>
      </c>
      <c r="G1214" s="37" t="s">
        <v>6864</v>
      </c>
      <c r="H1214" s="63">
        <v>14714.7</v>
      </c>
    </row>
    <row r="1215" spans="1:8" ht="24.75" customHeight="1">
      <c r="A1215" s="44" t="s">
        <v>1934</v>
      </c>
      <c r="B1215" s="45" t="s">
        <v>4608</v>
      </c>
      <c r="C1215" s="45" t="s">
        <v>6719</v>
      </c>
      <c r="D1215" s="45" t="s">
        <v>6729</v>
      </c>
      <c r="E1215" s="44" t="s">
        <v>6852</v>
      </c>
      <c r="F1215" s="37">
        <v>1</v>
      </c>
      <c r="G1215" s="37" t="s">
        <v>6864</v>
      </c>
      <c r="H1215" s="63">
        <v>12383.8</v>
      </c>
    </row>
    <row r="1216" spans="1:8" ht="24.75" customHeight="1">
      <c r="A1216" s="44" t="s">
        <v>1941</v>
      </c>
      <c r="B1216" s="45" t="s">
        <v>4613</v>
      </c>
      <c r="C1216" s="45" t="s">
        <v>6719</v>
      </c>
      <c r="D1216" s="45" t="s">
        <v>6729</v>
      </c>
      <c r="E1216" s="44" t="s">
        <v>6852</v>
      </c>
      <c r="F1216" s="37">
        <v>1</v>
      </c>
      <c r="G1216" s="37" t="s">
        <v>6864</v>
      </c>
      <c r="H1216" s="63">
        <v>11754.6</v>
      </c>
    </row>
    <row r="1217" spans="1:8" ht="24.75" customHeight="1">
      <c r="A1217" s="44" t="s">
        <v>1940</v>
      </c>
      <c r="B1217" s="45" t="s">
        <v>4612</v>
      </c>
      <c r="C1217" s="45" t="s">
        <v>6719</v>
      </c>
      <c r="D1217" s="45" t="s">
        <v>6729</v>
      </c>
      <c r="E1217" s="44" t="s">
        <v>6852</v>
      </c>
      <c r="F1217" s="37">
        <v>1</v>
      </c>
      <c r="G1217" s="37" t="s">
        <v>6864</v>
      </c>
      <c r="H1217" s="63">
        <v>12569.7</v>
      </c>
    </row>
    <row r="1218" spans="1:8" ht="24.75" customHeight="1">
      <c r="A1218" s="44" t="s">
        <v>1932</v>
      </c>
      <c r="B1218" s="45" t="s">
        <v>4606</v>
      </c>
      <c r="C1218" s="45" t="s">
        <v>6719</v>
      </c>
      <c r="D1218" s="45" t="s">
        <v>6729</v>
      </c>
      <c r="E1218" s="44" t="s">
        <v>6852</v>
      </c>
      <c r="F1218" s="37">
        <v>1</v>
      </c>
      <c r="G1218" s="37" t="s">
        <v>6864</v>
      </c>
      <c r="H1218" s="63">
        <v>11554.4</v>
      </c>
    </row>
    <row r="1219" spans="1:8" ht="24.75" customHeight="1">
      <c r="A1219" s="44" t="s">
        <v>1935</v>
      </c>
      <c r="B1219" s="45" t="s">
        <v>4609</v>
      </c>
      <c r="C1219" s="45" t="s">
        <v>6719</v>
      </c>
      <c r="D1219" s="45" t="s">
        <v>6729</v>
      </c>
      <c r="E1219" s="44" t="s">
        <v>6852</v>
      </c>
      <c r="F1219" s="37">
        <v>1</v>
      </c>
      <c r="G1219" s="37" t="s">
        <v>6864</v>
      </c>
      <c r="H1219" s="63">
        <v>12912.9</v>
      </c>
    </row>
    <row r="1220" spans="1:8" ht="24.75" customHeight="1">
      <c r="A1220" s="44" t="s">
        <v>1767</v>
      </c>
      <c r="B1220" s="45" t="s">
        <v>4558</v>
      </c>
      <c r="C1220" s="45" t="s">
        <v>6719</v>
      </c>
      <c r="D1220" s="45" t="s">
        <v>6729</v>
      </c>
      <c r="E1220" s="44" t="s">
        <v>6852</v>
      </c>
      <c r="F1220" s="37">
        <v>1</v>
      </c>
      <c r="G1220" s="37" t="s">
        <v>6864</v>
      </c>
      <c r="H1220" s="63">
        <v>9824.1</v>
      </c>
    </row>
    <row r="1221" spans="1:8" ht="24.75" customHeight="1">
      <c r="A1221" s="44" t="s">
        <v>1778</v>
      </c>
      <c r="B1221" s="45" t="s">
        <v>4600</v>
      </c>
      <c r="C1221" s="45" t="s">
        <v>6719</v>
      </c>
      <c r="D1221" s="45" t="s">
        <v>6729</v>
      </c>
      <c r="E1221" s="44" t="s">
        <v>6852</v>
      </c>
      <c r="F1221" s="37">
        <v>1</v>
      </c>
      <c r="G1221" s="37" t="s">
        <v>6864</v>
      </c>
      <c r="H1221" s="63">
        <v>14443</v>
      </c>
    </row>
    <row r="1222" spans="1:8" ht="24.75" customHeight="1">
      <c r="A1222" s="44" t="s">
        <v>1775</v>
      </c>
      <c r="B1222" s="45" t="s">
        <v>4588</v>
      </c>
      <c r="C1222" s="45" t="s">
        <v>6719</v>
      </c>
      <c r="D1222" s="45" t="s">
        <v>6729</v>
      </c>
      <c r="E1222" s="44" t="s">
        <v>6852</v>
      </c>
      <c r="F1222" s="37">
        <v>1</v>
      </c>
      <c r="G1222" s="37" t="s">
        <v>6864</v>
      </c>
      <c r="H1222" s="63">
        <v>12584</v>
      </c>
    </row>
    <row r="1223" spans="1:8" ht="24.75" customHeight="1">
      <c r="A1223" s="44" t="s">
        <v>1766</v>
      </c>
      <c r="B1223" s="45" t="s">
        <v>4554</v>
      </c>
      <c r="C1223" s="45" t="s">
        <v>6719</v>
      </c>
      <c r="D1223" s="45" t="s">
        <v>6729</v>
      </c>
      <c r="E1223" s="44" t="s">
        <v>6852</v>
      </c>
      <c r="F1223" s="37">
        <v>1</v>
      </c>
      <c r="G1223" s="37" t="s">
        <v>6864</v>
      </c>
      <c r="H1223" s="63">
        <v>10095.799999999999</v>
      </c>
    </row>
    <row r="1224" spans="1:8" ht="24.75" customHeight="1">
      <c r="A1224" s="44" t="s">
        <v>1772</v>
      </c>
      <c r="B1224" s="45" t="s">
        <v>4578</v>
      </c>
      <c r="C1224" s="45" t="s">
        <v>6719</v>
      </c>
      <c r="D1224" s="45" t="s">
        <v>6729</v>
      </c>
      <c r="E1224" s="44" t="s">
        <v>6852</v>
      </c>
      <c r="F1224" s="37">
        <v>1</v>
      </c>
      <c r="G1224" s="37" t="s">
        <v>6864</v>
      </c>
      <c r="H1224" s="63">
        <v>17031.3</v>
      </c>
    </row>
    <row r="1225" spans="1:8" ht="24.75" customHeight="1">
      <c r="A1225" s="44" t="s">
        <v>1769</v>
      </c>
      <c r="B1225" s="45" t="s">
        <v>4567</v>
      </c>
      <c r="C1225" s="45" t="s">
        <v>6719</v>
      </c>
      <c r="D1225" s="45" t="s">
        <v>6729</v>
      </c>
      <c r="E1225" s="44" t="s">
        <v>6852</v>
      </c>
      <c r="F1225" s="37">
        <v>1</v>
      </c>
      <c r="G1225" s="37" t="s">
        <v>6864</v>
      </c>
      <c r="H1225" s="63">
        <v>14714.7</v>
      </c>
    </row>
    <row r="1226" spans="1:8" ht="24.75" customHeight="1">
      <c r="A1226" s="44" t="s">
        <v>1770</v>
      </c>
      <c r="B1226" s="45" t="s">
        <v>4571</v>
      </c>
      <c r="C1226" s="45" t="s">
        <v>6719</v>
      </c>
      <c r="D1226" s="45" t="s">
        <v>6729</v>
      </c>
      <c r="E1226" s="44" t="s">
        <v>6852</v>
      </c>
      <c r="F1226" s="37">
        <v>1</v>
      </c>
      <c r="G1226" s="37" t="s">
        <v>6864</v>
      </c>
      <c r="H1226" s="63">
        <v>12383.8</v>
      </c>
    </row>
    <row r="1227" spans="1:8" ht="24.75" customHeight="1">
      <c r="A1227" s="44" t="s">
        <v>1784</v>
      </c>
      <c r="B1227" s="45" t="s">
        <v>4571</v>
      </c>
      <c r="C1227" s="45" t="s">
        <v>6719</v>
      </c>
      <c r="D1227" s="45" t="s">
        <v>6729</v>
      </c>
      <c r="E1227" s="44" t="s">
        <v>6852</v>
      </c>
      <c r="F1227" s="37">
        <v>1</v>
      </c>
      <c r="G1227" s="37" t="s">
        <v>6864</v>
      </c>
      <c r="H1227" s="63">
        <v>12383.8</v>
      </c>
    </row>
    <row r="1228" spans="1:8" ht="24.75" customHeight="1">
      <c r="A1228" s="44" t="s">
        <v>1777</v>
      </c>
      <c r="B1228" s="45" t="s">
        <v>4596</v>
      </c>
      <c r="C1228" s="45" t="s">
        <v>6719</v>
      </c>
      <c r="D1228" s="45" t="s">
        <v>6729</v>
      </c>
      <c r="E1228" s="44" t="s">
        <v>6852</v>
      </c>
      <c r="F1228" s="37">
        <v>1</v>
      </c>
      <c r="G1228" s="37" t="s">
        <v>6864</v>
      </c>
      <c r="H1228" s="63">
        <v>11754.6</v>
      </c>
    </row>
    <row r="1229" spans="1:8" ht="24.75" customHeight="1">
      <c r="A1229" s="44" t="s">
        <v>1776</v>
      </c>
      <c r="B1229" s="45" t="s">
        <v>4592</v>
      </c>
      <c r="C1229" s="45" t="s">
        <v>6719</v>
      </c>
      <c r="D1229" s="45" t="s">
        <v>6729</v>
      </c>
      <c r="E1229" s="44" t="s">
        <v>6852</v>
      </c>
      <c r="F1229" s="37">
        <v>1</v>
      </c>
      <c r="G1229" s="37" t="s">
        <v>6864</v>
      </c>
      <c r="H1229" s="63">
        <v>12569.7</v>
      </c>
    </row>
    <row r="1230" spans="1:8" ht="24.75" customHeight="1">
      <c r="A1230" s="44" t="s">
        <v>1768</v>
      </c>
      <c r="B1230" s="45" t="s">
        <v>4563</v>
      </c>
      <c r="C1230" s="45" t="s">
        <v>6719</v>
      </c>
      <c r="D1230" s="45" t="s">
        <v>6729</v>
      </c>
      <c r="E1230" s="44" t="s">
        <v>6852</v>
      </c>
      <c r="F1230" s="37">
        <v>1</v>
      </c>
      <c r="G1230" s="37" t="s">
        <v>6864</v>
      </c>
      <c r="H1230" s="63">
        <v>11554.4</v>
      </c>
    </row>
    <row r="1231" spans="1:8" ht="24.75" customHeight="1">
      <c r="A1231" s="44" t="s">
        <v>1771</v>
      </c>
      <c r="B1231" s="45" t="s">
        <v>4573</v>
      </c>
      <c r="C1231" s="45" t="s">
        <v>6719</v>
      </c>
      <c r="D1231" s="45" t="s">
        <v>6729</v>
      </c>
      <c r="E1231" s="44" t="s">
        <v>6852</v>
      </c>
      <c r="F1231" s="37">
        <v>1</v>
      </c>
      <c r="G1231" s="37" t="s">
        <v>6864</v>
      </c>
      <c r="H1231" s="63">
        <v>12912.9</v>
      </c>
    </row>
    <row r="1232" spans="1:8" ht="24.75" customHeight="1">
      <c r="A1232" s="44" t="s">
        <v>1985</v>
      </c>
      <c r="B1232" s="45" t="s">
        <v>4617</v>
      </c>
      <c r="C1232" s="45" t="s">
        <v>6719</v>
      </c>
      <c r="D1232" s="45" t="s">
        <v>6729</v>
      </c>
      <c r="E1232" s="44" t="s">
        <v>6852</v>
      </c>
      <c r="F1232" s="37">
        <v>1</v>
      </c>
      <c r="G1232" s="37" t="s">
        <v>6864</v>
      </c>
      <c r="H1232" s="63">
        <v>9824.1</v>
      </c>
    </row>
    <row r="1233" spans="1:8" ht="24.75" customHeight="1">
      <c r="A1233" s="44" t="s">
        <v>1991</v>
      </c>
      <c r="B1233" s="45" t="s">
        <v>4623</v>
      </c>
      <c r="C1233" s="45" t="s">
        <v>6719</v>
      </c>
      <c r="D1233" s="45" t="s">
        <v>6729</v>
      </c>
      <c r="E1233" s="44" t="s">
        <v>6852</v>
      </c>
      <c r="F1233" s="37">
        <v>1</v>
      </c>
      <c r="G1233" s="37" t="s">
        <v>6864</v>
      </c>
      <c r="H1233" s="63">
        <v>10767.9</v>
      </c>
    </row>
    <row r="1234" spans="1:8" ht="24.75" customHeight="1">
      <c r="A1234" s="44" t="s">
        <v>1995</v>
      </c>
      <c r="B1234" s="45" t="s">
        <v>4628</v>
      </c>
      <c r="C1234" s="45" t="s">
        <v>6719</v>
      </c>
      <c r="D1234" s="45" t="s">
        <v>6729</v>
      </c>
      <c r="E1234" s="44" t="s">
        <v>6852</v>
      </c>
      <c r="F1234" s="37">
        <v>1</v>
      </c>
      <c r="G1234" s="37" t="s">
        <v>6864</v>
      </c>
      <c r="H1234" s="63">
        <v>14443</v>
      </c>
    </row>
    <row r="1235" spans="1:8" ht="24.75" customHeight="1">
      <c r="A1235" s="44" t="s">
        <v>1992</v>
      </c>
      <c r="B1235" s="45" t="s">
        <v>4624</v>
      </c>
      <c r="C1235" s="45" t="s">
        <v>6719</v>
      </c>
      <c r="D1235" s="45" t="s">
        <v>6729</v>
      </c>
      <c r="E1235" s="44" t="s">
        <v>6852</v>
      </c>
      <c r="F1235" s="37">
        <v>1</v>
      </c>
      <c r="G1235" s="37" t="s">
        <v>6864</v>
      </c>
      <c r="H1235" s="63">
        <v>12784.2</v>
      </c>
    </row>
    <row r="1236" spans="1:8" ht="24.75" customHeight="1">
      <c r="A1236" s="44" t="s">
        <v>1983</v>
      </c>
      <c r="B1236" s="45" t="s">
        <v>4615</v>
      </c>
      <c r="C1236" s="45" t="s">
        <v>6719</v>
      </c>
      <c r="D1236" s="45" t="s">
        <v>6729</v>
      </c>
      <c r="E1236" s="44" t="s">
        <v>6852</v>
      </c>
      <c r="F1236" s="37">
        <v>1</v>
      </c>
      <c r="G1236" s="37" t="s">
        <v>6864</v>
      </c>
      <c r="H1236" s="63">
        <v>9652.5</v>
      </c>
    </row>
    <row r="1237" spans="1:8" ht="24.75" customHeight="1">
      <c r="A1237" s="44" t="s">
        <v>1993</v>
      </c>
      <c r="B1237" s="45" t="s">
        <v>4625</v>
      </c>
      <c r="C1237" s="45" t="s">
        <v>6719</v>
      </c>
      <c r="D1237" s="45" t="s">
        <v>6729</v>
      </c>
      <c r="E1237" s="44" t="s">
        <v>6852</v>
      </c>
      <c r="F1237" s="37">
        <v>1</v>
      </c>
      <c r="G1237" s="37" t="s">
        <v>6864</v>
      </c>
      <c r="H1237" s="63">
        <v>12584</v>
      </c>
    </row>
    <row r="1238" spans="1:8" ht="24.75" customHeight="1">
      <c r="A1238" s="44" t="s">
        <v>1984</v>
      </c>
      <c r="B1238" s="45" t="s">
        <v>4616</v>
      </c>
      <c r="C1238" s="45" t="s">
        <v>6719</v>
      </c>
      <c r="D1238" s="45" t="s">
        <v>6729</v>
      </c>
      <c r="E1238" s="44" t="s">
        <v>6852</v>
      </c>
      <c r="F1238" s="37">
        <v>1</v>
      </c>
      <c r="G1238" s="37" t="s">
        <v>6864</v>
      </c>
      <c r="H1238" s="63">
        <v>10095.799999999999</v>
      </c>
    </row>
    <row r="1239" spans="1:8" ht="24.75" customHeight="1">
      <c r="A1239" s="44" t="s">
        <v>1990</v>
      </c>
      <c r="B1239" s="45" t="s">
        <v>4622</v>
      </c>
      <c r="C1239" s="45" t="s">
        <v>6719</v>
      </c>
      <c r="D1239" s="45" t="s">
        <v>6729</v>
      </c>
      <c r="E1239" s="44" t="s">
        <v>6852</v>
      </c>
      <c r="F1239" s="37">
        <v>1</v>
      </c>
      <c r="G1239" s="37" t="s">
        <v>6864</v>
      </c>
      <c r="H1239" s="63">
        <v>17031.3</v>
      </c>
    </row>
    <row r="1240" spans="1:8" ht="24.75" customHeight="1">
      <c r="A1240" s="44" t="s">
        <v>1987</v>
      </c>
      <c r="B1240" s="45" t="s">
        <v>4619</v>
      </c>
      <c r="C1240" s="45" t="s">
        <v>6719</v>
      </c>
      <c r="D1240" s="45" t="s">
        <v>6729</v>
      </c>
      <c r="E1240" s="44" t="s">
        <v>6852</v>
      </c>
      <c r="F1240" s="37">
        <v>1</v>
      </c>
      <c r="G1240" s="37" t="s">
        <v>6864</v>
      </c>
      <c r="H1240" s="63">
        <v>14714.7</v>
      </c>
    </row>
    <row r="1241" spans="1:8" ht="24.75" customHeight="1">
      <c r="A1241" s="44" t="s">
        <v>1988</v>
      </c>
      <c r="B1241" s="45" t="s">
        <v>4620</v>
      </c>
      <c r="C1241" s="45" t="s">
        <v>6719</v>
      </c>
      <c r="D1241" s="45" t="s">
        <v>6729</v>
      </c>
      <c r="E1241" s="44" t="s">
        <v>6852</v>
      </c>
      <c r="F1241" s="37">
        <v>1</v>
      </c>
      <c r="G1241" s="37" t="s">
        <v>6864</v>
      </c>
      <c r="H1241" s="63">
        <v>12383.8</v>
      </c>
    </row>
    <row r="1242" spans="1:8" ht="24.75" customHeight="1">
      <c r="A1242" s="44" t="s">
        <v>2867</v>
      </c>
      <c r="B1242" s="45" t="s">
        <v>4627</v>
      </c>
      <c r="C1242" s="45" t="s">
        <v>6719</v>
      </c>
      <c r="D1242" s="45" t="s">
        <v>6729</v>
      </c>
      <c r="E1242" s="44" t="s">
        <v>6852</v>
      </c>
      <c r="F1242" s="37">
        <v>1</v>
      </c>
      <c r="G1242" s="37" t="s">
        <v>6864</v>
      </c>
      <c r="H1242" s="63">
        <v>11754.6</v>
      </c>
    </row>
    <row r="1243" spans="1:8" ht="24.75" customHeight="1">
      <c r="A1243" s="44" t="s">
        <v>1994</v>
      </c>
      <c r="B1243" s="45" t="s">
        <v>4626</v>
      </c>
      <c r="C1243" s="45" t="s">
        <v>6719</v>
      </c>
      <c r="D1243" s="45" t="s">
        <v>6729</v>
      </c>
      <c r="E1243" s="44" t="s">
        <v>6852</v>
      </c>
      <c r="F1243" s="37">
        <v>1</v>
      </c>
      <c r="G1243" s="37" t="s">
        <v>6864</v>
      </c>
      <c r="H1243" s="63">
        <v>12569.7</v>
      </c>
    </row>
    <row r="1244" spans="1:8" ht="24.75" customHeight="1">
      <c r="A1244" s="44" t="s">
        <v>1986</v>
      </c>
      <c r="B1244" s="45" t="s">
        <v>4618</v>
      </c>
      <c r="C1244" s="45" t="s">
        <v>6719</v>
      </c>
      <c r="D1244" s="45" t="s">
        <v>6729</v>
      </c>
      <c r="E1244" s="44" t="s">
        <v>6852</v>
      </c>
      <c r="F1244" s="37">
        <v>1</v>
      </c>
      <c r="G1244" s="37" t="s">
        <v>6864</v>
      </c>
      <c r="H1244" s="63">
        <v>11554.4</v>
      </c>
    </row>
    <row r="1245" spans="1:8" ht="24.75" customHeight="1">
      <c r="A1245" s="44" t="s">
        <v>1989</v>
      </c>
      <c r="B1245" s="45" t="s">
        <v>4621</v>
      </c>
      <c r="C1245" s="45" t="s">
        <v>6719</v>
      </c>
      <c r="D1245" s="45" t="s">
        <v>6729</v>
      </c>
      <c r="E1245" s="44" t="s">
        <v>6852</v>
      </c>
      <c r="F1245" s="37">
        <v>1</v>
      </c>
      <c r="G1245" s="37" t="s">
        <v>6864</v>
      </c>
      <c r="H1245" s="63">
        <v>12912.9</v>
      </c>
    </row>
    <row r="1246" spans="1:8" ht="24.75" customHeight="1">
      <c r="A1246" s="44" t="s">
        <v>1781</v>
      </c>
      <c r="B1246" s="45" t="s">
        <v>4559</v>
      </c>
      <c r="C1246" s="45" t="s">
        <v>6719</v>
      </c>
      <c r="D1246" s="45" t="s">
        <v>6729</v>
      </c>
      <c r="E1246" s="44" t="s">
        <v>6852</v>
      </c>
      <c r="F1246" s="37">
        <v>1</v>
      </c>
      <c r="G1246" s="37" t="s">
        <v>6864</v>
      </c>
      <c r="H1246" s="63">
        <v>9824.1</v>
      </c>
    </row>
    <row r="1247" spans="1:8" ht="24.75" customHeight="1">
      <c r="A1247" s="44" t="s">
        <v>1792</v>
      </c>
      <c r="B1247" s="45" t="s">
        <v>4601</v>
      </c>
      <c r="C1247" s="45" t="s">
        <v>6719</v>
      </c>
      <c r="D1247" s="45" t="s">
        <v>6729</v>
      </c>
      <c r="E1247" s="44" t="s">
        <v>6852</v>
      </c>
      <c r="F1247" s="37">
        <v>1</v>
      </c>
      <c r="G1247" s="37" t="s">
        <v>6864</v>
      </c>
      <c r="H1247" s="63">
        <v>14443</v>
      </c>
    </row>
    <row r="1248" spans="1:8" ht="24.75" customHeight="1">
      <c r="A1248" s="44" t="s">
        <v>1788</v>
      </c>
      <c r="B1248" s="45" t="s">
        <v>4584</v>
      </c>
      <c r="C1248" s="45" t="s">
        <v>6719</v>
      </c>
      <c r="D1248" s="45" t="s">
        <v>6729</v>
      </c>
      <c r="E1248" s="44" t="s">
        <v>6852</v>
      </c>
      <c r="F1248" s="37">
        <v>1</v>
      </c>
      <c r="G1248" s="37" t="s">
        <v>6864</v>
      </c>
      <c r="H1248" s="63">
        <v>12784.2</v>
      </c>
    </row>
    <row r="1249" spans="1:8" ht="24.75" customHeight="1">
      <c r="A1249" s="44" t="s">
        <v>1779</v>
      </c>
      <c r="B1249" s="45" t="s">
        <v>4550</v>
      </c>
      <c r="C1249" s="45" t="s">
        <v>6719</v>
      </c>
      <c r="D1249" s="45" t="s">
        <v>6729</v>
      </c>
      <c r="E1249" s="44" t="s">
        <v>6852</v>
      </c>
      <c r="F1249" s="37">
        <v>1</v>
      </c>
      <c r="G1249" s="37" t="s">
        <v>6864</v>
      </c>
      <c r="H1249" s="63">
        <v>9652.5</v>
      </c>
    </row>
    <row r="1250" spans="1:8" ht="24.75" customHeight="1">
      <c r="A1250" s="44" t="s">
        <v>1789</v>
      </c>
      <c r="B1250" s="45" t="s">
        <v>4589</v>
      </c>
      <c r="C1250" s="45" t="s">
        <v>6719</v>
      </c>
      <c r="D1250" s="45" t="s">
        <v>6729</v>
      </c>
      <c r="E1250" s="44" t="s">
        <v>6852</v>
      </c>
      <c r="F1250" s="37">
        <v>1</v>
      </c>
      <c r="G1250" s="37" t="s">
        <v>6864</v>
      </c>
      <c r="H1250" s="63">
        <v>12584</v>
      </c>
    </row>
    <row r="1251" spans="1:8" ht="24.75" customHeight="1">
      <c r="A1251" s="44" t="s">
        <v>1786</v>
      </c>
      <c r="B1251" s="45" t="s">
        <v>4579</v>
      </c>
      <c r="C1251" s="45" t="s">
        <v>6719</v>
      </c>
      <c r="D1251" s="45" t="s">
        <v>6729</v>
      </c>
      <c r="E1251" s="44" t="s">
        <v>6852</v>
      </c>
      <c r="F1251" s="37">
        <v>1</v>
      </c>
      <c r="G1251" s="37" t="s">
        <v>6864</v>
      </c>
      <c r="H1251" s="63">
        <v>17031.3</v>
      </c>
    </row>
    <row r="1252" spans="1:8" ht="24.75" customHeight="1">
      <c r="A1252" s="44" t="s">
        <v>1783</v>
      </c>
      <c r="B1252" s="45" t="s">
        <v>4568</v>
      </c>
      <c r="C1252" s="45" t="s">
        <v>6719</v>
      </c>
      <c r="D1252" s="45" t="s">
        <v>6729</v>
      </c>
      <c r="E1252" s="44" t="s">
        <v>6852</v>
      </c>
      <c r="F1252" s="37">
        <v>1</v>
      </c>
      <c r="G1252" s="37" t="s">
        <v>6864</v>
      </c>
      <c r="H1252" s="63">
        <v>14714.7</v>
      </c>
    </row>
    <row r="1253" spans="1:8" ht="24.75" customHeight="1">
      <c r="A1253" s="44" t="s">
        <v>1791</v>
      </c>
      <c r="B1253" s="45" t="s">
        <v>4597</v>
      </c>
      <c r="C1253" s="45" t="s">
        <v>6719</v>
      </c>
      <c r="D1253" s="45" t="s">
        <v>6729</v>
      </c>
      <c r="E1253" s="44" t="s">
        <v>6852</v>
      </c>
      <c r="F1253" s="37">
        <v>1</v>
      </c>
      <c r="G1253" s="37" t="s">
        <v>6864</v>
      </c>
      <c r="H1253" s="63">
        <v>11754.6</v>
      </c>
    </row>
    <row r="1254" spans="1:8" ht="24.75" customHeight="1">
      <c r="A1254" s="44" t="s">
        <v>1790</v>
      </c>
      <c r="B1254" s="45" t="s">
        <v>4593</v>
      </c>
      <c r="C1254" s="45" t="s">
        <v>6719</v>
      </c>
      <c r="D1254" s="45" t="s">
        <v>6729</v>
      </c>
      <c r="E1254" s="44" t="s">
        <v>6852</v>
      </c>
      <c r="F1254" s="37">
        <v>1</v>
      </c>
      <c r="G1254" s="37" t="s">
        <v>6864</v>
      </c>
      <c r="H1254" s="63">
        <v>12569.7</v>
      </c>
    </row>
    <row r="1255" spans="1:8" ht="24.75" customHeight="1">
      <c r="A1255" s="44" t="s">
        <v>1782</v>
      </c>
      <c r="B1255" s="45" t="s">
        <v>4564</v>
      </c>
      <c r="C1255" s="45" t="s">
        <v>6719</v>
      </c>
      <c r="D1255" s="45" t="s">
        <v>6729</v>
      </c>
      <c r="E1255" s="44" t="s">
        <v>6852</v>
      </c>
      <c r="F1255" s="37">
        <v>1</v>
      </c>
      <c r="G1255" s="37" t="s">
        <v>6864</v>
      </c>
      <c r="H1255" s="63">
        <v>11554.4</v>
      </c>
    </row>
    <row r="1256" spans="1:8" ht="24.75" customHeight="1">
      <c r="A1256" s="44" t="s">
        <v>1785</v>
      </c>
      <c r="B1256" s="45" t="s">
        <v>4574</v>
      </c>
      <c r="C1256" s="45" t="s">
        <v>6719</v>
      </c>
      <c r="D1256" s="45" t="s">
        <v>6729</v>
      </c>
      <c r="E1256" s="44" t="s">
        <v>6852</v>
      </c>
      <c r="F1256" s="37">
        <v>1</v>
      </c>
      <c r="G1256" s="37" t="s">
        <v>6864</v>
      </c>
      <c r="H1256" s="63">
        <v>12912.9</v>
      </c>
    </row>
    <row r="1257" spans="1:8" ht="24.75" customHeight="1">
      <c r="A1257" s="44" t="s">
        <v>1795</v>
      </c>
      <c r="B1257" s="45" t="s">
        <v>4560</v>
      </c>
      <c r="C1257" s="45" t="s">
        <v>6719</v>
      </c>
      <c r="D1257" s="45" t="s">
        <v>6729</v>
      </c>
      <c r="E1257" s="44" t="s">
        <v>6852</v>
      </c>
      <c r="F1257" s="37">
        <v>1</v>
      </c>
      <c r="G1257" s="37" t="s">
        <v>6864</v>
      </c>
      <c r="H1257" s="63">
        <v>9824.1</v>
      </c>
    </row>
    <row r="1258" spans="1:8" ht="24.75" customHeight="1">
      <c r="A1258" s="44" t="s">
        <v>1801</v>
      </c>
      <c r="B1258" s="45" t="s">
        <v>4582</v>
      </c>
      <c r="C1258" s="45" t="s">
        <v>6719</v>
      </c>
      <c r="D1258" s="45" t="s">
        <v>6729</v>
      </c>
      <c r="E1258" s="44" t="s">
        <v>6852</v>
      </c>
      <c r="F1258" s="37">
        <v>1</v>
      </c>
      <c r="G1258" s="37" t="s">
        <v>6864</v>
      </c>
      <c r="H1258" s="63">
        <v>10767.9</v>
      </c>
    </row>
    <row r="1259" spans="1:8" ht="24.75" customHeight="1">
      <c r="A1259" s="44" t="s">
        <v>1806</v>
      </c>
      <c r="B1259" s="45" t="s">
        <v>4602</v>
      </c>
      <c r="C1259" s="45" t="s">
        <v>6719</v>
      </c>
      <c r="D1259" s="45" t="s">
        <v>6729</v>
      </c>
      <c r="E1259" s="44" t="s">
        <v>6852</v>
      </c>
      <c r="F1259" s="37">
        <v>1</v>
      </c>
      <c r="G1259" s="37" t="s">
        <v>6864</v>
      </c>
      <c r="H1259" s="63">
        <v>14443</v>
      </c>
    </row>
    <row r="1260" spans="1:8" ht="24.75" customHeight="1">
      <c r="A1260" s="44" t="s">
        <v>1802</v>
      </c>
      <c r="B1260" s="45" t="s">
        <v>4585</v>
      </c>
      <c r="C1260" s="45" t="s">
        <v>6719</v>
      </c>
      <c r="D1260" s="45" t="s">
        <v>6729</v>
      </c>
      <c r="E1260" s="44" t="s">
        <v>6852</v>
      </c>
      <c r="F1260" s="37">
        <v>1</v>
      </c>
      <c r="G1260" s="37" t="s">
        <v>6864</v>
      </c>
      <c r="H1260" s="63">
        <v>12784.2</v>
      </c>
    </row>
    <row r="1261" spans="1:8" ht="24.75" customHeight="1">
      <c r="A1261" s="44" t="s">
        <v>1793</v>
      </c>
      <c r="B1261" s="45" t="s">
        <v>4551</v>
      </c>
      <c r="C1261" s="45" t="s">
        <v>6719</v>
      </c>
      <c r="D1261" s="45" t="s">
        <v>6729</v>
      </c>
      <c r="E1261" s="44" t="s">
        <v>6852</v>
      </c>
      <c r="F1261" s="37">
        <v>1</v>
      </c>
      <c r="G1261" s="37" t="s">
        <v>6864</v>
      </c>
      <c r="H1261" s="63">
        <v>9652.5</v>
      </c>
    </row>
    <row r="1262" spans="1:8" ht="24.75" customHeight="1">
      <c r="A1262" s="44" t="s">
        <v>1803</v>
      </c>
      <c r="B1262" s="45" t="s">
        <v>4590</v>
      </c>
      <c r="C1262" s="45" t="s">
        <v>6719</v>
      </c>
      <c r="D1262" s="45" t="s">
        <v>6729</v>
      </c>
      <c r="E1262" s="44" t="s">
        <v>6852</v>
      </c>
      <c r="F1262" s="37">
        <v>1</v>
      </c>
      <c r="G1262" s="37" t="s">
        <v>6864</v>
      </c>
      <c r="H1262" s="63">
        <v>12584</v>
      </c>
    </row>
    <row r="1263" spans="1:8" ht="24.75" customHeight="1">
      <c r="A1263" s="44" t="s">
        <v>1794</v>
      </c>
      <c r="B1263" s="45" t="s">
        <v>4555</v>
      </c>
      <c r="C1263" s="45" t="s">
        <v>6719</v>
      </c>
      <c r="D1263" s="45" t="s">
        <v>6729</v>
      </c>
      <c r="E1263" s="44" t="s">
        <v>6852</v>
      </c>
      <c r="F1263" s="37">
        <v>1</v>
      </c>
      <c r="G1263" s="37" t="s">
        <v>6864</v>
      </c>
      <c r="H1263" s="63">
        <v>10095.799999999999</v>
      </c>
    </row>
    <row r="1264" spans="1:8" ht="24.75" customHeight="1">
      <c r="A1264" s="44" t="s">
        <v>1800</v>
      </c>
      <c r="B1264" s="45" t="s">
        <v>4580</v>
      </c>
      <c r="C1264" s="45" t="s">
        <v>6719</v>
      </c>
      <c r="D1264" s="45" t="s">
        <v>6729</v>
      </c>
      <c r="E1264" s="44" t="s">
        <v>6852</v>
      </c>
      <c r="F1264" s="37">
        <v>1</v>
      </c>
      <c r="G1264" s="37" t="s">
        <v>6864</v>
      </c>
      <c r="H1264" s="63">
        <v>17031.3</v>
      </c>
    </row>
    <row r="1265" spans="1:8" ht="24.75" customHeight="1">
      <c r="A1265" s="44" t="s">
        <v>1797</v>
      </c>
      <c r="B1265" s="45" t="s">
        <v>4569</v>
      </c>
      <c r="C1265" s="45" t="s">
        <v>6719</v>
      </c>
      <c r="D1265" s="45" t="s">
        <v>6729</v>
      </c>
      <c r="E1265" s="44" t="s">
        <v>6852</v>
      </c>
      <c r="F1265" s="37">
        <v>1</v>
      </c>
      <c r="G1265" s="37" t="s">
        <v>6864</v>
      </c>
      <c r="H1265" s="63">
        <v>14714.7</v>
      </c>
    </row>
    <row r="1266" spans="1:8" ht="24.75" customHeight="1">
      <c r="A1266" s="44" t="s">
        <v>1798</v>
      </c>
      <c r="B1266" s="45" t="s">
        <v>4572</v>
      </c>
      <c r="C1266" s="45" t="s">
        <v>6719</v>
      </c>
      <c r="D1266" s="45" t="s">
        <v>6729</v>
      </c>
      <c r="E1266" s="44" t="s">
        <v>6852</v>
      </c>
      <c r="F1266" s="37">
        <v>1</v>
      </c>
      <c r="G1266" s="37" t="s">
        <v>6864</v>
      </c>
      <c r="H1266" s="63">
        <v>12383.8</v>
      </c>
    </row>
    <row r="1267" spans="1:8" ht="24.75" customHeight="1">
      <c r="A1267" s="44" t="s">
        <v>1805</v>
      </c>
      <c r="B1267" s="45" t="s">
        <v>4598</v>
      </c>
      <c r="C1267" s="45" t="s">
        <v>6719</v>
      </c>
      <c r="D1267" s="45" t="s">
        <v>6729</v>
      </c>
      <c r="E1267" s="44" t="s">
        <v>6852</v>
      </c>
      <c r="F1267" s="37">
        <v>1</v>
      </c>
      <c r="G1267" s="37" t="s">
        <v>6864</v>
      </c>
      <c r="H1267" s="63">
        <v>11754.6</v>
      </c>
    </row>
    <row r="1268" spans="1:8" ht="24.75" customHeight="1">
      <c r="A1268" s="44" t="s">
        <v>1804</v>
      </c>
      <c r="B1268" s="45" t="s">
        <v>4594</v>
      </c>
      <c r="C1268" s="45" t="s">
        <v>6719</v>
      </c>
      <c r="D1268" s="45" t="s">
        <v>6729</v>
      </c>
      <c r="E1268" s="44" t="s">
        <v>6852</v>
      </c>
      <c r="F1268" s="37">
        <v>1</v>
      </c>
      <c r="G1268" s="37" t="s">
        <v>6864</v>
      </c>
      <c r="H1268" s="63">
        <v>12569.7</v>
      </c>
    </row>
    <row r="1269" spans="1:8" ht="24.75" customHeight="1">
      <c r="A1269" s="44" t="s">
        <v>1796</v>
      </c>
      <c r="B1269" s="45" t="s">
        <v>4565</v>
      </c>
      <c r="C1269" s="45" t="s">
        <v>6719</v>
      </c>
      <c r="D1269" s="45" t="s">
        <v>6729</v>
      </c>
      <c r="E1269" s="44" t="s">
        <v>6852</v>
      </c>
      <c r="F1269" s="37">
        <v>1</v>
      </c>
      <c r="G1269" s="37" t="s">
        <v>6864</v>
      </c>
      <c r="H1269" s="63">
        <v>11554.4</v>
      </c>
    </row>
    <row r="1270" spans="1:8" ht="24.75" customHeight="1">
      <c r="A1270" s="44" t="s">
        <v>1799</v>
      </c>
      <c r="B1270" s="45" t="s">
        <v>4575</v>
      </c>
      <c r="C1270" s="45" t="s">
        <v>6719</v>
      </c>
      <c r="D1270" s="45" t="s">
        <v>6729</v>
      </c>
      <c r="E1270" s="44" t="s">
        <v>6852</v>
      </c>
      <c r="F1270" s="37">
        <v>1</v>
      </c>
      <c r="G1270" s="37" t="s">
        <v>6864</v>
      </c>
      <c r="H1270" s="63">
        <v>12912.9</v>
      </c>
    </row>
    <row r="1271" spans="1:8" ht="24.75" customHeight="1">
      <c r="A1271" s="44" t="s">
        <v>1809</v>
      </c>
      <c r="B1271" s="45" t="s">
        <v>4561</v>
      </c>
      <c r="C1271" s="45" t="s">
        <v>6719</v>
      </c>
      <c r="D1271" s="45" t="s">
        <v>6729</v>
      </c>
      <c r="E1271" s="44" t="s">
        <v>6852</v>
      </c>
      <c r="F1271" s="37">
        <v>1</v>
      </c>
      <c r="G1271" s="37" t="s">
        <v>6864</v>
      </c>
      <c r="H1271" s="63">
        <v>9824.1</v>
      </c>
    </row>
    <row r="1272" spans="1:8" ht="24.75" customHeight="1">
      <c r="A1272" s="44" t="s">
        <v>1811</v>
      </c>
      <c r="B1272" s="45" t="s">
        <v>4586</v>
      </c>
      <c r="C1272" s="45" t="s">
        <v>6719</v>
      </c>
      <c r="D1272" s="45" t="s">
        <v>6729</v>
      </c>
      <c r="E1272" s="44" t="s">
        <v>6852</v>
      </c>
      <c r="F1272" s="37">
        <v>1</v>
      </c>
      <c r="G1272" s="37" t="s">
        <v>6864</v>
      </c>
      <c r="H1272" s="63">
        <v>12784.2</v>
      </c>
    </row>
    <row r="1273" spans="1:8" ht="24.75" customHeight="1">
      <c r="A1273" s="44" t="s">
        <v>1807</v>
      </c>
      <c r="B1273" s="45" t="s">
        <v>4552</v>
      </c>
      <c r="C1273" s="45" t="s">
        <v>6719</v>
      </c>
      <c r="D1273" s="45" t="s">
        <v>6729</v>
      </c>
      <c r="E1273" s="44" t="s">
        <v>6852</v>
      </c>
      <c r="F1273" s="37">
        <v>1</v>
      </c>
      <c r="G1273" s="37" t="s">
        <v>6864</v>
      </c>
      <c r="H1273" s="63">
        <v>9652.5</v>
      </c>
    </row>
    <row r="1274" spans="1:8" ht="24.75" customHeight="1">
      <c r="A1274" s="44" t="s">
        <v>1808</v>
      </c>
      <c r="B1274" s="45" t="s">
        <v>4556</v>
      </c>
      <c r="C1274" s="45" t="s">
        <v>6719</v>
      </c>
      <c r="D1274" s="45" t="s">
        <v>6729</v>
      </c>
      <c r="E1274" s="44" t="s">
        <v>6852</v>
      </c>
      <c r="F1274" s="37">
        <v>1</v>
      </c>
      <c r="G1274" s="37" t="s">
        <v>6864</v>
      </c>
      <c r="H1274" s="63">
        <v>10095.799999999999</v>
      </c>
    </row>
    <row r="1275" spans="1:8" ht="24.75" customHeight="1">
      <c r="A1275" s="44" t="s">
        <v>1810</v>
      </c>
      <c r="B1275" s="45" t="s">
        <v>4576</v>
      </c>
      <c r="C1275" s="45" t="s">
        <v>6719</v>
      </c>
      <c r="D1275" s="45" t="s">
        <v>6729</v>
      </c>
      <c r="E1275" s="44" t="s">
        <v>6852</v>
      </c>
      <c r="F1275" s="37">
        <v>1</v>
      </c>
      <c r="G1275" s="37" t="s">
        <v>6864</v>
      </c>
      <c r="H1275" s="63">
        <v>12912.9</v>
      </c>
    </row>
    <row r="1276" spans="1:8" ht="24.75" customHeight="1">
      <c r="A1276" s="44" t="s">
        <v>1753</v>
      </c>
      <c r="B1276" s="45" t="s">
        <v>4557</v>
      </c>
      <c r="C1276" s="45" t="s">
        <v>6719</v>
      </c>
      <c r="D1276" s="45" t="s">
        <v>6729</v>
      </c>
      <c r="E1276" s="44" t="s">
        <v>6852</v>
      </c>
      <c r="F1276" s="37">
        <v>1</v>
      </c>
      <c r="G1276" s="37" t="s">
        <v>6864</v>
      </c>
      <c r="H1276" s="63">
        <v>9824.1</v>
      </c>
    </row>
    <row r="1277" spans="1:8" ht="24.75" customHeight="1">
      <c r="A1277" s="44" t="s">
        <v>1759</v>
      </c>
      <c r="B1277" s="45" t="s">
        <v>4581</v>
      </c>
      <c r="C1277" s="45" t="s">
        <v>6719</v>
      </c>
      <c r="D1277" s="45" t="s">
        <v>6729</v>
      </c>
      <c r="E1277" s="44" t="s">
        <v>6852</v>
      </c>
      <c r="F1277" s="37">
        <v>1</v>
      </c>
      <c r="G1277" s="37" t="s">
        <v>6864</v>
      </c>
      <c r="H1277" s="63">
        <v>10767.9</v>
      </c>
    </row>
    <row r="1278" spans="1:8" ht="24.75" customHeight="1">
      <c r="A1278" s="44" t="s">
        <v>1764</v>
      </c>
      <c r="B1278" s="45" t="s">
        <v>4599</v>
      </c>
      <c r="C1278" s="45" t="s">
        <v>6719</v>
      </c>
      <c r="D1278" s="45" t="s">
        <v>6729</v>
      </c>
      <c r="E1278" s="44" t="s">
        <v>6852</v>
      </c>
      <c r="F1278" s="37">
        <v>1</v>
      </c>
      <c r="G1278" s="37" t="s">
        <v>6864</v>
      </c>
      <c r="H1278" s="63">
        <v>14443</v>
      </c>
    </row>
    <row r="1279" spans="1:8" ht="24.75" customHeight="1">
      <c r="A1279" s="44" t="s">
        <v>1760</v>
      </c>
      <c r="B1279" s="45" t="s">
        <v>4583</v>
      </c>
      <c r="C1279" s="45" t="s">
        <v>6719</v>
      </c>
      <c r="D1279" s="45" t="s">
        <v>6729</v>
      </c>
      <c r="E1279" s="44" t="s">
        <v>6852</v>
      </c>
      <c r="F1279" s="37">
        <v>1</v>
      </c>
      <c r="G1279" s="37" t="s">
        <v>6864</v>
      </c>
      <c r="H1279" s="63">
        <v>12784.2</v>
      </c>
    </row>
    <row r="1280" spans="1:8" ht="24.75" customHeight="1">
      <c r="A1280" s="44" t="s">
        <v>1751</v>
      </c>
      <c r="B1280" s="45" t="s">
        <v>4549</v>
      </c>
      <c r="C1280" s="45" t="s">
        <v>6719</v>
      </c>
      <c r="D1280" s="45" t="s">
        <v>6729</v>
      </c>
      <c r="E1280" s="44" t="s">
        <v>6852</v>
      </c>
      <c r="F1280" s="37">
        <v>1</v>
      </c>
      <c r="G1280" s="37" t="s">
        <v>6864</v>
      </c>
      <c r="H1280" s="63">
        <v>9652.5</v>
      </c>
    </row>
    <row r="1281" spans="1:8" ht="24.75" customHeight="1">
      <c r="A1281" s="44" t="s">
        <v>1761</v>
      </c>
      <c r="B1281" s="45" t="s">
        <v>4587</v>
      </c>
      <c r="C1281" s="45" t="s">
        <v>6719</v>
      </c>
      <c r="D1281" s="45" t="s">
        <v>6729</v>
      </c>
      <c r="E1281" s="44" t="s">
        <v>6852</v>
      </c>
      <c r="F1281" s="37">
        <v>1</v>
      </c>
      <c r="G1281" s="37" t="s">
        <v>6864</v>
      </c>
      <c r="H1281" s="63">
        <v>12584</v>
      </c>
    </row>
    <row r="1282" spans="1:8" ht="24.75" customHeight="1">
      <c r="A1282" s="44" t="s">
        <v>1752</v>
      </c>
      <c r="B1282" s="45" t="s">
        <v>4553</v>
      </c>
      <c r="C1282" s="45" t="s">
        <v>6719</v>
      </c>
      <c r="D1282" s="45" t="s">
        <v>6729</v>
      </c>
      <c r="E1282" s="44" t="s">
        <v>6852</v>
      </c>
      <c r="F1282" s="37">
        <v>1</v>
      </c>
      <c r="G1282" s="37" t="s">
        <v>6864</v>
      </c>
      <c r="H1282" s="63">
        <v>10095.799999999999</v>
      </c>
    </row>
    <row r="1283" spans="1:8" ht="24.75" customHeight="1">
      <c r="A1283" s="44" t="s">
        <v>1758</v>
      </c>
      <c r="B1283" s="45" t="s">
        <v>4577</v>
      </c>
      <c r="C1283" s="45" t="s">
        <v>6719</v>
      </c>
      <c r="D1283" s="45" t="s">
        <v>6729</v>
      </c>
      <c r="E1283" s="44" t="s">
        <v>6852</v>
      </c>
      <c r="F1283" s="37">
        <v>1</v>
      </c>
      <c r="G1283" s="37" t="s">
        <v>6864</v>
      </c>
      <c r="H1283" s="63">
        <v>17031.3</v>
      </c>
    </row>
    <row r="1284" spans="1:8" ht="24.75" customHeight="1">
      <c r="A1284" s="44" t="s">
        <v>1755</v>
      </c>
      <c r="B1284" s="45" t="s">
        <v>4566</v>
      </c>
      <c r="C1284" s="45" t="s">
        <v>6719</v>
      </c>
      <c r="D1284" s="45" t="s">
        <v>6729</v>
      </c>
      <c r="E1284" s="44" t="s">
        <v>6852</v>
      </c>
      <c r="F1284" s="37">
        <v>1</v>
      </c>
      <c r="G1284" s="37" t="s">
        <v>6864</v>
      </c>
      <c r="H1284" s="63">
        <v>14714.7</v>
      </c>
    </row>
    <row r="1285" spans="1:8" ht="24.75" customHeight="1">
      <c r="A1285" s="44" t="s">
        <v>1756</v>
      </c>
      <c r="B1285" s="45" t="s">
        <v>4570</v>
      </c>
      <c r="C1285" s="45" t="s">
        <v>6719</v>
      </c>
      <c r="D1285" s="45" t="s">
        <v>6729</v>
      </c>
      <c r="E1285" s="44" t="s">
        <v>6852</v>
      </c>
      <c r="F1285" s="37">
        <v>1</v>
      </c>
      <c r="G1285" s="37" t="s">
        <v>6864</v>
      </c>
      <c r="H1285" s="63">
        <v>12383.8</v>
      </c>
    </row>
    <row r="1286" spans="1:8" ht="24.75" customHeight="1">
      <c r="A1286" s="44" t="s">
        <v>1763</v>
      </c>
      <c r="B1286" s="45" t="s">
        <v>4595</v>
      </c>
      <c r="C1286" s="45" t="s">
        <v>6719</v>
      </c>
      <c r="D1286" s="45" t="s">
        <v>6729</v>
      </c>
      <c r="E1286" s="44" t="s">
        <v>6852</v>
      </c>
      <c r="F1286" s="37">
        <v>1</v>
      </c>
      <c r="G1286" s="37" t="s">
        <v>6864</v>
      </c>
      <c r="H1286" s="63">
        <v>11754.6</v>
      </c>
    </row>
    <row r="1287" spans="1:8" ht="24.75" customHeight="1">
      <c r="A1287" s="44" t="s">
        <v>1762</v>
      </c>
      <c r="B1287" s="45" t="s">
        <v>4591</v>
      </c>
      <c r="C1287" s="45" t="s">
        <v>6719</v>
      </c>
      <c r="D1287" s="45" t="s">
        <v>6729</v>
      </c>
      <c r="E1287" s="44" t="s">
        <v>6852</v>
      </c>
      <c r="F1287" s="37">
        <v>1</v>
      </c>
      <c r="G1287" s="37" t="s">
        <v>6864</v>
      </c>
      <c r="H1287" s="63">
        <v>12569.7</v>
      </c>
    </row>
    <row r="1288" spans="1:8" ht="24.75" customHeight="1">
      <c r="A1288" s="44" t="s">
        <v>1754</v>
      </c>
      <c r="B1288" s="45" t="s">
        <v>4562</v>
      </c>
      <c r="C1288" s="45" t="s">
        <v>6719</v>
      </c>
      <c r="D1288" s="45" t="s">
        <v>6729</v>
      </c>
      <c r="E1288" s="44" t="s">
        <v>6852</v>
      </c>
      <c r="F1288" s="37">
        <v>1</v>
      </c>
      <c r="G1288" s="37" t="s">
        <v>6864</v>
      </c>
      <c r="H1288" s="63">
        <v>11554.4</v>
      </c>
    </row>
    <row r="1289" spans="1:8" ht="24.75" customHeight="1">
      <c r="A1289" s="44" t="s">
        <v>393</v>
      </c>
      <c r="B1289" s="45" t="s">
        <v>3703</v>
      </c>
      <c r="C1289" s="45" t="s">
        <v>6719</v>
      </c>
      <c r="D1289" s="45" t="s">
        <v>6730</v>
      </c>
      <c r="E1289" s="44"/>
      <c r="F1289" s="37">
        <v>4</v>
      </c>
      <c r="G1289" s="37" t="s">
        <v>6864</v>
      </c>
      <c r="H1289" s="63">
        <v>4147</v>
      </c>
    </row>
    <row r="1290" spans="1:8" ht="24.75" customHeight="1">
      <c r="A1290" s="44" t="s">
        <v>2936</v>
      </c>
      <c r="B1290" s="45" t="s">
        <v>3701</v>
      </c>
      <c r="C1290" s="45" t="s">
        <v>6719</v>
      </c>
      <c r="D1290" s="45" t="s">
        <v>6730</v>
      </c>
      <c r="E1290" s="44"/>
      <c r="F1290" s="37">
        <v>4</v>
      </c>
      <c r="G1290" s="37" t="s">
        <v>6864</v>
      </c>
      <c r="H1290" s="63">
        <v>3603.6</v>
      </c>
    </row>
    <row r="1291" spans="1:8" ht="24.75" customHeight="1">
      <c r="A1291" s="44" t="s">
        <v>1232</v>
      </c>
      <c r="B1291" s="45" t="s">
        <v>5969</v>
      </c>
      <c r="C1291" s="45" t="s">
        <v>6719</v>
      </c>
      <c r="D1291" s="45" t="s">
        <v>6730</v>
      </c>
      <c r="E1291" s="44"/>
      <c r="F1291" s="37">
        <v>1</v>
      </c>
      <c r="G1291" s="37" t="s">
        <v>2568</v>
      </c>
      <c r="H1291" s="63">
        <v>2359.5</v>
      </c>
    </row>
    <row r="1292" spans="1:8" ht="24.75" customHeight="1">
      <c r="A1292" s="44" t="s">
        <v>392</v>
      </c>
      <c r="B1292" s="45" t="s">
        <v>3702</v>
      </c>
      <c r="C1292" s="45" t="s">
        <v>6719</v>
      </c>
      <c r="D1292" s="45" t="s">
        <v>6730</v>
      </c>
      <c r="E1292" s="44"/>
      <c r="F1292" s="37">
        <v>4</v>
      </c>
      <c r="G1292" s="37" t="s">
        <v>6864</v>
      </c>
      <c r="H1292" s="63">
        <v>4318.6000000000004</v>
      </c>
    </row>
    <row r="1293" spans="1:8" ht="24.75" customHeight="1">
      <c r="A1293" s="44" t="s">
        <v>2834</v>
      </c>
      <c r="B1293" s="45" t="s">
        <v>5839</v>
      </c>
      <c r="C1293" s="45" t="s">
        <v>6719</v>
      </c>
      <c r="D1293" s="45" t="s">
        <v>6730</v>
      </c>
      <c r="E1293" s="44" t="s">
        <v>6839</v>
      </c>
      <c r="F1293" s="37">
        <v>6</v>
      </c>
      <c r="G1293" s="37" t="s">
        <v>2568</v>
      </c>
      <c r="H1293" s="63">
        <v>3589.3</v>
      </c>
    </row>
    <row r="1294" spans="1:8" ht="24.75" customHeight="1">
      <c r="A1294" s="44" t="s">
        <v>1677</v>
      </c>
      <c r="B1294" s="45" t="s">
        <v>5515</v>
      </c>
      <c r="C1294" s="45" t="s">
        <v>6719</v>
      </c>
      <c r="D1294" s="45" t="s">
        <v>6730</v>
      </c>
      <c r="E1294" s="44"/>
      <c r="F1294" s="37">
        <v>1</v>
      </c>
      <c r="G1294" s="37" t="s">
        <v>6864</v>
      </c>
      <c r="H1294" s="63">
        <v>1558.7</v>
      </c>
    </row>
    <row r="1295" spans="1:8" ht="24.75" customHeight="1">
      <c r="A1295" s="44" t="s">
        <v>394</v>
      </c>
      <c r="B1295" s="45" t="s">
        <v>3704</v>
      </c>
      <c r="C1295" s="45" t="s">
        <v>6719</v>
      </c>
      <c r="D1295" s="45" t="s">
        <v>6730</v>
      </c>
      <c r="E1295" s="44"/>
      <c r="F1295" s="37">
        <v>2</v>
      </c>
      <c r="G1295" s="37" t="s">
        <v>6864</v>
      </c>
      <c r="H1295" s="63">
        <v>1658.8</v>
      </c>
    </row>
    <row r="1296" spans="1:8" ht="24.75" customHeight="1">
      <c r="A1296" s="44" t="s">
        <v>725</v>
      </c>
      <c r="B1296" s="45" t="s">
        <v>3707</v>
      </c>
      <c r="C1296" s="45" t="s">
        <v>6719</v>
      </c>
      <c r="D1296" s="45" t="s">
        <v>6730</v>
      </c>
      <c r="E1296" s="44"/>
      <c r="F1296" s="37">
        <v>2</v>
      </c>
      <c r="G1296" s="37" t="s">
        <v>6864</v>
      </c>
      <c r="H1296" s="63">
        <v>886.6</v>
      </c>
    </row>
    <row r="1297" spans="1:8" ht="24.75" customHeight="1">
      <c r="A1297" s="44" t="s">
        <v>723</v>
      </c>
      <c r="B1297" s="45" t="s">
        <v>3705</v>
      </c>
      <c r="C1297" s="45" t="s">
        <v>6719</v>
      </c>
      <c r="D1297" s="45" t="s">
        <v>6730</v>
      </c>
      <c r="E1297" s="44"/>
      <c r="F1297" s="37">
        <v>4</v>
      </c>
      <c r="G1297" s="37" t="s">
        <v>6864</v>
      </c>
      <c r="H1297" s="63">
        <v>3989.7</v>
      </c>
    </row>
    <row r="1298" spans="1:8" ht="24.75" customHeight="1">
      <c r="A1298" s="44" t="s">
        <v>724</v>
      </c>
      <c r="B1298" s="45" t="s">
        <v>3706</v>
      </c>
      <c r="C1298" s="45" t="s">
        <v>6719</v>
      </c>
      <c r="D1298" s="45" t="s">
        <v>6730</v>
      </c>
      <c r="E1298" s="44"/>
      <c r="F1298" s="37">
        <v>4</v>
      </c>
      <c r="G1298" s="37" t="s">
        <v>6864</v>
      </c>
      <c r="H1298" s="63">
        <v>3989.7</v>
      </c>
    </row>
    <row r="1299" spans="1:8" ht="24.75" customHeight="1">
      <c r="A1299" s="44" t="s">
        <v>2038</v>
      </c>
      <c r="B1299" s="45" t="s">
        <v>5506</v>
      </c>
      <c r="C1299" s="45" t="s">
        <v>6719</v>
      </c>
      <c r="D1299" s="45" t="s">
        <v>6731</v>
      </c>
      <c r="E1299" s="44" t="s">
        <v>6839</v>
      </c>
      <c r="F1299" s="37">
        <v>1</v>
      </c>
      <c r="G1299" s="37" t="s">
        <v>6864</v>
      </c>
      <c r="H1299" s="63">
        <v>4475.8999999999996</v>
      </c>
    </row>
    <row r="1300" spans="1:8" ht="24.75" customHeight="1">
      <c r="A1300" s="44" t="s">
        <v>2935</v>
      </c>
      <c r="B1300" s="45" t="s">
        <v>5847</v>
      </c>
      <c r="C1300" s="45" t="s">
        <v>6719</v>
      </c>
      <c r="D1300" s="45" t="s">
        <v>6731</v>
      </c>
      <c r="E1300" s="44"/>
      <c r="F1300" s="37">
        <v>10</v>
      </c>
      <c r="G1300" s="37" t="s">
        <v>6864</v>
      </c>
      <c r="H1300" s="63">
        <v>1058.2</v>
      </c>
    </row>
    <row r="1301" spans="1:8" ht="24.75" customHeight="1">
      <c r="A1301" s="44" t="s">
        <v>2843</v>
      </c>
      <c r="B1301" s="45" t="s">
        <v>5849</v>
      </c>
      <c r="C1301" s="45" t="s">
        <v>6719</v>
      </c>
      <c r="D1301" s="45" t="s">
        <v>6731</v>
      </c>
      <c r="E1301" s="44" t="s">
        <v>6839</v>
      </c>
      <c r="F1301" s="37">
        <v>1</v>
      </c>
      <c r="G1301" s="37" t="s">
        <v>6864</v>
      </c>
      <c r="H1301" s="63">
        <v>59430.8</v>
      </c>
    </row>
    <row r="1302" spans="1:8" ht="24.75" customHeight="1">
      <c r="A1302" s="44" t="s">
        <v>1613</v>
      </c>
      <c r="B1302" s="45" t="s">
        <v>5502</v>
      </c>
      <c r="C1302" s="45" t="s">
        <v>6719</v>
      </c>
      <c r="D1302" s="45" t="s">
        <v>6731</v>
      </c>
      <c r="E1302" s="44" t="s">
        <v>6839</v>
      </c>
      <c r="F1302" s="37">
        <v>1</v>
      </c>
      <c r="G1302" s="37" t="s">
        <v>6864</v>
      </c>
      <c r="H1302" s="63">
        <v>42099.199999999997</v>
      </c>
    </row>
    <row r="1303" spans="1:8" ht="24.75" customHeight="1">
      <c r="A1303" s="44" t="s">
        <v>2829</v>
      </c>
      <c r="B1303" s="45" t="s">
        <v>5834</v>
      </c>
      <c r="C1303" s="45" t="s">
        <v>6719</v>
      </c>
      <c r="D1303" s="45" t="s">
        <v>6731</v>
      </c>
      <c r="E1303" s="44" t="s">
        <v>6839</v>
      </c>
      <c r="F1303" s="37">
        <v>1</v>
      </c>
      <c r="G1303" s="37" t="s">
        <v>6864</v>
      </c>
      <c r="H1303" s="63">
        <v>18432.7</v>
      </c>
    </row>
    <row r="1304" spans="1:8" ht="24.75" customHeight="1">
      <c r="A1304" s="44" t="s">
        <v>1445</v>
      </c>
      <c r="B1304" s="45" t="s">
        <v>5006</v>
      </c>
      <c r="C1304" s="45" t="s">
        <v>6719</v>
      </c>
      <c r="D1304" s="45" t="s">
        <v>6731</v>
      </c>
      <c r="E1304" s="44"/>
      <c r="F1304" s="37">
        <v>1</v>
      </c>
      <c r="G1304" s="37" t="s">
        <v>6864</v>
      </c>
      <c r="H1304" s="63">
        <v>41069.599999999999</v>
      </c>
    </row>
    <row r="1305" spans="1:8" ht="24.75" customHeight="1">
      <c r="A1305" s="44" t="s">
        <v>765</v>
      </c>
      <c r="B1305" s="45" t="s">
        <v>5958</v>
      </c>
      <c r="C1305" s="45" t="s">
        <v>6719</v>
      </c>
      <c r="D1305" s="45" t="s">
        <v>6731</v>
      </c>
      <c r="E1305" s="44" t="s">
        <v>6839</v>
      </c>
      <c r="F1305" s="37">
        <v>1</v>
      </c>
      <c r="G1305" s="37" t="s">
        <v>6864</v>
      </c>
      <c r="H1305" s="63">
        <v>13685.1</v>
      </c>
    </row>
    <row r="1306" spans="1:8" ht="24.75" customHeight="1">
      <c r="A1306" s="44" t="s">
        <v>1614</v>
      </c>
      <c r="B1306" s="45" t="s">
        <v>5503</v>
      </c>
      <c r="C1306" s="45" t="s">
        <v>6719</v>
      </c>
      <c r="D1306" s="45" t="s">
        <v>6731</v>
      </c>
      <c r="E1306" s="44" t="s">
        <v>6839</v>
      </c>
      <c r="F1306" s="37">
        <v>1</v>
      </c>
      <c r="G1306" s="37" t="s">
        <v>6864</v>
      </c>
      <c r="H1306" s="63">
        <v>6320.6</v>
      </c>
    </row>
    <row r="1307" spans="1:8" ht="24.75" customHeight="1">
      <c r="A1307" s="44" t="s">
        <v>2828</v>
      </c>
      <c r="B1307" s="45" t="s">
        <v>5833</v>
      </c>
      <c r="C1307" s="45" t="s">
        <v>6719</v>
      </c>
      <c r="D1307" s="45" t="s">
        <v>6731</v>
      </c>
      <c r="E1307" s="44" t="s">
        <v>6839</v>
      </c>
      <c r="F1307" s="37">
        <v>1</v>
      </c>
      <c r="G1307" s="37" t="s">
        <v>6864</v>
      </c>
      <c r="H1307" s="63">
        <v>4919.2</v>
      </c>
    </row>
    <row r="1308" spans="1:8" ht="24.75" customHeight="1">
      <c r="A1308" s="44" t="s">
        <v>2842</v>
      </c>
      <c r="B1308" s="45" t="s">
        <v>5848</v>
      </c>
      <c r="C1308" s="45" t="s">
        <v>6719</v>
      </c>
      <c r="D1308" s="45" t="s">
        <v>6731</v>
      </c>
      <c r="E1308" s="44" t="s">
        <v>6839</v>
      </c>
      <c r="F1308" s="37">
        <v>1</v>
      </c>
      <c r="G1308" s="37" t="s">
        <v>2568</v>
      </c>
      <c r="H1308" s="63">
        <v>4347.2</v>
      </c>
    </row>
    <row r="1309" spans="1:8" ht="24.75" customHeight="1">
      <c r="A1309" s="44" t="s">
        <v>768</v>
      </c>
      <c r="B1309" s="45" t="s">
        <v>5961</v>
      </c>
      <c r="C1309" s="45" t="s">
        <v>6719</v>
      </c>
      <c r="D1309" s="45" t="s">
        <v>6731</v>
      </c>
      <c r="E1309" s="44" t="s">
        <v>6839</v>
      </c>
      <c r="F1309" s="37">
        <v>1</v>
      </c>
      <c r="G1309" s="37" t="s">
        <v>2568</v>
      </c>
      <c r="H1309" s="63">
        <v>2960.1</v>
      </c>
    </row>
    <row r="1310" spans="1:8" ht="24.75" customHeight="1">
      <c r="A1310" s="44" t="s">
        <v>1251</v>
      </c>
      <c r="B1310" s="45" t="s">
        <v>4914</v>
      </c>
      <c r="C1310" s="45" t="s">
        <v>6719</v>
      </c>
      <c r="D1310" s="45" t="s">
        <v>6731</v>
      </c>
      <c r="E1310" s="44" t="s">
        <v>6839</v>
      </c>
      <c r="F1310" s="37">
        <v>1</v>
      </c>
      <c r="G1310" s="37" t="s">
        <v>6864</v>
      </c>
      <c r="H1310" s="63">
        <v>9652.5</v>
      </c>
    </row>
    <row r="1311" spans="1:8" ht="24.75" customHeight="1">
      <c r="A1311" s="44" t="s">
        <v>1472</v>
      </c>
      <c r="B1311" s="45" t="s">
        <v>5039</v>
      </c>
      <c r="C1311" s="45" t="s">
        <v>6719</v>
      </c>
      <c r="D1311" s="45" t="s">
        <v>6731</v>
      </c>
      <c r="E1311" s="44"/>
      <c r="F1311" s="37">
        <v>1</v>
      </c>
      <c r="G1311" s="37" t="s">
        <v>2568</v>
      </c>
      <c r="H1311" s="63">
        <v>14543.1</v>
      </c>
    </row>
    <row r="1312" spans="1:8" ht="24.75" customHeight="1">
      <c r="A1312" s="44" t="s">
        <v>771</v>
      </c>
      <c r="B1312" s="45" t="s">
        <v>5959</v>
      </c>
      <c r="C1312" s="45" t="s">
        <v>6719</v>
      </c>
      <c r="D1312" s="45" t="s">
        <v>6731</v>
      </c>
      <c r="E1312" s="44" t="s">
        <v>6839</v>
      </c>
      <c r="F1312" s="37">
        <v>1</v>
      </c>
      <c r="G1312" s="37" t="s">
        <v>2568</v>
      </c>
      <c r="H1312" s="63">
        <v>8222.5</v>
      </c>
    </row>
    <row r="1313" spans="1:8" ht="24.75" customHeight="1">
      <c r="A1313" s="44" t="s">
        <v>1848</v>
      </c>
      <c r="B1313" s="45" t="s">
        <v>5266</v>
      </c>
      <c r="C1313" s="45" t="s">
        <v>6719</v>
      </c>
      <c r="D1313" s="45" t="s">
        <v>6731</v>
      </c>
      <c r="E1313" s="44" t="s">
        <v>6855</v>
      </c>
      <c r="F1313" s="37">
        <v>1</v>
      </c>
      <c r="G1313" s="37" t="s">
        <v>2568</v>
      </c>
      <c r="H1313" s="63">
        <v>7135.7</v>
      </c>
    </row>
    <row r="1314" spans="1:8" ht="24.75" customHeight="1">
      <c r="A1314" s="44" t="s">
        <v>2353</v>
      </c>
      <c r="B1314" s="45" t="s">
        <v>4806</v>
      </c>
      <c r="C1314" s="45" t="s">
        <v>6719</v>
      </c>
      <c r="D1314" s="45" t="s">
        <v>6731</v>
      </c>
      <c r="E1314" s="44" t="s">
        <v>6855</v>
      </c>
      <c r="F1314" s="37">
        <v>1</v>
      </c>
      <c r="G1314" s="37" t="s">
        <v>2568</v>
      </c>
      <c r="H1314" s="63">
        <v>6721</v>
      </c>
    </row>
    <row r="1315" spans="1:8" ht="24.75" customHeight="1">
      <c r="A1315" s="44" t="s">
        <v>1865</v>
      </c>
      <c r="B1315" s="45" t="s">
        <v>5282</v>
      </c>
      <c r="C1315" s="45" t="s">
        <v>6719</v>
      </c>
      <c r="D1315" s="45" t="s">
        <v>6731</v>
      </c>
      <c r="E1315" s="44" t="s">
        <v>6855</v>
      </c>
      <c r="F1315" s="37">
        <v>1</v>
      </c>
      <c r="G1315" s="37" t="s">
        <v>2568</v>
      </c>
      <c r="H1315" s="63">
        <v>7264.4</v>
      </c>
    </row>
    <row r="1316" spans="1:8" ht="24.75" customHeight="1">
      <c r="A1316" s="44" t="s">
        <v>584</v>
      </c>
      <c r="B1316" s="45" t="s">
        <v>3690</v>
      </c>
      <c r="C1316" s="45" t="s">
        <v>6719</v>
      </c>
      <c r="D1316" s="45" t="s">
        <v>6731</v>
      </c>
      <c r="E1316" s="44" t="s">
        <v>6855</v>
      </c>
      <c r="F1316" s="37">
        <v>1</v>
      </c>
      <c r="G1316" s="37" t="s">
        <v>2568</v>
      </c>
      <c r="H1316" s="63">
        <v>3975.4</v>
      </c>
    </row>
    <row r="1317" spans="1:8" ht="24.75" customHeight="1">
      <c r="A1317" s="44" t="s">
        <v>585</v>
      </c>
      <c r="B1317" s="45" t="s">
        <v>3691</v>
      </c>
      <c r="C1317" s="45" t="s">
        <v>6719</v>
      </c>
      <c r="D1317" s="45" t="s">
        <v>6731</v>
      </c>
      <c r="E1317" s="44" t="s">
        <v>6855</v>
      </c>
      <c r="F1317" s="37">
        <v>1</v>
      </c>
      <c r="G1317" s="37" t="s">
        <v>2568</v>
      </c>
      <c r="H1317" s="63">
        <v>3389.1</v>
      </c>
    </row>
    <row r="1318" spans="1:8" ht="24.75" customHeight="1">
      <c r="A1318" s="44" t="s">
        <v>587</v>
      </c>
      <c r="B1318" s="45" t="s">
        <v>3693</v>
      </c>
      <c r="C1318" s="45" t="s">
        <v>6719</v>
      </c>
      <c r="D1318" s="45" t="s">
        <v>6731</v>
      </c>
      <c r="E1318" s="44"/>
      <c r="F1318" s="37">
        <v>25</v>
      </c>
      <c r="G1318" s="37" t="s">
        <v>6864</v>
      </c>
      <c r="H1318" s="63">
        <v>1129.7</v>
      </c>
    </row>
    <row r="1319" spans="1:8" ht="24.75" customHeight="1">
      <c r="A1319" s="44" t="s">
        <v>586</v>
      </c>
      <c r="B1319" s="45" t="s">
        <v>3692</v>
      </c>
      <c r="C1319" s="45" t="s">
        <v>6719</v>
      </c>
      <c r="D1319" s="45" t="s">
        <v>6731</v>
      </c>
      <c r="E1319" s="44" t="s">
        <v>6855</v>
      </c>
      <c r="F1319" s="37">
        <v>1</v>
      </c>
      <c r="G1319" s="37" t="s">
        <v>2568</v>
      </c>
      <c r="H1319" s="63">
        <v>5105.1000000000004</v>
      </c>
    </row>
    <row r="1320" spans="1:8" ht="24.75" customHeight="1">
      <c r="A1320" s="44" t="s">
        <v>2011</v>
      </c>
      <c r="B1320" s="45" t="s">
        <v>3696</v>
      </c>
      <c r="C1320" s="45" t="s">
        <v>6719</v>
      </c>
      <c r="D1320" s="45" t="s">
        <v>6731</v>
      </c>
      <c r="E1320" s="44"/>
      <c r="F1320" s="37">
        <v>25</v>
      </c>
      <c r="G1320" s="37" t="s">
        <v>6864</v>
      </c>
      <c r="H1320" s="63">
        <v>1401.4</v>
      </c>
    </row>
    <row r="1321" spans="1:8" ht="24.75" customHeight="1">
      <c r="A1321" s="44" t="s">
        <v>2437</v>
      </c>
      <c r="B1321" s="45" t="s">
        <v>4807</v>
      </c>
      <c r="C1321" s="45" t="s">
        <v>6719</v>
      </c>
      <c r="D1321" s="45" t="s">
        <v>6731</v>
      </c>
      <c r="E1321" s="44"/>
      <c r="F1321" s="37">
        <v>1</v>
      </c>
      <c r="G1321" s="37" t="s">
        <v>2568</v>
      </c>
      <c r="H1321" s="63">
        <v>4962.1000000000004</v>
      </c>
    </row>
    <row r="1322" spans="1:8" ht="24.75" customHeight="1">
      <c r="A1322" s="44" t="s">
        <v>2013</v>
      </c>
      <c r="B1322" s="45" t="s">
        <v>3698</v>
      </c>
      <c r="C1322" s="45" t="s">
        <v>6719</v>
      </c>
      <c r="D1322" s="45" t="s">
        <v>6731</v>
      </c>
      <c r="E1322" s="44"/>
      <c r="F1322" s="37">
        <v>25</v>
      </c>
      <c r="G1322" s="37" t="s">
        <v>6864</v>
      </c>
      <c r="H1322" s="63">
        <v>1129.7</v>
      </c>
    </row>
    <row r="1323" spans="1:8" ht="24.75" customHeight="1">
      <c r="A1323" s="44" t="s">
        <v>2014</v>
      </c>
      <c r="B1323" s="45" t="s">
        <v>3699</v>
      </c>
      <c r="C1323" s="45" t="s">
        <v>6719</v>
      </c>
      <c r="D1323" s="45" t="s">
        <v>6731</v>
      </c>
      <c r="E1323" s="44"/>
      <c r="F1323" s="37">
        <v>25</v>
      </c>
      <c r="G1323" s="37" t="s">
        <v>6864</v>
      </c>
      <c r="H1323" s="63">
        <v>1344.2</v>
      </c>
    </row>
    <row r="1324" spans="1:8" ht="24.75" customHeight="1">
      <c r="A1324" s="44" t="s">
        <v>391</v>
      </c>
      <c r="B1324" s="45" t="s">
        <v>3694</v>
      </c>
      <c r="C1324" s="45" t="s">
        <v>6719</v>
      </c>
      <c r="D1324" s="45" t="s">
        <v>6731</v>
      </c>
      <c r="E1324" s="44"/>
      <c r="F1324" s="37">
        <v>25</v>
      </c>
      <c r="G1324" s="37" t="s">
        <v>6864</v>
      </c>
      <c r="H1324" s="63">
        <v>1129.7</v>
      </c>
    </row>
    <row r="1325" spans="1:8" ht="24.75" customHeight="1">
      <c r="A1325" s="44" t="s">
        <v>2010</v>
      </c>
      <c r="B1325" s="45" t="s">
        <v>3695</v>
      </c>
      <c r="C1325" s="45" t="s">
        <v>6719</v>
      </c>
      <c r="D1325" s="45" t="s">
        <v>6731</v>
      </c>
      <c r="E1325" s="44" t="s">
        <v>6855</v>
      </c>
      <c r="F1325" s="37">
        <v>1</v>
      </c>
      <c r="G1325" s="37" t="s">
        <v>2568</v>
      </c>
      <c r="H1325" s="63">
        <v>5319.6</v>
      </c>
    </row>
    <row r="1326" spans="1:8" ht="24.75" customHeight="1">
      <c r="A1326" s="44" t="s">
        <v>2012</v>
      </c>
      <c r="B1326" s="45" t="s">
        <v>3697</v>
      </c>
      <c r="C1326" s="45" t="s">
        <v>6719</v>
      </c>
      <c r="D1326" s="45" t="s">
        <v>6731</v>
      </c>
      <c r="E1326" s="44" t="s">
        <v>6855</v>
      </c>
      <c r="F1326" s="37">
        <v>1</v>
      </c>
      <c r="G1326" s="37" t="s">
        <v>2568</v>
      </c>
      <c r="H1326" s="63">
        <v>6077.5</v>
      </c>
    </row>
    <row r="1327" spans="1:8" ht="24.75" customHeight="1">
      <c r="A1327" s="44" t="s">
        <v>301</v>
      </c>
      <c r="B1327" s="45" t="s">
        <v>5644</v>
      </c>
      <c r="C1327" s="45" t="s">
        <v>6719</v>
      </c>
      <c r="D1327" s="45" t="s">
        <v>6731</v>
      </c>
      <c r="E1327" s="44" t="s">
        <v>6839</v>
      </c>
      <c r="F1327" s="37">
        <v>1</v>
      </c>
      <c r="G1327" s="37" t="s">
        <v>2568</v>
      </c>
      <c r="H1327" s="63">
        <v>72930</v>
      </c>
    </row>
    <row r="1328" spans="1:8" ht="24.75" customHeight="1">
      <c r="A1328" s="44" t="s">
        <v>1495</v>
      </c>
      <c r="B1328" s="45" t="s">
        <v>5627</v>
      </c>
      <c r="C1328" s="45" t="s">
        <v>6719</v>
      </c>
      <c r="D1328" s="45" t="s">
        <v>6731</v>
      </c>
      <c r="E1328" s="44" t="s">
        <v>6839</v>
      </c>
      <c r="F1328" s="37">
        <v>1</v>
      </c>
      <c r="G1328" s="37" t="s">
        <v>6864</v>
      </c>
      <c r="H1328" s="63">
        <v>28843.1</v>
      </c>
    </row>
    <row r="1329" spans="1:8" ht="24.75" customHeight="1">
      <c r="A1329" s="44" t="s">
        <v>2837</v>
      </c>
      <c r="B1329" s="45" t="s">
        <v>5842</v>
      </c>
      <c r="C1329" s="45" t="s">
        <v>6719</v>
      </c>
      <c r="D1329" s="45" t="s">
        <v>6731</v>
      </c>
      <c r="E1329" s="44" t="s">
        <v>6839</v>
      </c>
      <c r="F1329" s="37">
        <v>1</v>
      </c>
      <c r="G1329" s="37" t="s">
        <v>6864</v>
      </c>
      <c r="H1329" s="63">
        <v>24839.1</v>
      </c>
    </row>
    <row r="1330" spans="1:8" ht="24.75" customHeight="1">
      <c r="A1330" s="44" t="s">
        <v>1056</v>
      </c>
      <c r="B1330" s="45" t="s">
        <v>5186</v>
      </c>
      <c r="C1330" s="45" t="s">
        <v>6719</v>
      </c>
      <c r="D1330" s="45" t="s">
        <v>6731</v>
      </c>
      <c r="E1330" s="44" t="s">
        <v>6839</v>
      </c>
      <c r="F1330" s="37">
        <v>1</v>
      </c>
      <c r="G1330" s="37" t="s">
        <v>6864</v>
      </c>
      <c r="H1330" s="63">
        <v>27627.599999999999</v>
      </c>
    </row>
    <row r="1331" spans="1:8" ht="24.75" customHeight="1">
      <c r="A1331" s="44" t="s">
        <v>527</v>
      </c>
      <c r="B1331" s="45" t="s">
        <v>5734</v>
      </c>
      <c r="C1331" s="45" t="s">
        <v>6719</v>
      </c>
      <c r="D1331" s="45" t="s">
        <v>6731</v>
      </c>
      <c r="E1331" s="44" t="s">
        <v>6839</v>
      </c>
      <c r="F1331" s="37">
        <v>1</v>
      </c>
      <c r="G1331" s="37" t="s">
        <v>6864</v>
      </c>
      <c r="H1331" s="63">
        <v>27627.599999999999</v>
      </c>
    </row>
    <row r="1332" spans="1:8" ht="24.75" customHeight="1">
      <c r="A1332" s="44" t="s">
        <v>1136</v>
      </c>
      <c r="B1332" s="45" t="s">
        <v>5607</v>
      </c>
      <c r="C1332" s="45" t="s">
        <v>6719</v>
      </c>
      <c r="D1332" s="45" t="s">
        <v>6731</v>
      </c>
      <c r="E1332" s="44" t="s">
        <v>6839</v>
      </c>
      <c r="F1332" s="37">
        <v>1</v>
      </c>
      <c r="G1332" s="37" t="s">
        <v>6864</v>
      </c>
      <c r="H1332" s="63">
        <v>60231.6</v>
      </c>
    </row>
    <row r="1333" spans="1:8" ht="24.75" customHeight="1">
      <c r="A1333" s="44" t="s">
        <v>2831</v>
      </c>
      <c r="B1333" s="45" t="s">
        <v>5836</v>
      </c>
      <c r="C1333" s="45" t="s">
        <v>6719</v>
      </c>
      <c r="D1333" s="45" t="s">
        <v>6731</v>
      </c>
      <c r="E1333" s="44" t="s">
        <v>6839</v>
      </c>
      <c r="F1333" s="37">
        <v>1</v>
      </c>
      <c r="G1333" s="37" t="s">
        <v>2568</v>
      </c>
      <c r="H1333" s="63">
        <v>40940.9</v>
      </c>
    </row>
    <row r="1334" spans="1:8" ht="24.75" customHeight="1">
      <c r="A1334" s="44" t="s">
        <v>685</v>
      </c>
      <c r="B1334" s="45" t="s">
        <v>5094</v>
      </c>
      <c r="C1334" s="45" t="s">
        <v>6719</v>
      </c>
      <c r="D1334" s="45" t="s">
        <v>6731</v>
      </c>
      <c r="E1334" s="44" t="s">
        <v>6839</v>
      </c>
      <c r="F1334" s="37">
        <v>1</v>
      </c>
      <c r="G1334" s="37" t="s">
        <v>6864</v>
      </c>
      <c r="H1334" s="63">
        <v>9395.1</v>
      </c>
    </row>
    <row r="1335" spans="1:8" ht="24.75" customHeight="1">
      <c r="A1335" s="44" t="s">
        <v>2039</v>
      </c>
      <c r="B1335" s="45" t="s">
        <v>5505</v>
      </c>
      <c r="C1335" s="45" t="s">
        <v>6719</v>
      </c>
      <c r="D1335" s="45" t="s">
        <v>6731</v>
      </c>
      <c r="E1335" s="44" t="s">
        <v>6839</v>
      </c>
      <c r="F1335" s="37">
        <v>1</v>
      </c>
      <c r="G1335" s="37" t="s">
        <v>6864</v>
      </c>
      <c r="H1335" s="63">
        <v>4118.3999999999996</v>
      </c>
    </row>
    <row r="1336" spans="1:8" ht="24.75" customHeight="1">
      <c r="A1336" s="44" t="s">
        <v>1494</v>
      </c>
      <c r="B1336" s="45" t="s">
        <v>5962</v>
      </c>
      <c r="C1336" s="45" t="s">
        <v>6719</v>
      </c>
      <c r="D1336" s="45" t="s">
        <v>6731</v>
      </c>
      <c r="E1336" s="44" t="s">
        <v>6839</v>
      </c>
      <c r="F1336" s="37">
        <v>1</v>
      </c>
      <c r="G1336" s="37" t="s">
        <v>2568</v>
      </c>
      <c r="H1336" s="63">
        <v>3217.5</v>
      </c>
    </row>
    <row r="1337" spans="1:8" ht="24.75" customHeight="1">
      <c r="A1337" s="44" t="s">
        <v>1456</v>
      </c>
      <c r="B1337" s="45" t="s">
        <v>5021</v>
      </c>
      <c r="C1337" s="45" t="s">
        <v>6719</v>
      </c>
      <c r="D1337" s="45" t="s">
        <v>6731</v>
      </c>
      <c r="E1337" s="44"/>
      <c r="F1337" s="37">
        <v>1</v>
      </c>
      <c r="G1337" s="37" t="s">
        <v>6864</v>
      </c>
      <c r="H1337" s="63">
        <v>10095.799999999999</v>
      </c>
    </row>
    <row r="1338" spans="1:8" ht="24.75" customHeight="1">
      <c r="A1338" s="44" t="s">
        <v>2838</v>
      </c>
      <c r="B1338" s="45" t="s">
        <v>5843</v>
      </c>
      <c r="C1338" s="45" t="s">
        <v>6719</v>
      </c>
      <c r="D1338" s="45" t="s">
        <v>6731</v>
      </c>
      <c r="E1338" s="44" t="s">
        <v>6839</v>
      </c>
      <c r="F1338" s="37">
        <v>1</v>
      </c>
      <c r="G1338" s="37" t="s">
        <v>6864</v>
      </c>
      <c r="H1338" s="63">
        <v>5791.5</v>
      </c>
    </row>
    <row r="1339" spans="1:8" ht="24.75" customHeight="1">
      <c r="A1339" s="44" t="s">
        <v>1161</v>
      </c>
      <c r="B1339" s="45" t="s">
        <v>4800</v>
      </c>
      <c r="C1339" s="45" t="s">
        <v>6719</v>
      </c>
      <c r="D1339" s="45" t="s">
        <v>6731</v>
      </c>
      <c r="E1339" s="44"/>
      <c r="F1339" s="37">
        <v>25</v>
      </c>
      <c r="G1339" s="37" t="s">
        <v>6864</v>
      </c>
      <c r="H1339" s="63">
        <v>357.5</v>
      </c>
    </row>
    <row r="1340" spans="1:8" ht="24.75" customHeight="1">
      <c r="A1340" s="44" t="s">
        <v>1468</v>
      </c>
      <c r="B1340" s="45" t="s">
        <v>5035</v>
      </c>
      <c r="C1340" s="45" t="s">
        <v>6719</v>
      </c>
      <c r="D1340" s="45" t="s">
        <v>6731</v>
      </c>
      <c r="E1340" s="44"/>
      <c r="F1340" s="37">
        <v>10</v>
      </c>
      <c r="G1340" s="37" t="s">
        <v>6864</v>
      </c>
      <c r="H1340" s="63">
        <v>4447.3</v>
      </c>
    </row>
    <row r="1341" spans="1:8" ht="24.75" customHeight="1">
      <c r="A1341" s="44" t="s">
        <v>2830</v>
      </c>
      <c r="B1341" s="45" t="s">
        <v>5835</v>
      </c>
      <c r="C1341" s="45" t="s">
        <v>6719</v>
      </c>
      <c r="D1341" s="45" t="s">
        <v>6731</v>
      </c>
      <c r="E1341" s="44" t="s">
        <v>6839</v>
      </c>
      <c r="F1341" s="37">
        <v>1</v>
      </c>
      <c r="G1341" s="37" t="s">
        <v>6864</v>
      </c>
      <c r="H1341" s="63">
        <v>1472.9</v>
      </c>
    </row>
    <row r="1342" spans="1:8" ht="24.75" customHeight="1">
      <c r="A1342" s="44" t="s">
        <v>1458</v>
      </c>
      <c r="B1342" s="45" t="s">
        <v>5024</v>
      </c>
      <c r="C1342" s="45" t="s">
        <v>6719</v>
      </c>
      <c r="D1342" s="45" t="s">
        <v>6731</v>
      </c>
      <c r="E1342" s="44" t="s">
        <v>956</v>
      </c>
      <c r="F1342" s="37">
        <v>1</v>
      </c>
      <c r="G1342" s="37" t="s">
        <v>2568</v>
      </c>
      <c r="H1342" s="63">
        <v>1144</v>
      </c>
    </row>
    <row r="1343" spans="1:8" ht="24.75" customHeight="1">
      <c r="A1343" s="44" t="s">
        <v>800</v>
      </c>
      <c r="B1343" s="45" t="s">
        <v>5960</v>
      </c>
      <c r="C1343" s="45" t="s">
        <v>6719</v>
      </c>
      <c r="D1343" s="45" t="s">
        <v>6731</v>
      </c>
      <c r="E1343" s="44" t="s">
        <v>6839</v>
      </c>
      <c r="F1343" s="37">
        <v>1</v>
      </c>
      <c r="G1343" s="37" t="s">
        <v>2568</v>
      </c>
      <c r="H1343" s="63">
        <v>1229.8</v>
      </c>
    </row>
    <row r="1344" spans="1:8" ht="24.75" customHeight="1">
      <c r="A1344" s="44" t="s">
        <v>1457</v>
      </c>
      <c r="B1344" s="45" t="s">
        <v>5023</v>
      </c>
      <c r="C1344" s="45" t="s">
        <v>6719</v>
      </c>
      <c r="D1344" s="45" t="s">
        <v>6731</v>
      </c>
      <c r="E1344" s="44"/>
      <c r="F1344" s="37">
        <v>10</v>
      </c>
      <c r="G1344" s="37" t="s">
        <v>6864</v>
      </c>
      <c r="H1344" s="63">
        <v>171.6</v>
      </c>
    </row>
    <row r="1345" spans="1:8" ht="24.75" customHeight="1">
      <c r="A1345" s="44" t="s">
        <v>3088</v>
      </c>
      <c r="B1345" s="45" t="s">
        <v>3700</v>
      </c>
      <c r="C1345" s="45" t="s">
        <v>6719</v>
      </c>
      <c r="D1345" s="45" t="s">
        <v>6731</v>
      </c>
      <c r="E1345" s="44" t="s">
        <v>6855</v>
      </c>
      <c r="F1345" s="37">
        <v>1</v>
      </c>
      <c r="G1345" s="37" t="s">
        <v>2568</v>
      </c>
      <c r="H1345" s="63">
        <v>4633.2</v>
      </c>
    </row>
    <row r="1346" spans="1:8" ht="24.75" customHeight="1">
      <c r="A1346" s="44" t="s">
        <v>1474</v>
      </c>
      <c r="B1346" s="45" t="s">
        <v>5042</v>
      </c>
      <c r="C1346" s="45" t="s">
        <v>6719</v>
      </c>
      <c r="D1346" s="45" t="s">
        <v>6731</v>
      </c>
      <c r="E1346" s="44"/>
      <c r="F1346" s="37">
        <v>1</v>
      </c>
      <c r="G1346" s="37" t="s">
        <v>2568</v>
      </c>
      <c r="H1346" s="63">
        <v>2059.1999999999998</v>
      </c>
    </row>
    <row r="1347" spans="1:8" ht="24.75" customHeight="1">
      <c r="A1347" s="44" t="s">
        <v>1615</v>
      </c>
      <c r="B1347" s="45" t="s">
        <v>5504</v>
      </c>
      <c r="C1347" s="45" t="s">
        <v>6719</v>
      </c>
      <c r="D1347" s="45" t="s">
        <v>6731</v>
      </c>
      <c r="E1347" s="44" t="s">
        <v>6839</v>
      </c>
      <c r="F1347" s="37">
        <v>1</v>
      </c>
      <c r="G1347" s="37" t="s">
        <v>6864</v>
      </c>
      <c r="H1347" s="63">
        <v>6106.1</v>
      </c>
    </row>
    <row r="1348" spans="1:8" ht="24.75" customHeight="1">
      <c r="A1348" s="44" t="s">
        <v>2832</v>
      </c>
      <c r="B1348" s="45" t="s">
        <v>5837</v>
      </c>
      <c r="C1348" s="45" t="s">
        <v>6719</v>
      </c>
      <c r="D1348" s="45" t="s">
        <v>6731</v>
      </c>
      <c r="E1348" s="44" t="s">
        <v>6839</v>
      </c>
      <c r="F1348" s="37">
        <v>1</v>
      </c>
      <c r="G1348" s="37" t="s">
        <v>6864</v>
      </c>
      <c r="H1348" s="63">
        <v>5448.3</v>
      </c>
    </row>
    <row r="1349" spans="1:8" ht="24.75" customHeight="1">
      <c r="A1349" s="44" t="s">
        <v>1452</v>
      </c>
      <c r="B1349" s="45" t="s">
        <v>5013</v>
      </c>
      <c r="C1349" s="45" t="s">
        <v>6719</v>
      </c>
      <c r="D1349" s="45" t="s">
        <v>6731</v>
      </c>
      <c r="E1349" s="44"/>
      <c r="F1349" s="37">
        <v>2</v>
      </c>
      <c r="G1349" s="37" t="s">
        <v>6864</v>
      </c>
      <c r="H1349" s="63">
        <v>3131.7</v>
      </c>
    </row>
    <row r="1350" spans="1:8" ht="24.75" customHeight="1">
      <c r="A1350" s="44" t="s">
        <v>1180</v>
      </c>
      <c r="B1350" s="45" t="s">
        <v>5154</v>
      </c>
      <c r="C1350" s="45" t="s">
        <v>6719</v>
      </c>
      <c r="D1350" s="45" t="s">
        <v>6732</v>
      </c>
      <c r="E1350" s="44"/>
      <c r="F1350" s="37">
        <v>10</v>
      </c>
      <c r="G1350" s="37" t="s">
        <v>6864</v>
      </c>
      <c r="H1350" s="63">
        <v>1058.2</v>
      </c>
    </row>
    <row r="1351" spans="1:8" ht="24.75" customHeight="1">
      <c r="A1351" s="44" t="s">
        <v>529</v>
      </c>
      <c r="B1351" s="45" t="s">
        <v>5736</v>
      </c>
      <c r="C1351" s="45" t="s">
        <v>6719</v>
      </c>
      <c r="D1351" s="45" t="s">
        <v>6732</v>
      </c>
      <c r="E1351" s="44"/>
      <c r="F1351" s="37">
        <v>10</v>
      </c>
      <c r="G1351" s="37" t="s">
        <v>6864</v>
      </c>
      <c r="H1351" s="63">
        <v>1415.7</v>
      </c>
    </row>
    <row r="1352" spans="1:8" ht="24.75" customHeight="1">
      <c r="A1352" s="44" t="s">
        <v>1616</v>
      </c>
      <c r="B1352" s="45" t="s">
        <v>5507</v>
      </c>
      <c r="C1352" s="45" t="s">
        <v>6719</v>
      </c>
      <c r="D1352" s="45" t="s">
        <v>6732</v>
      </c>
      <c r="E1352" s="44" t="s">
        <v>6839</v>
      </c>
      <c r="F1352" s="37">
        <v>1</v>
      </c>
      <c r="G1352" s="37" t="s">
        <v>6864</v>
      </c>
      <c r="H1352" s="63">
        <v>5419.7</v>
      </c>
    </row>
    <row r="1353" spans="1:8" ht="24.75" customHeight="1">
      <c r="A1353" s="44" t="s">
        <v>1455</v>
      </c>
      <c r="B1353" s="45" t="s">
        <v>5017</v>
      </c>
      <c r="C1353" s="45" t="s">
        <v>6719</v>
      </c>
      <c r="D1353" s="45" t="s">
        <v>6732</v>
      </c>
      <c r="E1353" s="44"/>
      <c r="F1353" s="37">
        <v>5</v>
      </c>
      <c r="G1353" s="37" t="s">
        <v>6864</v>
      </c>
      <c r="H1353" s="63">
        <v>2559.6999999999998</v>
      </c>
    </row>
    <row r="1354" spans="1:8" ht="24.75" customHeight="1">
      <c r="A1354" s="44" t="s">
        <v>2826</v>
      </c>
      <c r="B1354" s="45" t="s">
        <v>5831</v>
      </c>
      <c r="C1354" s="45" t="s">
        <v>6719</v>
      </c>
      <c r="D1354" s="45" t="s">
        <v>6732</v>
      </c>
      <c r="E1354" s="44"/>
      <c r="F1354" s="37">
        <v>1</v>
      </c>
      <c r="G1354" s="37" t="s">
        <v>6864</v>
      </c>
      <c r="H1354" s="63">
        <v>3603.6</v>
      </c>
    </row>
    <row r="1355" spans="1:8" ht="24.75" customHeight="1">
      <c r="A1355" s="44" t="s">
        <v>1461</v>
      </c>
      <c r="B1355" s="45" t="s">
        <v>5027</v>
      </c>
      <c r="C1355" s="45" t="s">
        <v>6719</v>
      </c>
      <c r="D1355" s="45" t="s">
        <v>6732</v>
      </c>
      <c r="E1355" s="44"/>
      <c r="F1355" s="37">
        <v>1</v>
      </c>
      <c r="G1355" s="37" t="s">
        <v>6864</v>
      </c>
      <c r="H1355" s="63">
        <v>8093.8</v>
      </c>
    </row>
    <row r="1356" spans="1:8" ht="24.75" customHeight="1">
      <c r="A1356" s="44" t="s">
        <v>1181</v>
      </c>
      <c r="B1356" s="45" t="s">
        <v>5155</v>
      </c>
      <c r="C1356" s="45" t="s">
        <v>6719</v>
      </c>
      <c r="D1356" s="45" t="s">
        <v>6732</v>
      </c>
      <c r="E1356" s="44" t="s">
        <v>6839</v>
      </c>
      <c r="F1356" s="37">
        <v>1</v>
      </c>
      <c r="G1356" s="37" t="s">
        <v>6864</v>
      </c>
      <c r="H1356" s="63">
        <v>12541.1</v>
      </c>
    </row>
    <row r="1357" spans="1:8" ht="24.75" customHeight="1">
      <c r="A1357" s="44" t="s">
        <v>2933</v>
      </c>
      <c r="B1357" s="45" t="s">
        <v>6075</v>
      </c>
      <c r="C1357" s="45" t="s">
        <v>6719</v>
      </c>
      <c r="D1357" s="45" t="s">
        <v>6732</v>
      </c>
      <c r="E1357" s="44"/>
      <c r="F1357" s="37">
        <v>1</v>
      </c>
      <c r="G1357" s="37" t="s">
        <v>6864</v>
      </c>
      <c r="H1357" s="63">
        <v>5076.5</v>
      </c>
    </row>
    <row r="1358" spans="1:8" ht="24.75" customHeight="1">
      <c r="A1358" s="44" t="s">
        <v>1484</v>
      </c>
      <c r="B1358" s="45" t="s">
        <v>5955</v>
      </c>
      <c r="C1358" s="45" t="s">
        <v>6719</v>
      </c>
      <c r="D1358" s="45" t="s">
        <v>6732</v>
      </c>
      <c r="E1358" s="44" t="s">
        <v>6839</v>
      </c>
      <c r="F1358" s="37">
        <v>1</v>
      </c>
      <c r="G1358" s="37" t="s">
        <v>6864</v>
      </c>
      <c r="H1358" s="63">
        <v>4275.7</v>
      </c>
    </row>
    <row r="1359" spans="1:8" ht="24.75" customHeight="1">
      <c r="A1359" s="44" t="s">
        <v>1460</v>
      </c>
      <c r="B1359" s="45" t="s">
        <v>5026</v>
      </c>
      <c r="C1359" s="45" t="s">
        <v>6719</v>
      </c>
      <c r="D1359" s="45" t="s">
        <v>6732</v>
      </c>
      <c r="E1359" s="44"/>
      <c r="F1359" s="37">
        <v>1</v>
      </c>
      <c r="G1359" s="37" t="s">
        <v>6864</v>
      </c>
      <c r="H1359" s="63">
        <v>6563.7</v>
      </c>
    </row>
    <row r="1360" spans="1:8" ht="24.75" customHeight="1">
      <c r="A1360" s="44" t="s">
        <v>1463</v>
      </c>
      <c r="B1360" s="45" t="s">
        <v>5029</v>
      </c>
      <c r="C1360" s="45" t="s">
        <v>6719</v>
      </c>
      <c r="D1360" s="45" t="s">
        <v>6732</v>
      </c>
      <c r="E1360" s="44"/>
      <c r="F1360" s="37">
        <v>1</v>
      </c>
      <c r="G1360" s="37" t="s">
        <v>6864</v>
      </c>
      <c r="H1360" s="63">
        <v>7135.7</v>
      </c>
    </row>
    <row r="1361" spans="1:8" ht="24.75" customHeight="1">
      <c r="A1361" s="44" t="s">
        <v>2581</v>
      </c>
      <c r="B1361" s="45" t="s">
        <v>3979</v>
      </c>
      <c r="C1361" s="45" t="s">
        <v>6719</v>
      </c>
      <c r="D1361" s="45" t="s">
        <v>6733</v>
      </c>
      <c r="E1361" s="44"/>
      <c r="F1361" s="37">
        <v>50</v>
      </c>
      <c r="G1361" s="37" t="s">
        <v>6864</v>
      </c>
      <c r="H1361" s="63">
        <v>343.2</v>
      </c>
    </row>
    <row r="1362" spans="1:8" ht="24.75" customHeight="1">
      <c r="A1362" s="44" t="s">
        <v>386</v>
      </c>
      <c r="B1362" s="45" t="s">
        <v>3984</v>
      </c>
      <c r="C1362" s="45" t="s">
        <v>6719</v>
      </c>
      <c r="D1362" s="45" t="s">
        <v>6733</v>
      </c>
      <c r="E1362" s="44"/>
      <c r="F1362" s="37">
        <v>50</v>
      </c>
      <c r="G1362" s="37" t="s">
        <v>6864</v>
      </c>
      <c r="H1362" s="63">
        <v>171.6</v>
      </c>
    </row>
    <row r="1363" spans="1:8" ht="24.75" customHeight="1">
      <c r="A1363" s="44" t="s">
        <v>385</v>
      </c>
      <c r="B1363" s="45" t="s">
        <v>3983</v>
      </c>
      <c r="C1363" s="45" t="s">
        <v>6719</v>
      </c>
      <c r="D1363" s="45" t="s">
        <v>6733</v>
      </c>
      <c r="E1363" s="44"/>
      <c r="F1363" s="37">
        <v>50</v>
      </c>
      <c r="G1363" s="37" t="s">
        <v>6864</v>
      </c>
      <c r="H1363" s="63">
        <v>185.9</v>
      </c>
    </row>
    <row r="1364" spans="1:8" ht="24.75" customHeight="1">
      <c r="A1364" s="44" t="s">
        <v>2677</v>
      </c>
      <c r="B1364" s="45" t="s">
        <v>3981</v>
      </c>
      <c r="C1364" s="45" t="s">
        <v>6719</v>
      </c>
      <c r="D1364" s="45" t="s">
        <v>6733</v>
      </c>
      <c r="E1364" s="44"/>
      <c r="F1364" s="37">
        <v>50</v>
      </c>
      <c r="G1364" s="37" t="s">
        <v>6864</v>
      </c>
      <c r="H1364" s="63">
        <v>171.6</v>
      </c>
    </row>
    <row r="1365" spans="1:8" ht="24.75" customHeight="1">
      <c r="A1365" s="44" t="s">
        <v>2603</v>
      </c>
      <c r="B1365" s="45" t="s">
        <v>3982</v>
      </c>
      <c r="C1365" s="45" t="s">
        <v>6719</v>
      </c>
      <c r="D1365" s="45" t="s">
        <v>6733</v>
      </c>
      <c r="E1365" s="44"/>
      <c r="F1365" s="37">
        <v>50</v>
      </c>
      <c r="G1365" s="37" t="s">
        <v>6864</v>
      </c>
      <c r="H1365" s="63">
        <v>185.9</v>
      </c>
    </row>
    <row r="1366" spans="1:8" ht="24.75" customHeight="1">
      <c r="A1366" s="44" t="s">
        <v>2440</v>
      </c>
      <c r="B1366" s="45" t="s">
        <v>3980</v>
      </c>
      <c r="C1366" s="45" t="s">
        <v>6719</v>
      </c>
      <c r="D1366" s="45" t="s">
        <v>6733</v>
      </c>
      <c r="E1366" s="44"/>
      <c r="F1366" s="37">
        <v>50</v>
      </c>
      <c r="G1366" s="37" t="s">
        <v>6864</v>
      </c>
      <c r="H1366" s="63">
        <v>243.1</v>
      </c>
    </row>
    <row r="1367" spans="1:8" ht="24.75" customHeight="1">
      <c r="A1367" s="44" t="s">
        <v>2624</v>
      </c>
      <c r="B1367" s="45" t="s">
        <v>5247</v>
      </c>
      <c r="C1367" s="45" t="s">
        <v>6719</v>
      </c>
      <c r="D1367" s="45" t="s">
        <v>6733</v>
      </c>
      <c r="E1367" s="44"/>
      <c r="F1367" s="37">
        <v>1</v>
      </c>
      <c r="G1367" s="37" t="s">
        <v>6864</v>
      </c>
      <c r="H1367" s="63">
        <v>59645.3</v>
      </c>
    </row>
    <row r="1368" spans="1:8" ht="24.75" customHeight="1">
      <c r="A1368" s="44" t="s">
        <v>1178</v>
      </c>
      <c r="B1368" s="45" t="s">
        <v>5152</v>
      </c>
      <c r="C1368" s="45" t="s">
        <v>6719</v>
      </c>
      <c r="D1368" s="45" t="s">
        <v>6733</v>
      </c>
      <c r="E1368" s="44"/>
      <c r="F1368" s="37">
        <v>1</v>
      </c>
      <c r="G1368" s="37" t="s">
        <v>6864</v>
      </c>
      <c r="H1368" s="63">
        <v>62333.7</v>
      </c>
    </row>
    <row r="1369" spans="1:8" ht="24.75" customHeight="1">
      <c r="A1369" s="44" t="s">
        <v>2092</v>
      </c>
      <c r="B1369" s="45" t="s">
        <v>6166</v>
      </c>
      <c r="C1369" s="45" t="s">
        <v>6719</v>
      </c>
      <c r="D1369" s="45" t="s">
        <v>6733</v>
      </c>
      <c r="E1369" s="44" t="s">
        <v>6844</v>
      </c>
      <c r="F1369" s="37">
        <v>1</v>
      </c>
      <c r="G1369" s="37" t="s">
        <v>6864</v>
      </c>
      <c r="H1369" s="63">
        <v>36000</v>
      </c>
    </row>
    <row r="1370" spans="1:8" ht="24.75" customHeight="1">
      <c r="A1370" s="44" t="s">
        <v>2093</v>
      </c>
      <c r="B1370" s="45" t="s">
        <v>6167</v>
      </c>
      <c r="C1370" s="45" t="s">
        <v>6719</v>
      </c>
      <c r="D1370" s="45" t="s">
        <v>6733</v>
      </c>
      <c r="E1370" s="44" t="s">
        <v>6844</v>
      </c>
      <c r="F1370" s="37">
        <v>1</v>
      </c>
      <c r="G1370" s="37" t="s">
        <v>6864</v>
      </c>
      <c r="H1370" s="63">
        <v>36000</v>
      </c>
    </row>
    <row r="1371" spans="1:8" ht="24.75" customHeight="1">
      <c r="A1371" s="44" t="s">
        <v>122</v>
      </c>
      <c r="B1371" s="45" t="s">
        <v>5746</v>
      </c>
      <c r="C1371" s="45" t="s">
        <v>6719</v>
      </c>
      <c r="D1371" s="45" t="s">
        <v>6733</v>
      </c>
      <c r="E1371" s="44"/>
      <c r="F1371" s="37">
        <v>1</v>
      </c>
      <c r="G1371" s="37" t="s">
        <v>6864</v>
      </c>
      <c r="H1371" s="63">
        <v>82296.5</v>
      </c>
    </row>
    <row r="1372" spans="1:8" ht="24.75" customHeight="1">
      <c r="A1372" s="44" t="s">
        <v>2623</v>
      </c>
      <c r="B1372" s="45" t="s">
        <v>5246</v>
      </c>
      <c r="C1372" s="45" t="s">
        <v>6719</v>
      </c>
      <c r="D1372" s="45" t="s">
        <v>6733</v>
      </c>
      <c r="E1372" s="44"/>
      <c r="F1372" s="37">
        <v>1</v>
      </c>
      <c r="G1372" s="37" t="s">
        <v>6864</v>
      </c>
      <c r="H1372" s="63">
        <v>66223.3</v>
      </c>
    </row>
    <row r="1373" spans="1:8" ht="24.75" customHeight="1">
      <c r="A1373" s="44" t="s">
        <v>2198</v>
      </c>
      <c r="B1373" s="45" t="s">
        <v>5931</v>
      </c>
      <c r="C1373" s="45" t="s">
        <v>6719</v>
      </c>
      <c r="D1373" s="45" t="s">
        <v>6733</v>
      </c>
      <c r="E1373" s="44"/>
      <c r="F1373" s="37">
        <v>1</v>
      </c>
      <c r="G1373" s="37" t="s">
        <v>2568</v>
      </c>
      <c r="H1373" s="63">
        <v>90118.6</v>
      </c>
    </row>
    <row r="1374" spans="1:8" ht="24.75" customHeight="1">
      <c r="A1374" s="44" t="s">
        <v>2467</v>
      </c>
      <c r="B1374" s="45" t="s">
        <v>4844</v>
      </c>
      <c r="C1374" s="45" t="s">
        <v>6719</v>
      </c>
      <c r="D1374" s="45" t="s">
        <v>6733</v>
      </c>
      <c r="E1374" s="44"/>
      <c r="F1374" s="37">
        <v>1</v>
      </c>
      <c r="G1374" s="37" t="s">
        <v>6864</v>
      </c>
      <c r="H1374" s="63">
        <v>60846.5</v>
      </c>
    </row>
    <row r="1375" spans="1:8" ht="24.75" customHeight="1">
      <c r="A1375" s="44" t="s">
        <v>2423</v>
      </c>
      <c r="B1375" s="45" t="s">
        <v>4875</v>
      </c>
      <c r="C1375" s="45" t="s">
        <v>6719</v>
      </c>
      <c r="D1375" s="45" t="s">
        <v>6733</v>
      </c>
      <c r="E1375" s="44"/>
      <c r="F1375" s="37">
        <v>1</v>
      </c>
      <c r="G1375" s="37" t="s">
        <v>6864</v>
      </c>
      <c r="H1375" s="63">
        <v>104776.1</v>
      </c>
    </row>
    <row r="1376" spans="1:8" ht="24.75" customHeight="1">
      <c r="A1376" s="44" t="s">
        <v>282</v>
      </c>
      <c r="B1376" s="45" t="s">
        <v>3371</v>
      </c>
      <c r="C1376" s="45" t="s">
        <v>6719</v>
      </c>
      <c r="D1376" s="45" t="s">
        <v>6733</v>
      </c>
      <c r="E1376" s="44"/>
      <c r="F1376" s="37">
        <v>50</v>
      </c>
      <c r="G1376" s="37" t="s">
        <v>6864</v>
      </c>
      <c r="H1376" s="63">
        <v>557.70000000000005</v>
      </c>
    </row>
    <row r="1377" spans="1:8" ht="24.75" customHeight="1">
      <c r="A1377" s="44" t="s">
        <v>528</v>
      </c>
      <c r="B1377" s="45" t="s">
        <v>5735</v>
      </c>
      <c r="C1377" s="45" t="s">
        <v>6719</v>
      </c>
      <c r="D1377" s="45" t="s">
        <v>6734</v>
      </c>
      <c r="E1377" s="44" t="s">
        <v>6839</v>
      </c>
      <c r="F1377" s="37">
        <v>20</v>
      </c>
      <c r="G1377" s="37" t="s">
        <v>2568</v>
      </c>
      <c r="H1377" s="63">
        <v>1415.7</v>
      </c>
    </row>
    <row r="1378" spans="1:8" ht="24.75" customHeight="1">
      <c r="A1378" s="44" t="s">
        <v>1179</v>
      </c>
      <c r="B1378" s="45" t="s">
        <v>5153</v>
      </c>
      <c r="C1378" s="45" t="s">
        <v>6719</v>
      </c>
      <c r="D1378" s="45" t="s">
        <v>6734</v>
      </c>
      <c r="E1378" s="44" t="s">
        <v>6839</v>
      </c>
      <c r="F1378" s="37">
        <v>20</v>
      </c>
      <c r="G1378" s="37" t="s">
        <v>2568</v>
      </c>
      <c r="H1378" s="63">
        <v>1158.3</v>
      </c>
    </row>
    <row r="1379" spans="1:8" ht="24.75" customHeight="1">
      <c r="A1379" s="44" t="s">
        <v>2028</v>
      </c>
      <c r="B1379" s="45" t="s">
        <v>5512</v>
      </c>
      <c r="C1379" s="45" t="s">
        <v>6719</v>
      </c>
      <c r="D1379" s="45" t="s">
        <v>6734</v>
      </c>
      <c r="E1379" s="44"/>
      <c r="F1379" s="37">
        <v>20</v>
      </c>
      <c r="G1379" s="37" t="s">
        <v>6864</v>
      </c>
      <c r="H1379" s="63">
        <v>2130.6999999999998</v>
      </c>
    </row>
    <row r="1380" spans="1:8" ht="24.75" customHeight="1">
      <c r="A1380" s="44" t="s">
        <v>987</v>
      </c>
      <c r="B1380" s="45" t="s">
        <v>5702</v>
      </c>
      <c r="C1380" s="45" t="s">
        <v>6719</v>
      </c>
      <c r="D1380" s="45" t="s">
        <v>6734</v>
      </c>
      <c r="E1380" s="44"/>
      <c r="F1380" s="37">
        <v>20</v>
      </c>
      <c r="G1380" s="37" t="s">
        <v>6864</v>
      </c>
      <c r="H1380" s="63">
        <v>1758.9</v>
      </c>
    </row>
    <row r="1381" spans="1:8" ht="24.75" customHeight="1">
      <c r="A1381" s="44" t="s">
        <v>1204</v>
      </c>
      <c r="B1381" s="45" t="s">
        <v>5019</v>
      </c>
      <c r="C1381" s="45" t="s">
        <v>6719</v>
      </c>
      <c r="D1381" s="45" t="s">
        <v>6734</v>
      </c>
      <c r="E1381" s="44"/>
      <c r="F1381" s="37">
        <v>1</v>
      </c>
      <c r="G1381" s="37" t="s">
        <v>6864</v>
      </c>
      <c r="H1381" s="63">
        <v>8837.4</v>
      </c>
    </row>
    <row r="1382" spans="1:8" ht="24.75" customHeight="1">
      <c r="A1382" s="44" t="s">
        <v>986</v>
      </c>
      <c r="B1382" s="45" t="s">
        <v>5701</v>
      </c>
      <c r="C1382" s="45" t="s">
        <v>6719</v>
      </c>
      <c r="D1382" s="45" t="s">
        <v>6734</v>
      </c>
      <c r="E1382" s="44" t="s">
        <v>6839</v>
      </c>
      <c r="F1382" s="37">
        <v>100</v>
      </c>
      <c r="G1382" s="37" t="s">
        <v>2568</v>
      </c>
      <c r="H1382" s="63">
        <v>185.9</v>
      </c>
    </row>
    <row r="1383" spans="1:8" ht="24.75" customHeight="1">
      <c r="A1383" s="44" t="s">
        <v>1188</v>
      </c>
      <c r="B1383" s="45" t="s">
        <v>5162</v>
      </c>
      <c r="C1383" s="45" t="s">
        <v>6719</v>
      </c>
      <c r="D1383" s="45" t="s">
        <v>6734</v>
      </c>
      <c r="E1383" s="44"/>
      <c r="F1383" s="37">
        <v>20</v>
      </c>
      <c r="G1383" s="37" t="s">
        <v>6864</v>
      </c>
      <c r="H1383" s="63">
        <v>557.70000000000005</v>
      </c>
    </row>
    <row r="1384" spans="1:8" ht="24.75" customHeight="1">
      <c r="A1384" s="44" t="s">
        <v>119</v>
      </c>
      <c r="B1384" s="45" t="s">
        <v>3754</v>
      </c>
      <c r="C1384" s="45" t="s">
        <v>6719</v>
      </c>
      <c r="D1384" s="45" t="s">
        <v>6735</v>
      </c>
      <c r="E1384" s="44" t="s">
        <v>6839</v>
      </c>
      <c r="F1384" s="37">
        <v>1</v>
      </c>
      <c r="G1384" s="37" t="s">
        <v>6864</v>
      </c>
      <c r="H1384" s="63">
        <v>22093.5</v>
      </c>
    </row>
    <row r="1385" spans="1:8" ht="24.75" customHeight="1">
      <c r="A1385" s="44" t="s">
        <v>547</v>
      </c>
      <c r="B1385" s="45" t="s">
        <v>3758</v>
      </c>
      <c r="C1385" s="45" t="s">
        <v>6719</v>
      </c>
      <c r="D1385" s="45" t="s">
        <v>6735</v>
      </c>
      <c r="E1385" s="44" t="s">
        <v>6839</v>
      </c>
      <c r="F1385" s="37">
        <v>1</v>
      </c>
      <c r="G1385" s="37" t="s">
        <v>6864</v>
      </c>
      <c r="H1385" s="63">
        <v>19662.5</v>
      </c>
    </row>
    <row r="1386" spans="1:8" ht="24.75" customHeight="1">
      <c r="A1386" s="44" t="s">
        <v>1060</v>
      </c>
      <c r="B1386" s="45" t="s">
        <v>5190</v>
      </c>
      <c r="C1386" s="45" t="s">
        <v>6719</v>
      </c>
      <c r="D1386" s="45" t="s">
        <v>6735</v>
      </c>
      <c r="E1386" s="44" t="s">
        <v>6839</v>
      </c>
      <c r="F1386" s="37">
        <v>1</v>
      </c>
      <c r="G1386" s="37" t="s">
        <v>6864</v>
      </c>
      <c r="H1386" s="63">
        <v>20048.599999999999</v>
      </c>
    </row>
    <row r="1387" spans="1:8" ht="24.75" customHeight="1">
      <c r="A1387" s="44" t="s">
        <v>989</v>
      </c>
      <c r="B1387" s="45" t="s">
        <v>5704</v>
      </c>
      <c r="C1387" s="45" t="s">
        <v>6719</v>
      </c>
      <c r="D1387" s="45" t="s">
        <v>6735</v>
      </c>
      <c r="E1387" s="44" t="s">
        <v>6839</v>
      </c>
      <c r="F1387" s="37">
        <v>1</v>
      </c>
      <c r="G1387" s="37" t="s">
        <v>6864</v>
      </c>
      <c r="H1387" s="63">
        <v>20034.3</v>
      </c>
    </row>
    <row r="1388" spans="1:8" ht="24.75" customHeight="1">
      <c r="A1388" s="44" t="s">
        <v>546</v>
      </c>
      <c r="B1388" s="45" t="s">
        <v>3757</v>
      </c>
      <c r="C1388" s="45" t="s">
        <v>6719</v>
      </c>
      <c r="D1388" s="45" t="s">
        <v>6735</v>
      </c>
      <c r="E1388" s="44" t="s">
        <v>6839</v>
      </c>
      <c r="F1388" s="37">
        <v>1</v>
      </c>
      <c r="G1388" s="37" t="s">
        <v>6864</v>
      </c>
      <c r="H1388" s="63">
        <v>23008.7</v>
      </c>
    </row>
    <row r="1389" spans="1:8" ht="24.75" customHeight="1">
      <c r="A1389" s="44" t="s">
        <v>921</v>
      </c>
      <c r="B1389" s="45" t="s">
        <v>4881</v>
      </c>
      <c r="C1389" s="45" t="s">
        <v>6719</v>
      </c>
      <c r="D1389" s="45" t="s">
        <v>6735</v>
      </c>
      <c r="E1389" s="44" t="s">
        <v>6839</v>
      </c>
      <c r="F1389" s="37">
        <v>1</v>
      </c>
      <c r="G1389" s="37" t="s">
        <v>6864</v>
      </c>
      <c r="H1389" s="63">
        <v>24495.9</v>
      </c>
    </row>
    <row r="1390" spans="1:8" ht="24.75" customHeight="1">
      <c r="A1390" s="44" t="s">
        <v>2621</v>
      </c>
      <c r="B1390" s="45" t="s">
        <v>3759</v>
      </c>
      <c r="C1390" s="45" t="s">
        <v>6719</v>
      </c>
      <c r="D1390" s="45" t="s">
        <v>6735</v>
      </c>
      <c r="E1390" s="44" t="s">
        <v>6839</v>
      </c>
      <c r="F1390" s="37">
        <v>1</v>
      </c>
      <c r="G1390" s="37" t="s">
        <v>6864</v>
      </c>
      <c r="H1390" s="63">
        <v>22737</v>
      </c>
    </row>
    <row r="1391" spans="1:8" ht="24.75" customHeight="1">
      <c r="A1391" s="44" t="s">
        <v>729</v>
      </c>
      <c r="B1391" s="45" t="s">
        <v>5952</v>
      </c>
      <c r="C1391" s="45" t="s">
        <v>6719</v>
      </c>
      <c r="D1391" s="45" t="s">
        <v>6735</v>
      </c>
      <c r="E1391" s="44" t="s">
        <v>6839</v>
      </c>
      <c r="F1391" s="37">
        <v>1</v>
      </c>
      <c r="G1391" s="37" t="s">
        <v>6864</v>
      </c>
      <c r="H1391" s="63">
        <v>20363.2</v>
      </c>
    </row>
    <row r="1392" spans="1:8" ht="24.75" customHeight="1">
      <c r="A1392" s="44" t="s">
        <v>1603</v>
      </c>
      <c r="B1392" s="45" t="s">
        <v>3755</v>
      </c>
      <c r="C1392" s="45" t="s">
        <v>6719</v>
      </c>
      <c r="D1392" s="45" t="s">
        <v>6735</v>
      </c>
      <c r="E1392" s="44" t="s">
        <v>6839</v>
      </c>
      <c r="F1392" s="37">
        <v>1</v>
      </c>
      <c r="G1392" s="37" t="s">
        <v>6864</v>
      </c>
      <c r="H1392" s="63">
        <v>27899.3</v>
      </c>
    </row>
    <row r="1393" spans="1:8" ht="24.75" customHeight="1">
      <c r="A1393" s="44" t="s">
        <v>2622</v>
      </c>
      <c r="B1393" s="45" t="s">
        <v>3760</v>
      </c>
      <c r="C1393" s="45" t="s">
        <v>6719</v>
      </c>
      <c r="D1393" s="45" t="s">
        <v>6735</v>
      </c>
      <c r="E1393" s="44" t="s">
        <v>6839</v>
      </c>
      <c r="F1393" s="37">
        <v>1</v>
      </c>
      <c r="G1393" s="37" t="s">
        <v>6864</v>
      </c>
      <c r="H1393" s="63">
        <v>22093.5</v>
      </c>
    </row>
    <row r="1394" spans="1:8" ht="24.75" customHeight="1">
      <c r="A1394" s="44" t="s">
        <v>2783</v>
      </c>
      <c r="B1394" s="45" t="s">
        <v>5780</v>
      </c>
      <c r="C1394" s="45" t="s">
        <v>6719</v>
      </c>
      <c r="D1394" s="45" t="s">
        <v>6735</v>
      </c>
      <c r="E1394" s="44" t="s">
        <v>6839</v>
      </c>
      <c r="F1394" s="37">
        <v>1</v>
      </c>
      <c r="G1394" s="37" t="s">
        <v>6864</v>
      </c>
      <c r="H1394" s="63">
        <v>32432.400000000001</v>
      </c>
    </row>
    <row r="1395" spans="1:8" ht="24.75" customHeight="1">
      <c r="A1395" s="44" t="s">
        <v>3113</v>
      </c>
      <c r="B1395" s="45" t="s">
        <v>3756</v>
      </c>
      <c r="C1395" s="45" t="s">
        <v>6719</v>
      </c>
      <c r="D1395" s="45" t="s">
        <v>6735</v>
      </c>
      <c r="E1395" s="44" t="s">
        <v>6855</v>
      </c>
      <c r="F1395" s="37">
        <v>1</v>
      </c>
      <c r="G1395" s="37" t="s">
        <v>6864</v>
      </c>
      <c r="H1395" s="63">
        <v>31345.599999999999</v>
      </c>
    </row>
    <row r="1396" spans="1:8" ht="24.75" customHeight="1">
      <c r="A1396" s="44" t="s">
        <v>2373</v>
      </c>
      <c r="B1396" s="45" t="s">
        <v>3765</v>
      </c>
      <c r="C1396" s="45" t="s">
        <v>6719</v>
      </c>
      <c r="D1396" s="45" t="s">
        <v>6735</v>
      </c>
      <c r="E1396" s="44" t="s">
        <v>6855</v>
      </c>
      <c r="F1396" s="37">
        <v>1</v>
      </c>
      <c r="G1396" s="37" t="s">
        <v>6864</v>
      </c>
      <c r="H1396" s="63">
        <v>31059.599999999999</v>
      </c>
    </row>
    <row r="1397" spans="1:8" ht="24.75" customHeight="1">
      <c r="A1397" s="44" t="s">
        <v>1166</v>
      </c>
      <c r="B1397" s="45" t="s">
        <v>5142</v>
      </c>
      <c r="C1397" s="45" t="s">
        <v>6719</v>
      </c>
      <c r="D1397" s="45" t="s">
        <v>6735</v>
      </c>
      <c r="E1397" s="44" t="s">
        <v>6839</v>
      </c>
      <c r="F1397" s="37">
        <v>1</v>
      </c>
      <c r="G1397" s="37" t="s">
        <v>6864</v>
      </c>
      <c r="H1397" s="63">
        <v>21850.400000000001</v>
      </c>
    </row>
    <row r="1398" spans="1:8" ht="24.75" customHeight="1">
      <c r="A1398" s="44" t="s">
        <v>1431</v>
      </c>
      <c r="B1398" s="45" t="s">
        <v>4988</v>
      </c>
      <c r="C1398" s="45" t="s">
        <v>6719</v>
      </c>
      <c r="D1398" s="45" t="s">
        <v>6735</v>
      </c>
      <c r="E1398" s="44" t="s">
        <v>6855</v>
      </c>
      <c r="F1398" s="37">
        <v>1</v>
      </c>
      <c r="G1398" s="37" t="s">
        <v>6864</v>
      </c>
      <c r="H1398" s="63">
        <v>34791.9</v>
      </c>
    </row>
    <row r="1399" spans="1:8" ht="24.75" customHeight="1">
      <c r="A1399" s="44" t="s">
        <v>1039</v>
      </c>
      <c r="B1399" s="45" t="s">
        <v>5717</v>
      </c>
      <c r="C1399" s="45" t="s">
        <v>6719</v>
      </c>
      <c r="D1399" s="45" t="s">
        <v>6735</v>
      </c>
      <c r="E1399" s="44" t="s">
        <v>6839</v>
      </c>
      <c r="F1399" s="37">
        <v>1</v>
      </c>
      <c r="G1399" s="37" t="s">
        <v>6864</v>
      </c>
      <c r="H1399" s="63">
        <v>23580.7</v>
      </c>
    </row>
    <row r="1400" spans="1:8" ht="24.75" customHeight="1">
      <c r="A1400" s="44" t="s">
        <v>2371</v>
      </c>
      <c r="B1400" s="45" t="s">
        <v>3762</v>
      </c>
      <c r="C1400" s="45" t="s">
        <v>6719</v>
      </c>
      <c r="D1400" s="45" t="s">
        <v>6735</v>
      </c>
      <c r="E1400" s="44" t="s">
        <v>6855</v>
      </c>
      <c r="F1400" s="37">
        <v>1</v>
      </c>
      <c r="G1400" s="37" t="s">
        <v>6864</v>
      </c>
      <c r="H1400" s="63">
        <v>30173</v>
      </c>
    </row>
    <row r="1401" spans="1:8" ht="24.75" customHeight="1">
      <c r="A1401" s="44" t="s">
        <v>2970</v>
      </c>
      <c r="B1401" s="45" t="s">
        <v>3763</v>
      </c>
      <c r="C1401" s="45" t="s">
        <v>6719</v>
      </c>
      <c r="D1401" s="45" t="s">
        <v>6735</v>
      </c>
      <c r="E1401" s="44" t="s">
        <v>6855</v>
      </c>
      <c r="F1401" s="37">
        <v>1</v>
      </c>
      <c r="G1401" s="37" t="s">
        <v>6864</v>
      </c>
      <c r="H1401" s="63">
        <v>31688.799999999999</v>
      </c>
    </row>
    <row r="1402" spans="1:8" ht="24.75" customHeight="1">
      <c r="A1402" s="44" t="s">
        <v>2199</v>
      </c>
      <c r="B1402" s="45" t="s">
        <v>5934</v>
      </c>
      <c r="C1402" s="45" t="s">
        <v>6719</v>
      </c>
      <c r="D1402" s="45" t="s">
        <v>6735</v>
      </c>
      <c r="E1402" s="44" t="s">
        <v>6855</v>
      </c>
      <c r="F1402" s="37">
        <v>1</v>
      </c>
      <c r="G1402" s="37" t="s">
        <v>6864</v>
      </c>
      <c r="H1402" s="63">
        <v>20763.599999999999</v>
      </c>
    </row>
    <row r="1403" spans="1:8" ht="24.75" customHeight="1">
      <c r="A1403" s="44" t="s">
        <v>2342</v>
      </c>
      <c r="B1403" s="45" t="s">
        <v>3761</v>
      </c>
      <c r="C1403" s="45" t="s">
        <v>6719</v>
      </c>
      <c r="D1403" s="45" t="s">
        <v>6735</v>
      </c>
      <c r="E1403" s="44" t="s">
        <v>6855</v>
      </c>
      <c r="F1403" s="37">
        <v>1</v>
      </c>
      <c r="G1403" s="37" t="s">
        <v>6864</v>
      </c>
      <c r="H1403" s="63">
        <v>31574.400000000001</v>
      </c>
    </row>
    <row r="1404" spans="1:8" ht="24.75" customHeight="1">
      <c r="A1404" s="44" t="s">
        <v>2372</v>
      </c>
      <c r="B1404" s="45" t="s">
        <v>3764</v>
      </c>
      <c r="C1404" s="45" t="s">
        <v>6719</v>
      </c>
      <c r="D1404" s="45" t="s">
        <v>6735</v>
      </c>
      <c r="E1404" s="44" t="s">
        <v>6855</v>
      </c>
      <c r="F1404" s="37">
        <v>1</v>
      </c>
      <c r="G1404" s="37" t="s">
        <v>6864</v>
      </c>
      <c r="H1404" s="63">
        <v>27155.7</v>
      </c>
    </row>
    <row r="1405" spans="1:8" ht="24.75" customHeight="1">
      <c r="A1405" s="44" t="s">
        <v>710</v>
      </c>
      <c r="B1405" s="45" t="s">
        <v>4935</v>
      </c>
      <c r="C1405" s="45" t="s">
        <v>6719</v>
      </c>
      <c r="D1405" s="45" t="s">
        <v>6736</v>
      </c>
      <c r="E1405" s="44"/>
      <c r="F1405" s="37">
        <v>200</v>
      </c>
      <c r="G1405" s="37" t="s">
        <v>6864</v>
      </c>
      <c r="H1405" s="63">
        <v>114.4</v>
      </c>
    </row>
    <row r="1406" spans="1:8" ht="24.75" customHeight="1">
      <c r="A1406" s="44" t="s">
        <v>1266</v>
      </c>
      <c r="B1406" s="45" t="s">
        <v>4934</v>
      </c>
      <c r="C1406" s="45" t="s">
        <v>6719</v>
      </c>
      <c r="D1406" s="45" t="s">
        <v>6736</v>
      </c>
      <c r="E1406" s="44"/>
      <c r="F1406" s="37">
        <v>200</v>
      </c>
      <c r="G1406" s="37" t="s">
        <v>6864</v>
      </c>
      <c r="H1406" s="63">
        <v>114.4</v>
      </c>
    </row>
    <row r="1407" spans="1:8" ht="24.75" customHeight="1">
      <c r="A1407" s="44" t="s">
        <v>2880</v>
      </c>
      <c r="B1407" s="45" t="s">
        <v>3986</v>
      </c>
      <c r="C1407" s="45" t="s">
        <v>6719</v>
      </c>
      <c r="D1407" s="45" t="s">
        <v>6713</v>
      </c>
      <c r="E1407" s="44" t="s">
        <v>6838</v>
      </c>
      <c r="F1407" s="37">
        <v>1</v>
      </c>
      <c r="G1407" s="37" t="s">
        <v>2568</v>
      </c>
      <c r="H1407" s="63">
        <v>3732.3</v>
      </c>
    </row>
    <row r="1408" spans="1:8" ht="24.75" customHeight="1">
      <c r="A1408" s="44" t="s">
        <v>1836</v>
      </c>
      <c r="B1408" s="45" t="s">
        <v>5254</v>
      </c>
      <c r="C1408" s="45" t="s">
        <v>6719</v>
      </c>
      <c r="D1408" s="45" t="s">
        <v>6713</v>
      </c>
      <c r="E1408" s="44" t="s">
        <v>6838</v>
      </c>
      <c r="F1408" s="37">
        <v>1</v>
      </c>
      <c r="G1408" s="37" t="s">
        <v>2568</v>
      </c>
      <c r="H1408" s="63">
        <v>4704.7</v>
      </c>
    </row>
    <row r="1409" spans="1:8" ht="24.75" customHeight="1">
      <c r="A1409" s="44" t="s">
        <v>2879</v>
      </c>
      <c r="B1409" s="45" t="s">
        <v>3985</v>
      </c>
      <c r="C1409" s="45" t="s">
        <v>6719</v>
      </c>
      <c r="D1409" s="45" t="s">
        <v>6713</v>
      </c>
      <c r="E1409" s="44" t="s">
        <v>6838</v>
      </c>
      <c r="F1409" s="37">
        <v>1</v>
      </c>
      <c r="G1409" s="37" t="s">
        <v>2568</v>
      </c>
      <c r="H1409" s="63">
        <v>10853.7</v>
      </c>
    </row>
    <row r="1410" spans="1:8" ht="24.75" customHeight="1">
      <c r="A1410" s="44" t="s">
        <v>1854</v>
      </c>
      <c r="B1410" s="45" t="s">
        <v>5270</v>
      </c>
      <c r="C1410" s="45" t="s">
        <v>6719</v>
      </c>
      <c r="D1410" s="45" t="s">
        <v>6713</v>
      </c>
      <c r="E1410" s="44" t="s">
        <v>6838</v>
      </c>
      <c r="F1410" s="37">
        <v>1</v>
      </c>
      <c r="G1410" s="37" t="s">
        <v>2568</v>
      </c>
      <c r="H1410" s="63">
        <v>4876.3</v>
      </c>
    </row>
    <row r="1411" spans="1:8" ht="24.75" customHeight="1">
      <c r="A1411" s="44" t="s">
        <v>1289</v>
      </c>
      <c r="B1411" s="45" t="s">
        <v>4003</v>
      </c>
      <c r="C1411" s="45" t="s">
        <v>6719</v>
      </c>
      <c r="D1411" s="45" t="s">
        <v>6713</v>
      </c>
      <c r="E1411" s="44" t="s">
        <v>6838</v>
      </c>
      <c r="F1411" s="37">
        <v>1</v>
      </c>
      <c r="G1411" s="37" t="s">
        <v>2568</v>
      </c>
      <c r="H1411" s="63">
        <v>4876.3</v>
      </c>
    </row>
    <row r="1412" spans="1:8" ht="24.75" customHeight="1">
      <c r="A1412" s="44" t="s">
        <v>3153</v>
      </c>
      <c r="B1412" s="45" t="s">
        <v>4004</v>
      </c>
      <c r="C1412" s="45" t="s">
        <v>6719</v>
      </c>
      <c r="D1412" s="45" t="s">
        <v>6713</v>
      </c>
      <c r="E1412" s="44" t="s">
        <v>6838</v>
      </c>
      <c r="F1412" s="37">
        <v>1</v>
      </c>
      <c r="G1412" s="37" t="s">
        <v>2568</v>
      </c>
      <c r="H1412" s="63">
        <v>3889.6</v>
      </c>
    </row>
    <row r="1413" spans="1:8" ht="24.75" customHeight="1">
      <c r="A1413" s="44" t="s">
        <v>1285</v>
      </c>
      <c r="B1413" s="45" t="s">
        <v>3998</v>
      </c>
      <c r="C1413" s="45" t="s">
        <v>6719</v>
      </c>
      <c r="D1413" s="45" t="s">
        <v>6713</v>
      </c>
      <c r="E1413" s="44" t="s">
        <v>6838</v>
      </c>
      <c r="F1413" s="37">
        <v>1</v>
      </c>
      <c r="G1413" s="37" t="s">
        <v>2568</v>
      </c>
      <c r="H1413" s="63">
        <v>4776.2</v>
      </c>
    </row>
    <row r="1414" spans="1:8" ht="24.75" customHeight="1">
      <c r="A1414" s="44" t="s">
        <v>1281</v>
      </c>
      <c r="B1414" s="45" t="s">
        <v>3993</v>
      </c>
      <c r="C1414" s="45" t="s">
        <v>6719</v>
      </c>
      <c r="D1414" s="45" t="s">
        <v>6713</v>
      </c>
      <c r="E1414" s="44" t="s">
        <v>6838</v>
      </c>
      <c r="F1414" s="37">
        <v>1</v>
      </c>
      <c r="G1414" s="37" t="s">
        <v>2568</v>
      </c>
      <c r="H1414" s="63">
        <v>4676.1000000000004</v>
      </c>
    </row>
    <row r="1415" spans="1:8" ht="24.75" customHeight="1">
      <c r="A1415" s="44" t="s">
        <v>1282</v>
      </c>
      <c r="B1415" s="45" t="s">
        <v>3994</v>
      </c>
      <c r="C1415" s="45" t="s">
        <v>6719</v>
      </c>
      <c r="D1415" s="45" t="s">
        <v>6713</v>
      </c>
      <c r="E1415" s="44" t="s">
        <v>6838</v>
      </c>
      <c r="F1415" s="37">
        <v>1</v>
      </c>
      <c r="G1415" s="37" t="s">
        <v>2568</v>
      </c>
      <c r="H1415" s="63">
        <v>4776.2</v>
      </c>
    </row>
    <row r="1416" spans="1:8" ht="24.75" customHeight="1">
      <c r="A1416" s="44" t="s">
        <v>1290</v>
      </c>
      <c r="B1416" s="45" t="s">
        <v>4005</v>
      </c>
      <c r="C1416" s="45" t="s">
        <v>6719</v>
      </c>
      <c r="D1416" s="45" t="s">
        <v>6713</v>
      </c>
      <c r="E1416" s="44" t="s">
        <v>6838</v>
      </c>
      <c r="F1416" s="37">
        <v>1</v>
      </c>
      <c r="G1416" s="37" t="s">
        <v>2568</v>
      </c>
      <c r="H1416" s="63">
        <v>4104.1000000000004</v>
      </c>
    </row>
    <row r="1417" spans="1:8" ht="24.75" customHeight="1">
      <c r="A1417" s="44" t="s">
        <v>1291</v>
      </c>
      <c r="B1417" s="45" t="s">
        <v>4006</v>
      </c>
      <c r="C1417" s="45" t="s">
        <v>6719</v>
      </c>
      <c r="D1417" s="45" t="s">
        <v>6713</v>
      </c>
      <c r="E1417" s="44" t="s">
        <v>6838</v>
      </c>
      <c r="F1417" s="37">
        <v>1</v>
      </c>
      <c r="G1417" s="37" t="s">
        <v>2568</v>
      </c>
      <c r="H1417" s="63">
        <v>4304.3</v>
      </c>
    </row>
    <row r="1418" spans="1:8" ht="24.75" customHeight="1">
      <c r="A1418" s="44" t="s">
        <v>736</v>
      </c>
      <c r="B1418" s="45" t="s">
        <v>4029</v>
      </c>
      <c r="C1418" s="45" t="s">
        <v>6719</v>
      </c>
      <c r="D1418" s="45" t="s">
        <v>6713</v>
      </c>
      <c r="E1418" s="44" t="s">
        <v>6838</v>
      </c>
      <c r="F1418" s="37">
        <v>1</v>
      </c>
      <c r="G1418" s="37" t="s">
        <v>2568</v>
      </c>
      <c r="H1418" s="63">
        <v>4576</v>
      </c>
    </row>
    <row r="1419" spans="1:8" ht="24.75" customHeight="1">
      <c r="A1419" s="44" t="s">
        <v>388</v>
      </c>
      <c r="B1419" s="45" t="s">
        <v>3989</v>
      </c>
      <c r="C1419" s="45" t="s">
        <v>6719</v>
      </c>
      <c r="D1419" s="45" t="s">
        <v>6713</v>
      </c>
      <c r="E1419" s="44" t="s">
        <v>6838</v>
      </c>
      <c r="F1419" s="37">
        <v>1</v>
      </c>
      <c r="G1419" s="37" t="s">
        <v>2568</v>
      </c>
      <c r="H1419" s="63">
        <v>4204.2</v>
      </c>
    </row>
    <row r="1420" spans="1:8" ht="24.75" customHeight="1">
      <c r="A1420" s="44" t="s">
        <v>732</v>
      </c>
      <c r="B1420" s="45" t="s">
        <v>4010</v>
      </c>
      <c r="C1420" s="45" t="s">
        <v>6719</v>
      </c>
      <c r="D1420" s="45" t="s">
        <v>6713</v>
      </c>
      <c r="E1420" s="44" t="s">
        <v>6838</v>
      </c>
      <c r="F1420" s="37">
        <v>1</v>
      </c>
      <c r="G1420" s="37" t="s">
        <v>2568</v>
      </c>
      <c r="H1420" s="63">
        <v>6806.8</v>
      </c>
    </row>
    <row r="1421" spans="1:8" ht="24.75" customHeight="1">
      <c r="A1421" s="44" t="s">
        <v>389</v>
      </c>
      <c r="B1421" s="45" t="s">
        <v>3990</v>
      </c>
      <c r="C1421" s="45" t="s">
        <v>6719</v>
      </c>
      <c r="D1421" s="45" t="s">
        <v>6713</v>
      </c>
      <c r="E1421" s="44" t="s">
        <v>6838</v>
      </c>
      <c r="F1421" s="37">
        <v>1</v>
      </c>
      <c r="G1421" s="37" t="s">
        <v>2568</v>
      </c>
      <c r="H1421" s="63">
        <v>4676.1000000000004</v>
      </c>
    </row>
    <row r="1422" spans="1:8" ht="24.75" customHeight="1">
      <c r="A1422" s="44" t="s">
        <v>72</v>
      </c>
      <c r="B1422" s="45" t="s">
        <v>4011</v>
      </c>
      <c r="C1422" s="45" t="s">
        <v>6719</v>
      </c>
      <c r="D1422" s="45" t="s">
        <v>6713</v>
      </c>
      <c r="E1422" s="44" t="s">
        <v>6838</v>
      </c>
      <c r="F1422" s="37">
        <v>1</v>
      </c>
      <c r="G1422" s="37" t="s">
        <v>2568</v>
      </c>
      <c r="H1422" s="63">
        <v>4518.8</v>
      </c>
    </row>
    <row r="1423" spans="1:8" ht="24.75" customHeight="1">
      <c r="A1423" s="44" t="s">
        <v>2878</v>
      </c>
      <c r="B1423" s="45" t="s">
        <v>4007</v>
      </c>
      <c r="C1423" s="45" t="s">
        <v>6719</v>
      </c>
      <c r="D1423" s="45" t="s">
        <v>6713</v>
      </c>
      <c r="E1423" s="44" t="s">
        <v>6838</v>
      </c>
      <c r="F1423" s="37">
        <v>1</v>
      </c>
      <c r="G1423" s="37" t="s">
        <v>2568</v>
      </c>
      <c r="H1423" s="63">
        <v>4304.3</v>
      </c>
    </row>
    <row r="1424" spans="1:8" ht="24.75" customHeight="1">
      <c r="A1424" s="44" t="s">
        <v>1288</v>
      </c>
      <c r="B1424" s="45" t="s">
        <v>4002</v>
      </c>
      <c r="C1424" s="45" t="s">
        <v>6719</v>
      </c>
      <c r="D1424" s="45" t="s">
        <v>6713</v>
      </c>
      <c r="E1424" s="44" t="s">
        <v>6838</v>
      </c>
      <c r="F1424" s="37">
        <v>1</v>
      </c>
      <c r="G1424" s="37" t="s">
        <v>2568</v>
      </c>
      <c r="H1424" s="63">
        <v>4304.3</v>
      </c>
    </row>
    <row r="1425" spans="1:8" ht="24.75" customHeight="1">
      <c r="A1425" s="44" t="s">
        <v>1283</v>
      </c>
      <c r="B1425" s="45" t="s">
        <v>3995</v>
      </c>
      <c r="C1425" s="45" t="s">
        <v>6719</v>
      </c>
      <c r="D1425" s="45" t="s">
        <v>6713</v>
      </c>
      <c r="E1425" s="44" t="s">
        <v>6838</v>
      </c>
      <c r="F1425" s="37">
        <v>1</v>
      </c>
      <c r="G1425" s="37" t="s">
        <v>2568</v>
      </c>
      <c r="H1425" s="63">
        <v>4833.3999999999996</v>
      </c>
    </row>
    <row r="1426" spans="1:8" ht="24.75" customHeight="1">
      <c r="A1426" s="44" t="s">
        <v>733</v>
      </c>
      <c r="B1426" s="45" t="s">
        <v>4027</v>
      </c>
      <c r="C1426" s="45" t="s">
        <v>6719</v>
      </c>
      <c r="D1426" s="45" t="s">
        <v>6713</v>
      </c>
      <c r="E1426" s="44" t="s">
        <v>6838</v>
      </c>
      <c r="F1426" s="37">
        <v>1</v>
      </c>
      <c r="G1426" s="37" t="s">
        <v>2568</v>
      </c>
      <c r="H1426" s="63">
        <v>4304.3</v>
      </c>
    </row>
    <row r="1427" spans="1:8" ht="24.75" customHeight="1">
      <c r="A1427" s="44" t="s">
        <v>1284</v>
      </c>
      <c r="B1427" s="45" t="s">
        <v>3997</v>
      </c>
      <c r="C1427" s="45" t="s">
        <v>6719</v>
      </c>
      <c r="D1427" s="45" t="s">
        <v>6713</v>
      </c>
      <c r="E1427" s="44" t="s">
        <v>6838</v>
      </c>
      <c r="F1427" s="37">
        <v>1</v>
      </c>
      <c r="G1427" s="37" t="s">
        <v>2568</v>
      </c>
      <c r="H1427" s="63">
        <v>4618.8999999999996</v>
      </c>
    </row>
    <row r="1428" spans="1:8" ht="24.75" customHeight="1">
      <c r="A1428" s="44" t="s">
        <v>2927</v>
      </c>
      <c r="B1428" s="45" t="s">
        <v>4019</v>
      </c>
      <c r="C1428" s="45" t="s">
        <v>6719</v>
      </c>
      <c r="D1428" s="45" t="s">
        <v>6713</v>
      </c>
      <c r="E1428" s="44" t="s">
        <v>6838</v>
      </c>
      <c r="F1428" s="37">
        <v>1</v>
      </c>
      <c r="G1428" s="37" t="s">
        <v>2568</v>
      </c>
      <c r="H1428" s="63">
        <v>5605.6</v>
      </c>
    </row>
    <row r="1429" spans="1:8" ht="24.75" customHeight="1">
      <c r="A1429" s="44" t="s">
        <v>1908</v>
      </c>
      <c r="B1429" s="45" t="s">
        <v>4014</v>
      </c>
      <c r="C1429" s="45" t="s">
        <v>6719</v>
      </c>
      <c r="D1429" s="45" t="s">
        <v>6713</v>
      </c>
      <c r="E1429" s="44" t="s">
        <v>6838</v>
      </c>
      <c r="F1429" s="37">
        <v>1</v>
      </c>
      <c r="G1429" s="37" t="s">
        <v>2568</v>
      </c>
      <c r="H1429" s="63">
        <v>6906.9</v>
      </c>
    </row>
    <row r="1430" spans="1:8" ht="24.75" customHeight="1">
      <c r="A1430" s="44" t="s">
        <v>734</v>
      </c>
      <c r="B1430" s="45" t="s">
        <v>4028</v>
      </c>
      <c r="C1430" s="45" t="s">
        <v>6719</v>
      </c>
      <c r="D1430" s="45" t="s">
        <v>6713</v>
      </c>
      <c r="E1430" s="44" t="s">
        <v>6838</v>
      </c>
      <c r="F1430" s="37">
        <v>1</v>
      </c>
      <c r="G1430" s="37" t="s">
        <v>2568</v>
      </c>
      <c r="H1430" s="63">
        <v>4418.7</v>
      </c>
    </row>
    <row r="1431" spans="1:8" ht="24.75" customHeight="1">
      <c r="A1431" s="44" t="s">
        <v>1909</v>
      </c>
      <c r="B1431" s="45" t="s">
        <v>4015</v>
      </c>
      <c r="C1431" s="45" t="s">
        <v>6719</v>
      </c>
      <c r="D1431" s="45" t="s">
        <v>6713</v>
      </c>
      <c r="E1431" s="44" t="s">
        <v>6838</v>
      </c>
      <c r="F1431" s="37">
        <v>1</v>
      </c>
      <c r="G1431" s="37" t="s">
        <v>2568</v>
      </c>
      <c r="H1431" s="63">
        <v>4833.3999999999996</v>
      </c>
    </row>
    <row r="1432" spans="1:8" ht="24.75" customHeight="1">
      <c r="A1432" s="44" t="s">
        <v>1910</v>
      </c>
      <c r="B1432" s="45" t="s">
        <v>4016</v>
      </c>
      <c r="C1432" s="45" t="s">
        <v>6719</v>
      </c>
      <c r="D1432" s="45" t="s">
        <v>6713</v>
      </c>
      <c r="E1432" s="44" t="s">
        <v>6838</v>
      </c>
      <c r="F1432" s="37">
        <v>1</v>
      </c>
      <c r="G1432" s="37" t="s">
        <v>2568</v>
      </c>
      <c r="H1432" s="63">
        <v>5033.6000000000004</v>
      </c>
    </row>
    <row r="1433" spans="1:8" ht="24.75" customHeight="1">
      <c r="A1433" s="44" t="s">
        <v>387</v>
      </c>
      <c r="B1433" s="45" t="s">
        <v>3988</v>
      </c>
      <c r="C1433" s="45" t="s">
        <v>6719</v>
      </c>
      <c r="D1433" s="45" t="s">
        <v>6713</v>
      </c>
      <c r="E1433" s="44" t="s">
        <v>6855</v>
      </c>
      <c r="F1433" s="37">
        <v>1</v>
      </c>
      <c r="G1433" s="37" t="s">
        <v>2568</v>
      </c>
      <c r="H1433" s="63">
        <v>2602.6</v>
      </c>
    </row>
    <row r="1434" spans="1:8" ht="24.75" customHeight="1">
      <c r="A1434" s="44" t="s">
        <v>2926</v>
      </c>
      <c r="B1434" s="45" t="s">
        <v>4018</v>
      </c>
      <c r="C1434" s="45" t="s">
        <v>6719</v>
      </c>
      <c r="D1434" s="45" t="s">
        <v>6713</v>
      </c>
      <c r="E1434" s="44" t="s">
        <v>6838</v>
      </c>
      <c r="F1434" s="37">
        <v>1</v>
      </c>
      <c r="G1434" s="37" t="s">
        <v>2568</v>
      </c>
      <c r="H1434" s="63">
        <v>4004</v>
      </c>
    </row>
    <row r="1435" spans="1:8" ht="24.75" customHeight="1">
      <c r="A1435" s="44" t="s">
        <v>74</v>
      </c>
      <c r="B1435" s="45" t="s">
        <v>4013</v>
      </c>
      <c r="C1435" s="45" t="s">
        <v>6719</v>
      </c>
      <c r="D1435" s="45" t="s">
        <v>6713</v>
      </c>
      <c r="E1435" s="44" t="s">
        <v>6838</v>
      </c>
      <c r="F1435" s="37">
        <v>1</v>
      </c>
      <c r="G1435" s="37" t="s">
        <v>2568</v>
      </c>
      <c r="H1435" s="63">
        <v>4304.3</v>
      </c>
    </row>
    <row r="1436" spans="1:8" ht="24.75" customHeight="1">
      <c r="A1436" s="44" t="s">
        <v>3152</v>
      </c>
      <c r="B1436" s="45" t="s">
        <v>4008</v>
      </c>
      <c r="C1436" s="45" t="s">
        <v>6719</v>
      </c>
      <c r="D1436" s="45" t="s">
        <v>6713</v>
      </c>
      <c r="E1436" s="44" t="s">
        <v>6838</v>
      </c>
      <c r="F1436" s="37">
        <v>1</v>
      </c>
      <c r="G1436" s="37" t="s">
        <v>2568</v>
      </c>
      <c r="H1436" s="63">
        <v>2674.1</v>
      </c>
    </row>
    <row r="1437" spans="1:8" ht="24.75" customHeight="1">
      <c r="A1437" s="44" t="s">
        <v>1911</v>
      </c>
      <c r="B1437" s="45" t="s">
        <v>4017</v>
      </c>
      <c r="C1437" s="45" t="s">
        <v>6719</v>
      </c>
      <c r="D1437" s="45" t="s">
        <v>6713</v>
      </c>
      <c r="E1437" s="44" t="s">
        <v>6838</v>
      </c>
      <c r="F1437" s="37">
        <v>1</v>
      </c>
      <c r="G1437" s="37" t="s">
        <v>2568</v>
      </c>
      <c r="H1437" s="63">
        <v>3789.5</v>
      </c>
    </row>
    <row r="1438" spans="1:8" ht="24.75" customHeight="1">
      <c r="A1438" s="44" t="s">
        <v>390</v>
      </c>
      <c r="B1438" s="45" t="s">
        <v>3991</v>
      </c>
      <c r="C1438" s="45" t="s">
        <v>6719</v>
      </c>
      <c r="D1438" s="45" t="s">
        <v>6713</v>
      </c>
      <c r="E1438" s="44" t="s">
        <v>6838</v>
      </c>
      <c r="F1438" s="37">
        <v>1</v>
      </c>
      <c r="G1438" s="37" t="s">
        <v>2568</v>
      </c>
      <c r="H1438" s="63">
        <v>3946.8</v>
      </c>
    </row>
    <row r="1439" spans="1:8" ht="24.75" customHeight="1">
      <c r="A1439" s="44" t="s">
        <v>1280</v>
      </c>
      <c r="B1439" s="45" t="s">
        <v>3992</v>
      </c>
      <c r="C1439" s="45" t="s">
        <v>6719</v>
      </c>
      <c r="D1439" s="45" t="s">
        <v>6713</v>
      </c>
      <c r="E1439" s="44" t="s">
        <v>6838</v>
      </c>
      <c r="F1439" s="37">
        <v>1</v>
      </c>
      <c r="G1439" s="37" t="s">
        <v>2568</v>
      </c>
      <c r="H1439" s="63">
        <v>2631.2</v>
      </c>
    </row>
    <row r="1440" spans="1:8" ht="24.75" customHeight="1">
      <c r="A1440" s="44" t="s">
        <v>73</v>
      </c>
      <c r="B1440" s="45" t="s">
        <v>4012</v>
      </c>
      <c r="C1440" s="45" t="s">
        <v>6719</v>
      </c>
      <c r="D1440" s="45" t="s">
        <v>6713</v>
      </c>
      <c r="E1440" s="44" t="s">
        <v>6838</v>
      </c>
      <c r="F1440" s="37">
        <v>1</v>
      </c>
      <c r="G1440" s="37" t="s">
        <v>2568</v>
      </c>
      <c r="H1440" s="63">
        <v>4461.6000000000004</v>
      </c>
    </row>
    <row r="1441" spans="1:8" ht="24.75" customHeight="1">
      <c r="A1441" s="44" t="s">
        <v>737</v>
      </c>
      <c r="B1441" s="45" t="s">
        <v>4030</v>
      </c>
      <c r="C1441" s="45" t="s">
        <v>6719</v>
      </c>
      <c r="D1441" s="45" t="s">
        <v>6713</v>
      </c>
      <c r="E1441" s="44" t="s">
        <v>6838</v>
      </c>
      <c r="F1441" s="37">
        <v>1</v>
      </c>
      <c r="G1441" s="37" t="s">
        <v>2568</v>
      </c>
      <c r="H1441" s="63">
        <v>3689.4</v>
      </c>
    </row>
    <row r="1442" spans="1:8" ht="24.75" customHeight="1">
      <c r="A1442" s="44" t="s">
        <v>2881</v>
      </c>
      <c r="B1442" s="45" t="s">
        <v>4001</v>
      </c>
      <c r="C1442" s="45" t="s">
        <v>6719</v>
      </c>
      <c r="D1442" s="45" t="s">
        <v>6713</v>
      </c>
      <c r="E1442" s="44" t="s">
        <v>6838</v>
      </c>
      <c r="F1442" s="37">
        <v>1</v>
      </c>
      <c r="G1442" s="37" t="s">
        <v>2568</v>
      </c>
      <c r="H1442" s="63">
        <v>2645.5</v>
      </c>
    </row>
    <row r="1443" spans="1:8" ht="24.75" customHeight="1">
      <c r="A1443" s="44" t="s">
        <v>1287</v>
      </c>
      <c r="B1443" s="45" t="s">
        <v>4000</v>
      </c>
      <c r="C1443" s="45" t="s">
        <v>6719</v>
      </c>
      <c r="D1443" s="45" t="s">
        <v>6713</v>
      </c>
      <c r="E1443" s="44" t="s">
        <v>6838</v>
      </c>
      <c r="F1443" s="37">
        <v>1</v>
      </c>
      <c r="G1443" s="37" t="s">
        <v>2568</v>
      </c>
      <c r="H1443" s="63">
        <v>2645.5</v>
      </c>
    </row>
    <row r="1444" spans="1:8" ht="24.75" customHeight="1">
      <c r="A1444" s="44" t="s">
        <v>1286</v>
      </c>
      <c r="B1444" s="45" t="s">
        <v>3999</v>
      </c>
      <c r="C1444" s="45" t="s">
        <v>6719</v>
      </c>
      <c r="D1444" s="45" t="s">
        <v>6713</v>
      </c>
      <c r="E1444" s="44" t="s">
        <v>6838</v>
      </c>
      <c r="F1444" s="37">
        <v>1</v>
      </c>
      <c r="G1444" s="37" t="s">
        <v>2568</v>
      </c>
      <c r="H1444" s="63">
        <v>4833.3999999999996</v>
      </c>
    </row>
    <row r="1445" spans="1:8" ht="24.75" customHeight="1">
      <c r="A1445" s="44" t="s">
        <v>2959</v>
      </c>
      <c r="B1445" s="45" t="s">
        <v>3996</v>
      </c>
      <c r="C1445" s="45" t="s">
        <v>6719</v>
      </c>
      <c r="D1445" s="45" t="s">
        <v>6713</v>
      </c>
      <c r="E1445" s="44" t="s">
        <v>6855</v>
      </c>
      <c r="F1445" s="37">
        <v>1</v>
      </c>
      <c r="G1445" s="37" t="s">
        <v>2568</v>
      </c>
      <c r="H1445" s="63">
        <v>2902.9</v>
      </c>
    </row>
    <row r="1446" spans="1:8" ht="24.75" customHeight="1">
      <c r="A1446" s="44" t="s">
        <v>2877</v>
      </c>
      <c r="B1446" s="45" t="s">
        <v>3987</v>
      </c>
      <c r="C1446" s="45" t="s">
        <v>6719</v>
      </c>
      <c r="D1446" s="45" t="s">
        <v>6713</v>
      </c>
      <c r="E1446" s="44" t="s">
        <v>6855</v>
      </c>
      <c r="F1446" s="37">
        <v>1</v>
      </c>
      <c r="G1446" s="37" t="s">
        <v>2568</v>
      </c>
      <c r="H1446" s="63">
        <v>3589.3</v>
      </c>
    </row>
    <row r="1447" spans="1:8" ht="24.75" customHeight="1">
      <c r="A1447" s="44" t="s">
        <v>2960</v>
      </c>
      <c r="B1447" s="45" t="s">
        <v>4009</v>
      </c>
      <c r="C1447" s="45" t="s">
        <v>6719</v>
      </c>
      <c r="D1447" s="45" t="s">
        <v>6713</v>
      </c>
      <c r="E1447" s="44" t="s">
        <v>6855</v>
      </c>
      <c r="F1447" s="37">
        <v>1</v>
      </c>
      <c r="G1447" s="37" t="s">
        <v>2568</v>
      </c>
      <c r="H1447" s="63">
        <v>2674.1</v>
      </c>
    </row>
    <row r="1448" spans="1:8" ht="24.75" customHeight="1">
      <c r="A1448" s="44" t="s">
        <v>2884</v>
      </c>
      <c r="B1448" s="45" t="s">
        <v>4024</v>
      </c>
      <c r="C1448" s="45" t="s">
        <v>6719</v>
      </c>
      <c r="D1448" s="45" t="s">
        <v>6713</v>
      </c>
      <c r="E1448" s="44" t="s">
        <v>6838</v>
      </c>
      <c r="F1448" s="37">
        <v>1</v>
      </c>
      <c r="G1448" s="37" t="s">
        <v>2568</v>
      </c>
      <c r="H1448" s="63">
        <v>5291</v>
      </c>
    </row>
    <row r="1449" spans="1:8" ht="24.75" customHeight="1">
      <c r="A1449" s="44" t="s">
        <v>745</v>
      </c>
      <c r="B1449" s="45" t="s">
        <v>4043</v>
      </c>
      <c r="C1449" s="45" t="s">
        <v>6719</v>
      </c>
      <c r="D1449" s="45" t="s">
        <v>6713</v>
      </c>
      <c r="E1449" s="44" t="s">
        <v>6838</v>
      </c>
      <c r="F1449" s="37">
        <v>1</v>
      </c>
      <c r="G1449" s="37" t="s">
        <v>2568</v>
      </c>
      <c r="H1449" s="63">
        <v>2187.9</v>
      </c>
    </row>
    <row r="1450" spans="1:8" ht="24.75" customHeight="1">
      <c r="A1450" s="44" t="s">
        <v>1912</v>
      </c>
      <c r="B1450" s="45" t="s">
        <v>4020</v>
      </c>
      <c r="C1450" s="45" t="s">
        <v>6719</v>
      </c>
      <c r="D1450" s="45" t="s">
        <v>6713</v>
      </c>
      <c r="E1450" s="44" t="s">
        <v>6838</v>
      </c>
      <c r="F1450" s="37">
        <v>1</v>
      </c>
      <c r="G1450" s="37" t="s">
        <v>2568</v>
      </c>
      <c r="H1450" s="63">
        <v>2645.5</v>
      </c>
    </row>
    <row r="1451" spans="1:8" ht="24.75" customHeight="1">
      <c r="A1451" s="44" t="s">
        <v>76</v>
      </c>
      <c r="B1451" s="45" t="s">
        <v>4036</v>
      </c>
      <c r="C1451" s="45" t="s">
        <v>6719</v>
      </c>
      <c r="D1451" s="45" t="s">
        <v>6713</v>
      </c>
      <c r="E1451" s="44" t="s">
        <v>6838</v>
      </c>
      <c r="F1451" s="37">
        <v>1</v>
      </c>
      <c r="G1451" s="37" t="s">
        <v>2568</v>
      </c>
      <c r="H1451" s="63">
        <v>2030.6</v>
      </c>
    </row>
    <row r="1452" spans="1:8" ht="24.75" customHeight="1">
      <c r="A1452" s="44" t="s">
        <v>742</v>
      </c>
      <c r="B1452" s="45" t="s">
        <v>4040</v>
      </c>
      <c r="C1452" s="45" t="s">
        <v>6719</v>
      </c>
      <c r="D1452" s="45" t="s">
        <v>6713</v>
      </c>
      <c r="E1452" s="44" t="s">
        <v>6838</v>
      </c>
      <c r="F1452" s="37">
        <v>1</v>
      </c>
      <c r="G1452" s="37" t="s">
        <v>2568</v>
      </c>
      <c r="H1452" s="63">
        <v>1601.6</v>
      </c>
    </row>
    <row r="1453" spans="1:8" ht="24.75" customHeight="1">
      <c r="A1453" s="44" t="s">
        <v>747</v>
      </c>
      <c r="B1453" s="45" t="s">
        <v>4045</v>
      </c>
      <c r="C1453" s="45" t="s">
        <v>6719</v>
      </c>
      <c r="D1453" s="45" t="s">
        <v>6713</v>
      </c>
      <c r="E1453" s="44" t="s">
        <v>6838</v>
      </c>
      <c r="F1453" s="37">
        <v>1</v>
      </c>
      <c r="G1453" s="37" t="s">
        <v>2568</v>
      </c>
      <c r="H1453" s="63">
        <v>1873.3</v>
      </c>
    </row>
    <row r="1454" spans="1:8" ht="24.75" customHeight="1">
      <c r="A1454" s="44" t="s">
        <v>739</v>
      </c>
      <c r="B1454" s="45" t="s">
        <v>4032</v>
      </c>
      <c r="C1454" s="45" t="s">
        <v>6719</v>
      </c>
      <c r="D1454" s="45" t="s">
        <v>6713</v>
      </c>
      <c r="E1454" s="44" t="s">
        <v>6838</v>
      </c>
      <c r="F1454" s="37">
        <v>1</v>
      </c>
      <c r="G1454" s="37" t="s">
        <v>2568</v>
      </c>
      <c r="H1454" s="63">
        <v>1873.3</v>
      </c>
    </row>
    <row r="1455" spans="1:8" ht="24.75" customHeight="1">
      <c r="A1455" s="44" t="s">
        <v>2885</v>
      </c>
      <c r="B1455" s="45" t="s">
        <v>4025</v>
      </c>
      <c r="C1455" s="45" t="s">
        <v>6719</v>
      </c>
      <c r="D1455" s="45" t="s">
        <v>6713</v>
      </c>
      <c r="E1455" s="44" t="s">
        <v>6838</v>
      </c>
      <c r="F1455" s="37">
        <v>1</v>
      </c>
      <c r="G1455" s="37" t="s">
        <v>2568</v>
      </c>
      <c r="H1455" s="63">
        <v>1615.9</v>
      </c>
    </row>
    <row r="1456" spans="1:8" ht="24.75" customHeight="1">
      <c r="A1456" s="44" t="s">
        <v>749</v>
      </c>
      <c r="B1456" s="45" t="s">
        <v>4047</v>
      </c>
      <c r="C1456" s="45" t="s">
        <v>6719</v>
      </c>
      <c r="D1456" s="45" t="s">
        <v>6713</v>
      </c>
      <c r="E1456" s="44" t="s">
        <v>6838</v>
      </c>
      <c r="F1456" s="37">
        <v>1</v>
      </c>
      <c r="G1456" s="37" t="s">
        <v>2568</v>
      </c>
      <c r="H1456" s="63">
        <v>1458.6</v>
      </c>
    </row>
    <row r="1457" spans="1:8" ht="24.75" customHeight="1">
      <c r="A1457" s="44" t="s">
        <v>741</v>
      </c>
      <c r="B1457" s="45" t="s">
        <v>4034</v>
      </c>
      <c r="C1457" s="45" t="s">
        <v>6719</v>
      </c>
      <c r="D1457" s="45" t="s">
        <v>6713</v>
      </c>
      <c r="E1457" s="44" t="s">
        <v>6838</v>
      </c>
      <c r="F1457" s="37">
        <v>1</v>
      </c>
      <c r="G1457" s="37" t="s">
        <v>2568</v>
      </c>
      <c r="H1457" s="63">
        <v>1873.3</v>
      </c>
    </row>
    <row r="1458" spans="1:8" ht="24.75" customHeight="1">
      <c r="A1458" s="44" t="s">
        <v>1510</v>
      </c>
      <c r="B1458" s="45" t="s">
        <v>4038</v>
      </c>
      <c r="C1458" s="45" t="s">
        <v>6719</v>
      </c>
      <c r="D1458" s="45" t="s">
        <v>6713</v>
      </c>
      <c r="E1458" s="44" t="s">
        <v>6838</v>
      </c>
      <c r="F1458" s="37">
        <v>1</v>
      </c>
      <c r="G1458" s="37" t="s">
        <v>2568</v>
      </c>
      <c r="H1458" s="63">
        <v>1987.7</v>
      </c>
    </row>
    <row r="1459" spans="1:8" ht="24.75" customHeight="1">
      <c r="A1459" s="44" t="s">
        <v>75</v>
      </c>
      <c r="B1459" s="45" t="s">
        <v>4035</v>
      </c>
      <c r="C1459" s="45" t="s">
        <v>6719</v>
      </c>
      <c r="D1459" s="45" t="s">
        <v>6713</v>
      </c>
      <c r="E1459" s="44" t="s">
        <v>6838</v>
      </c>
      <c r="F1459" s="37">
        <v>1</v>
      </c>
      <c r="G1459" s="37" t="s">
        <v>2568</v>
      </c>
      <c r="H1459" s="63">
        <v>2545.4</v>
      </c>
    </row>
    <row r="1460" spans="1:8" ht="24.75" customHeight="1">
      <c r="A1460" s="44" t="s">
        <v>746</v>
      </c>
      <c r="B1460" s="45" t="s">
        <v>4044</v>
      </c>
      <c r="C1460" s="45" t="s">
        <v>6719</v>
      </c>
      <c r="D1460" s="45" t="s">
        <v>6713</v>
      </c>
      <c r="E1460" s="44" t="s">
        <v>6838</v>
      </c>
      <c r="F1460" s="37">
        <v>1</v>
      </c>
      <c r="G1460" s="37" t="s">
        <v>2568</v>
      </c>
      <c r="H1460" s="63">
        <v>1873.3</v>
      </c>
    </row>
    <row r="1461" spans="1:8" ht="24.75" customHeight="1">
      <c r="A1461" s="44" t="s">
        <v>744</v>
      </c>
      <c r="B1461" s="45" t="s">
        <v>4042</v>
      </c>
      <c r="C1461" s="45" t="s">
        <v>6719</v>
      </c>
      <c r="D1461" s="45" t="s">
        <v>6713</v>
      </c>
      <c r="E1461" s="44" t="s">
        <v>6838</v>
      </c>
      <c r="F1461" s="37">
        <v>1</v>
      </c>
      <c r="G1461" s="37" t="s">
        <v>2568</v>
      </c>
      <c r="H1461" s="63">
        <v>1987.7</v>
      </c>
    </row>
    <row r="1462" spans="1:8" ht="24.75" customHeight="1">
      <c r="A1462" s="44" t="s">
        <v>751</v>
      </c>
      <c r="B1462" s="45" t="s">
        <v>4049</v>
      </c>
      <c r="C1462" s="45" t="s">
        <v>6719</v>
      </c>
      <c r="D1462" s="45" t="s">
        <v>6713</v>
      </c>
      <c r="E1462" s="44" t="s">
        <v>6838</v>
      </c>
      <c r="F1462" s="37">
        <v>1</v>
      </c>
      <c r="G1462" s="37" t="s">
        <v>2568</v>
      </c>
      <c r="H1462" s="63">
        <v>2130.6999999999998</v>
      </c>
    </row>
    <row r="1463" spans="1:8" ht="24.75" customHeight="1">
      <c r="A1463" s="44" t="s">
        <v>750</v>
      </c>
      <c r="B1463" s="45" t="s">
        <v>4048</v>
      </c>
      <c r="C1463" s="45" t="s">
        <v>6719</v>
      </c>
      <c r="D1463" s="45" t="s">
        <v>6713</v>
      </c>
      <c r="E1463" s="44" t="s">
        <v>6838</v>
      </c>
      <c r="F1463" s="37">
        <v>1</v>
      </c>
      <c r="G1463" s="37" t="s">
        <v>2568</v>
      </c>
      <c r="H1463" s="63">
        <v>1816.1</v>
      </c>
    </row>
    <row r="1464" spans="1:8" ht="24.75" customHeight="1">
      <c r="A1464" s="44" t="s">
        <v>2929</v>
      </c>
      <c r="B1464" s="45" t="s">
        <v>4039</v>
      </c>
      <c r="C1464" s="45" t="s">
        <v>6719</v>
      </c>
      <c r="D1464" s="45" t="s">
        <v>6713</v>
      </c>
      <c r="E1464" s="44" t="s">
        <v>6838</v>
      </c>
      <c r="F1464" s="37">
        <v>1</v>
      </c>
      <c r="G1464" s="37" t="s">
        <v>2568</v>
      </c>
      <c r="H1464" s="63">
        <v>2902.9</v>
      </c>
    </row>
    <row r="1465" spans="1:8" ht="24.75" customHeight="1">
      <c r="A1465" s="44" t="s">
        <v>77</v>
      </c>
      <c r="B1465" s="45" t="s">
        <v>4037</v>
      </c>
      <c r="C1465" s="45" t="s">
        <v>6719</v>
      </c>
      <c r="D1465" s="45" t="s">
        <v>6713</v>
      </c>
      <c r="E1465" s="44" t="s">
        <v>6838</v>
      </c>
      <c r="F1465" s="37">
        <v>1</v>
      </c>
      <c r="G1465" s="37" t="s">
        <v>2568</v>
      </c>
      <c r="H1465" s="63">
        <v>2030.6</v>
      </c>
    </row>
    <row r="1466" spans="1:8" ht="24.75" customHeight="1">
      <c r="A1466" s="44" t="s">
        <v>2126</v>
      </c>
      <c r="B1466" s="45" t="s">
        <v>4053</v>
      </c>
      <c r="C1466" s="45" t="s">
        <v>6719</v>
      </c>
      <c r="D1466" s="45" t="s">
        <v>6713</v>
      </c>
      <c r="E1466" s="44" t="s">
        <v>6838</v>
      </c>
      <c r="F1466" s="37">
        <v>1</v>
      </c>
      <c r="G1466" s="37" t="s">
        <v>2568</v>
      </c>
      <c r="H1466" s="63">
        <v>1873.3</v>
      </c>
    </row>
    <row r="1467" spans="1:8" ht="24.75" customHeight="1">
      <c r="A1467" s="44" t="s">
        <v>1913</v>
      </c>
      <c r="B1467" s="45" t="s">
        <v>4021</v>
      </c>
      <c r="C1467" s="45" t="s">
        <v>6719</v>
      </c>
      <c r="D1467" s="45" t="s">
        <v>6713</v>
      </c>
      <c r="E1467" s="44" t="s">
        <v>6838</v>
      </c>
      <c r="F1467" s="37">
        <v>1</v>
      </c>
      <c r="G1467" s="37" t="s">
        <v>2568</v>
      </c>
      <c r="H1467" s="63">
        <v>2288</v>
      </c>
    </row>
    <row r="1468" spans="1:8" ht="24.75" customHeight="1">
      <c r="A1468" s="44" t="s">
        <v>1914</v>
      </c>
      <c r="B1468" s="45" t="s">
        <v>4022</v>
      </c>
      <c r="C1468" s="45" t="s">
        <v>6719</v>
      </c>
      <c r="D1468" s="45" t="s">
        <v>6713</v>
      </c>
      <c r="E1468" s="44" t="s">
        <v>6838</v>
      </c>
      <c r="F1468" s="37">
        <v>1</v>
      </c>
      <c r="G1468" s="37" t="s">
        <v>2568</v>
      </c>
      <c r="H1468" s="63">
        <v>2388.1</v>
      </c>
    </row>
    <row r="1469" spans="1:8" ht="24.75" customHeight="1">
      <c r="A1469" s="44" t="s">
        <v>738</v>
      </c>
      <c r="B1469" s="45" t="s">
        <v>4031</v>
      </c>
      <c r="C1469" s="45" t="s">
        <v>6719</v>
      </c>
      <c r="D1469" s="45" t="s">
        <v>6713</v>
      </c>
      <c r="E1469" s="44" t="s">
        <v>6838</v>
      </c>
      <c r="F1469" s="37">
        <v>1</v>
      </c>
      <c r="G1469" s="37" t="s">
        <v>2568</v>
      </c>
      <c r="H1469" s="63">
        <v>1244.0999999999999</v>
      </c>
    </row>
    <row r="1470" spans="1:8" ht="24.75" customHeight="1">
      <c r="A1470" s="44" t="s">
        <v>2928</v>
      </c>
      <c r="B1470" s="45" t="s">
        <v>4026</v>
      </c>
      <c r="C1470" s="45" t="s">
        <v>6719</v>
      </c>
      <c r="D1470" s="45" t="s">
        <v>6713</v>
      </c>
      <c r="E1470" s="44" t="s">
        <v>6838</v>
      </c>
      <c r="F1470" s="37">
        <v>1</v>
      </c>
      <c r="G1470" s="37" t="s">
        <v>2568</v>
      </c>
      <c r="H1470" s="63">
        <v>1458.6</v>
      </c>
    </row>
    <row r="1471" spans="1:8" ht="24.75" customHeight="1">
      <c r="A1471" s="44" t="s">
        <v>1915</v>
      </c>
      <c r="B1471" s="45" t="s">
        <v>4023</v>
      </c>
      <c r="C1471" s="45" t="s">
        <v>6719</v>
      </c>
      <c r="D1471" s="45" t="s">
        <v>6713</v>
      </c>
      <c r="E1471" s="44" t="s">
        <v>6838</v>
      </c>
      <c r="F1471" s="37">
        <v>1</v>
      </c>
      <c r="G1471" s="37" t="s">
        <v>2568</v>
      </c>
      <c r="H1471" s="63">
        <v>1658.8</v>
      </c>
    </row>
    <row r="1472" spans="1:8" ht="24.75" customHeight="1">
      <c r="A1472" s="44" t="s">
        <v>743</v>
      </c>
      <c r="B1472" s="45" t="s">
        <v>4041</v>
      </c>
      <c r="C1472" s="45" t="s">
        <v>6719</v>
      </c>
      <c r="D1472" s="45" t="s">
        <v>6713</v>
      </c>
      <c r="E1472" s="44" t="s">
        <v>6838</v>
      </c>
      <c r="F1472" s="37">
        <v>1</v>
      </c>
      <c r="G1472" s="37" t="s">
        <v>2568</v>
      </c>
      <c r="H1472" s="63">
        <v>1615.9</v>
      </c>
    </row>
    <row r="1473" spans="1:8" ht="24.75" customHeight="1">
      <c r="A1473" s="44" t="s">
        <v>740</v>
      </c>
      <c r="B1473" s="45" t="s">
        <v>4033</v>
      </c>
      <c r="C1473" s="45" t="s">
        <v>6719</v>
      </c>
      <c r="D1473" s="45" t="s">
        <v>6713</v>
      </c>
      <c r="E1473" s="44" t="s">
        <v>6838</v>
      </c>
      <c r="F1473" s="37">
        <v>1</v>
      </c>
      <c r="G1473" s="37" t="s">
        <v>2568</v>
      </c>
      <c r="H1473" s="63">
        <v>1301.3</v>
      </c>
    </row>
    <row r="1474" spans="1:8" ht="24.75" customHeight="1">
      <c r="A1474" s="44" t="s">
        <v>752</v>
      </c>
      <c r="B1474" s="45" t="s">
        <v>4050</v>
      </c>
      <c r="C1474" s="45" t="s">
        <v>6719</v>
      </c>
      <c r="D1474" s="45" t="s">
        <v>6713</v>
      </c>
      <c r="E1474" s="44" t="s">
        <v>6838</v>
      </c>
      <c r="F1474" s="37">
        <v>1</v>
      </c>
      <c r="G1474" s="37" t="s">
        <v>2568</v>
      </c>
      <c r="H1474" s="63">
        <v>1458.6</v>
      </c>
    </row>
    <row r="1475" spans="1:8" ht="24.75" customHeight="1">
      <c r="A1475" s="44" t="s">
        <v>1206</v>
      </c>
      <c r="B1475" s="45" t="s">
        <v>4054</v>
      </c>
      <c r="C1475" s="45" t="s">
        <v>6719</v>
      </c>
      <c r="D1475" s="45" t="s">
        <v>6713</v>
      </c>
      <c r="E1475" s="44" t="s">
        <v>6838</v>
      </c>
      <c r="F1475" s="37">
        <v>1</v>
      </c>
      <c r="G1475" s="37" t="s">
        <v>2568</v>
      </c>
      <c r="H1475" s="63">
        <v>1873.3</v>
      </c>
    </row>
    <row r="1476" spans="1:8" ht="24.75" customHeight="1">
      <c r="A1476" s="44" t="s">
        <v>748</v>
      </c>
      <c r="B1476" s="45" t="s">
        <v>4046</v>
      </c>
      <c r="C1476" s="45" t="s">
        <v>6719</v>
      </c>
      <c r="D1476" s="45" t="s">
        <v>6713</v>
      </c>
      <c r="E1476" s="44" t="s">
        <v>6838</v>
      </c>
      <c r="F1476" s="37">
        <v>1</v>
      </c>
      <c r="G1476" s="37" t="s">
        <v>2568</v>
      </c>
      <c r="H1476" s="63">
        <v>1758.9</v>
      </c>
    </row>
    <row r="1477" spans="1:8" ht="24.75" customHeight="1">
      <c r="A1477" s="44" t="s">
        <v>2883</v>
      </c>
      <c r="B1477" s="45" t="s">
        <v>4052</v>
      </c>
      <c r="C1477" s="45" t="s">
        <v>6719</v>
      </c>
      <c r="D1477" s="45" t="s">
        <v>6713</v>
      </c>
      <c r="E1477" s="44"/>
      <c r="F1477" s="37">
        <v>1</v>
      </c>
      <c r="G1477" s="37" t="s">
        <v>2568</v>
      </c>
      <c r="H1477" s="63">
        <v>1201.2</v>
      </c>
    </row>
    <row r="1478" spans="1:8" ht="24.75" customHeight="1">
      <c r="A1478" s="44" t="s">
        <v>2882</v>
      </c>
      <c r="B1478" s="45" t="s">
        <v>4051</v>
      </c>
      <c r="C1478" s="45" t="s">
        <v>6719</v>
      </c>
      <c r="D1478" s="45" t="s">
        <v>6713</v>
      </c>
      <c r="E1478" s="44" t="s">
        <v>6855</v>
      </c>
      <c r="F1478" s="37">
        <v>1</v>
      </c>
      <c r="G1478" s="37" t="s">
        <v>2568</v>
      </c>
      <c r="H1478" s="63">
        <v>1201.2</v>
      </c>
    </row>
    <row r="1479" spans="1:8" ht="24.75" customHeight="1">
      <c r="A1479" s="44" t="s">
        <v>1444</v>
      </c>
      <c r="B1479" s="45" t="s">
        <v>5005</v>
      </c>
      <c r="C1479" s="45" t="s">
        <v>6719</v>
      </c>
      <c r="D1479" s="45" t="s">
        <v>6737</v>
      </c>
      <c r="E1479" s="44"/>
      <c r="F1479" s="37">
        <v>1</v>
      </c>
      <c r="G1479" s="37" t="s">
        <v>6864</v>
      </c>
      <c r="H1479" s="63">
        <v>10038.6</v>
      </c>
    </row>
    <row r="1480" spans="1:8" ht="24.75" customHeight="1">
      <c r="A1480" s="44" t="s">
        <v>534</v>
      </c>
      <c r="B1480" s="45" t="s">
        <v>5741</v>
      </c>
      <c r="C1480" s="45" t="s">
        <v>6719</v>
      </c>
      <c r="D1480" s="45" t="s">
        <v>6737</v>
      </c>
      <c r="E1480" s="44"/>
      <c r="F1480" s="37">
        <v>1</v>
      </c>
      <c r="G1480" s="37" t="s">
        <v>6864</v>
      </c>
      <c r="H1480" s="63">
        <v>12083.5</v>
      </c>
    </row>
    <row r="1481" spans="1:8" ht="24.75" customHeight="1">
      <c r="A1481" s="44" t="s">
        <v>2824</v>
      </c>
      <c r="B1481" s="45" t="s">
        <v>5826</v>
      </c>
      <c r="C1481" s="45" t="s">
        <v>6719</v>
      </c>
      <c r="D1481" s="45" t="s">
        <v>6737</v>
      </c>
      <c r="E1481" s="44"/>
      <c r="F1481" s="37">
        <v>1</v>
      </c>
      <c r="G1481" s="37" t="s">
        <v>6864</v>
      </c>
      <c r="H1481" s="63">
        <v>23852.400000000001</v>
      </c>
    </row>
    <row r="1482" spans="1:8" ht="24.75" customHeight="1">
      <c r="A1482" s="44" t="s">
        <v>1341</v>
      </c>
      <c r="B1482" s="45" t="s">
        <v>5170</v>
      </c>
      <c r="C1482" s="45" t="s">
        <v>6719</v>
      </c>
      <c r="D1482" s="45" t="s">
        <v>6737</v>
      </c>
      <c r="E1482" s="44"/>
      <c r="F1482" s="37">
        <v>1</v>
      </c>
      <c r="G1482" s="37" t="s">
        <v>6864</v>
      </c>
      <c r="H1482" s="63">
        <v>12083.5</v>
      </c>
    </row>
    <row r="1483" spans="1:8" ht="24.75" customHeight="1">
      <c r="A1483" s="44" t="s">
        <v>1441</v>
      </c>
      <c r="B1483" s="45" t="s">
        <v>5002</v>
      </c>
      <c r="C1483" s="45" t="s">
        <v>6719</v>
      </c>
      <c r="D1483" s="45" t="s">
        <v>6737</v>
      </c>
      <c r="E1483" s="44"/>
      <c r="F1483" s="37">
        <v>1</v>
      </c>
      <c r="G1483" s="37" t="s">
        <v>6864</v>
      </c>
      <c r="H1483" s="63">
        <v>8208.2000000000007</v>
      </c>
    </row>
    <row r="1484" spans="1:8" ht="24.75" customHeight="1">
      <c r="A1484" s="44" t="s">
        <v>181</v>
      </c>
      <c r="B1484" s="45" t="s">
        <v>5953</v>
      </c>
      <c r="C1484" s="45" t="s">
        <v>6719</v>
      </c>
      <c r="D1484" s="45" t="s">
        <v>6737</v>
      </c>
      <c r="E1484" s="44"/>
      <c r="F1484" s="37">
        <v>1</v>
      </c>
      <c r="G1484" s="37" t="s">
        <v>6864</v>
      </c>
      <c r="H1484" s="63">
        <v>13785.2</v>
      </c>
    </row>
    <row r="1485" spans="1:8" ht="24.75" customHeight="1">
      <c r="A1485" s="44" t="s">
        <v>1100</v>
      </c>
      <c r="B1485" s="45" t="s">
        <v>5083</v>
      </c>
      <c r="C1485" s="45" t="s">
        <v>6719</v>
      </c>
      <c r="D1485" s="45" t="s">
        <v>6737</v>
      </c>
      <c r="E1485" s="44" t="s">
        <v>6839</v>
      </c>
      <c r="F1485" s="37">
        <v>1</v>
      </c>
      <c r="G1485" s="37" t="s">
        <v>6864</v>
      </c>
      <c r="H1485" s="63">
        <v>5319.6</v>
      </c>
    </row>
    <row r="1486" spans="1:8" ht="24.75" customHeight="1">
      <c r="A1486" s="44" t="s">
        <v>1634</v>
      </c>
      <c r="B1486" s="45" t="s">
        <v>5530</v>
      </c>
      <c r="C1486" s="45" t="s">
        <v>6719</v>
      </c>
      <c r="D1486" s="45" t="s">
        <v>6737</v>
      </c>
      <c r="E1486" s="44" t="s">
        <v>6839</v>
      </c>
      <c r="F1486" s="37">
        <v>1</v>
      </c>
      <c r="G1486" s="37" t="s">
        <v>6864</v>
      </c>
      <c r="H1486" s="63">
        <v>11139.7</v>
      </c>
    </row>
    <row r="1487" spans="1:8" ht="24.75" customHeight="1">
      <c r="A1487" s="44" t="s">
        <v>1348</v>
      </c>
      <c r="B1487" s="45" t="s">
        <v>4332</v>
      </c>
      <c r="C1487" s="45" t="s">
        <v>6719</v>
      </c>
      <c r="D1487" s="45" t="s">
        <v>6737</v>
      </c>
      <c r="E1487" s="44" t="s">
        <v>6839</v>
      </c>
      <c r="F1487" s="37">
        <v>1</v>
      </c>
      <c r="G1487" s="37" t="s">
        <v>6864</v>
      </c>
      <c r="H1487" s="63">
        <v>9595.2999999999993</v>
      </c>
    </row>
    <row r="1488" spans="1:8" ht="24.75" customHeight="1">
      <c r="A1488" s="44" t="s">
        <v>2406</v>
      </c>
      <c r="B1488" s="45" t="s">
        <v>4331</v>
      </c>
      <c r="C1488" s="45" t="s">
        <v>6719</v>
      </c>
      <c r="D1488" s="45" t="s">
        <v>6737</v>
      </c>
      <c r="E1488" s="44" t="s">
        <v>956</v>
      </c>
      <c r="F1488" s="37">
        <v>1</v>
      </c>
      <c r="G1488" s="37" t="s">
        <v>6864</v>
      </c>
      <c r="H1488" s="63">
        <v>9409.4</v>
      </c>
    </row>
    <row r="1489" spans="1:8" ht="24.75" customHeight="1">
      <c r="A1489" s="44" t="s">
        <v>2405</v>
      </c>
      <c r="B1489" s="45" t="s">
        <v>4330</v>
      </c>
      <c r="C1489" s="45" t="s">
        <v>6719</v>
      </c>
      <c r="D1489" s="45" t="s">
        <v>6737</v>
      </c>
      <c r="E1489" s="44" t="s">
        <v>956</v>
      </c>
      <c r="F1489" s="37">
        <v>1</v>
      </c>
      <c r="G1489" s="37" t="s">
        <v>6864</v>
      </c>
      <c r="H1489" s="63">
        <v>9523.7999999999993</v>
      </c>
    </row>
    <row r="1490" spans="1:8" ht="24.75" customHeight="1">
      <c r="A1490" s="44" t="s">
        <v>1349</v>
      </c>
      <c r="B1490" s="45" t="s">
        <v>4333</v>
      </c>
      <c r="C1490" s="45" t="s">
        <v>6719</v>
      </c>
      <c r="D1490" s="45" t="s">
        <v>6737</v>
      </c>
      <c r="E1490" s="44" t="s">
        <v>6839</v>
      </c>
      <c r="F1490" s="37">
        <v>1</v>
      </c>
      <c r="G1490" s="37" t="s">
        <v>6864</v>
      </c>
      <c r="H1490" s="63">
        <v>11411.4</v>
      </c>
    </row>
    <row r="1491" spans="1:8" ht="24.75" customHeight="1">
      <c r="A1491" s="44" t="s">
        <v>792</v>
      </c>
      <c r="B1491" s="45" t="s">
        <v>5954</v>
      </c>
      <c r="C1491" s="45" t="s">
        <v>6719</v>
      </c>
      <c r="D1491" s="45" t="s">
        <v>6737</v>
      </c>
      <c r="E1491" s="44" t="s">
        <v>6839</v>
      </c>
      <c r="F1491" s="37">
        <v>1</v>
      </c>
      <c r="G1491" s="37" t="s">
        <v>6864</v>
      </c>
      <c r="H1491" s="63">
        <v>8079.5</v>
      </c>
    </row>
    <row r="1492" spans="1:8" ht="24.75" customHeight="1">
      <c r="A1492" s="44" t="s">
        <v>2676</v>
      </c>
      <c r="B1492" s="45" t="s">
        <v>4341</v>
      </c>
      <c r="C1492" s="45" t="s">
        <v>6719</v>
      </c>
      <c r="D1492" s="45" t="s">
        <v>6737</v>
      </c>
      <c r="E1492" s="44"/>
      <c r="F1492" s="37">
        <v>1</v>
      </c>
      <c r="G1492" s="37" t="s">
        <v>6864</v>
      </c>
      <c r="H1492" s="63">
        <v>7478.9</v>
      </c>
    </row>
    <row r="1493" spans="1:8" ht="24.75" customHeight="1">
      <c r="A1493" s="44" t="s">
        <v>1095</v>
      </c>
      <c r="B1493" s="45" t="s">
        <v>4339</v>
      </c>
      <c r="C1493" s="45" t="s">
        <v>6719</v>
      </c>
      <c r="D1493" s="45" t="s">
        <v>6737</v>
      </c>
      <c r="E1493" s="44" t="s">
        <v>956</v>
      </c>
      <c r="F1493" s="37">
        <v>1</v>
      </c>
      <c r="G1493" s="37" t="s">
        <v>6864</v>
      </c>
      <c r="H1493" s="63">
        <v>11011</v>
      </c>
    </row>
    <row r="1494" spans="1:8" ht="24.75" customHeight="1">
      <c r="A1494" s="44" t="s">
        <v>1350</v>
      </c>
      <c r="B1494" s="45" t="s">
        <v>4334</v>
      </c>
      <c r="C1494" s="45" t="s">
        <v>6719</v>
      </c>
      <c r="D1494" s="45" t="s">
        <v>6737</v>
      </c>
      <c r="E1494" s="44" t="s">
        <v>956</v>
      </c>
      <c r="F1494" s="37">
        <v>1</v>
      </c>
      <c r="G1494" s="37" t="s">
        <v>6864</v>
      </c>
      <c r="H1494" s="63">
        <v>8808.7999999999993</v>
      </c>
    </row>
    <row r="1495" spans="1:8" ht="24.75" customHeight="1">
      <c r="A1495" s="44" t="s">
        <v>1351</v>
      </c>
      <c r="B1495" s="45" t="s">
        <v>4335</v>
      </c>
      <c r="C1495" s="45" t="s">
        <v>6719</v>
      </c>
      <c r="D1495" s="45" t="s">
        <v>6737</v>
      </c>
      <c r="E1495" s="44" t="s">
        <v>956</v>
      </c>
      <c r="F1495" s="37">
        <v>1</v>
      </c>
      <c r="G1495" s="37" t="s">
        <v>6864</v>
      </c>
      <c r="H1495" s="63">
        <v>6363.5</v>
      </c>
    </row>
    <row r="1496" spans="1:8" ht="24.75" customHeight="1">
      <c r="A1496" s="44" t="s">
        <v>1352</v>
      </c>
      <c r="B1496" s="45" t="s">
        <v>4336</v>
      </c>
      <c r="C1496" s="45" t="s">
        <v>6719</v>
      </c>
      <c r="D1496" s="45" t="s">
        <v>6737</v>
      </c>
      <c r="E1496" s="44"/>
      <c r="F1496" s="37">
        <v>1</v>
      </c>
      <c r="G1496" s="37" t="s">
        <v>6864</v>
      </c>
      <c r="H1496" s="63">
        <v>6921.2</v>
      </c>
    </row>
    <row r="1497" spans="1:8" ht="24.75" customHeight="1">
      <c r="A1497" s="44" t="s">
        <v>2806</v>
      </c>
      <c r="B1497" s="45" t="s">
        <v>5805</v>
      </c>
      <c r="C1497" s="45" t="s">
        <v>6719</v>
      </c>
      <c r="D1497" s="45" t="s">
        <v>6737</v>
      </c>
      <c r="E1497" s="44" t="s">
        <v>6839</v>
      </c>
      <c r="F1497" s="37">
        <v>1</v>
      </c>
      <c r="G1497" s="37" t="s">
        <v>6864</v>
      </c>
      <c r="H1497" s="63">
        <v>6377.8</v>
      </c>
    </row>
    <row r="1498" spans="1:8" ht="24.75" customHeight="1">
      <c r="A1498" s="44" t="s">
        <v>2228</v>
      </c>
      <c r="B1498" s="45" t="s">
        <v>5928</v>
      </c>
      <c r="C1498" s="45" t="s">
        <v>6719</v>
      </c>
      <c r="D1498" s="45" t="s">
        <v>6737</v>
      </c>
      <c r="E1498" s="44" t="s">
        <v>956</v>
      </c>
      <c r="F1498" s="37">
        <v>1</v>
      </c>
      <c r="G1498" s="37" t="s">
        <v>6864</v>
      </c>
      <c r="H1498" s="63">
        <v>9967.1</v>
      </c>
    </row>
    <row r="1499" spans="1:8" ht="24.75" customHeight="1">
      <c r="A1499" s="44" t="s">
        <v>1353</v>
      </c>
      <c r="B1499" s="45" t="s">
        <v>4337</v>
      </c>
      <c r="C1499" s="45" t="s">
        <v>6719</v>
      </c>
      <c r="D1499" s="45" t="s">
        <v>6737</v>
      </c>
      <c r="E1499" s="44" t="s">
        <v>956</v>
      </c>
      <c r="F1499" s="37">
        <v>1</v>
      </c>
      <c r="G1499" s="37" t="s">
        <v>6864</v>
      </c>
      <c r="H1499" s="63">
        <v>10467.6</v>
      </c>
    </row>
    <row r="1500" spans="1:8" ht="24.75" customHeight="1">
      <c r="A1500" s="44" t="s">
        <v>1354</v>
      </c>
      <c r="B1500" s="45" t="s">
        <v>4338</v>
      </c>
      <c r="C1500" s="45" t="s">
        <v>6719</v>
      </c>
      <c r="D1500" s="45" t="s">
        <v>6737</v>
      </c>
      <c r="E1500" s="44"/>
      <c r="F1500" s="37">
        <v>1</v>
      </c>
      <c r="G1500" s="37" t="s">
        <v>6864</v>
      </c>
      <c r="H1500" s="63">
        <v>5805.8</v>
      </c>
    </row>
    <row r="1501" spans="1:8" ht="24.75" customHeight="1">
      <c r="A1501" s="44" t="s">
        <v>1096</v>
      </c>
      <c r="B1501" s="45" t="s">
        <v>4340</v>
      </c>
      <c r="C1501" s="45" t="s">
        <v>6719</v>
      </c>
      <c r="D1501" s="45" t="s">
        <v>6737</v>
      </c>
      <c r="E1501" s="44" t="s">
        <v>956</v>
      </c>
      <c r="F1501" s="37">
        <v>1</v>
      </c>
      <c r="G1501" s="37" t="s">
        <v>6864</v>
      </c>
      <c r="H1501" s="63">
        <v>11511.5</v>
      </c>
    </row>
    <row r="1502" spans="1:8" ht="24.75" customHeight="1">
      <c r="A1502" s="44" t="s">
        <v>3147</v>
      </c>
      <c r="B1502" s="45" t="s">
        <v>4342</v>
      </c>
      <c r="C1502" s="45" t="s">
        <v>6719</v>
      </c>
      <c r="D1502" s="45" t="s">
        <v>6737</v>
      </c>
      <c r="E1502" s="44"/>
      <c r="F1502" s="37">
        <v>1</v>
      </c>
      <c r="G1502" s="37" t="s">
        <v>6864</v>
      </c>
      <c r="H1502" s="63">
        <v>6821.1</v>
      </c>
    </row>
    <row r="1503" spans="1:8" ht="24.75" customHeight="1">
      <c r="A1503" s="44" t="s">
        <v>1442</v>
      </c>
      <c r="B1503" s="45" t="s">
        <v>5003</v>
      </c>
      <c r="C1503" s="45" t="s">
        <v>6719</v>
      </c>
      <c r="D1503" s="45" t="s">
        <v>6737</v>
      </c>
      <c r="E1503" s="44"/>
      <c r="F1503" s="37">
        <v>5</v>
      </c>
      <c r="G1503" s="37" t="s">
        <v>6864</v>
      </c>
      <c r="H1503" s="63">
        <v>1830.4</v>
      </c>
    </row>
    <row r="1504" spans="1:8" ht="24.75" customHeight="1">
      <c r="A1504" s="44" t="s">
        <v>1443</v>
      </c>
      <c r="B1504" s="45" t="s">
        <v>5004</v>
      </c>
      <c r="C1504" s="45" t="s">
        <v>6719</v>
      </c>
      <c r="D1504" s="45" t="s">
        <v>6737</v>
      </c>
      <c r="E1504" s="44"/>
      <c r="F1504" s="37">
        <v>10</v>
      </c>
      <c r="G1504" s="37" t="s">
        <v>6864</v>
      </c>
      <c r="H1504" s="63">
        <v>3417.7</v>
      </c>
    </row>
    <row r="1505" spans="1:8" ht="24.75" customHeight="1">
      <c r="A1505" s="44" t="s">
        <v>680</v>
      </c>
      <c r="B1505" s="45" t="s">
        <v>5714</v>
      </c>
      <c r="C1505" s="45" t="s">
        <v>6719</v>
      </c>
      <c r="D1505" s="45" t="s">
        <v>6737</v>
      </c>
      <c r="E1505" s="44"/>
      <c r="F1505" s="37">
        <v>10</v>
      </c>
      <c r="G1505" s="37" t="s">
        <v>2568</v>
      </c>
      <c r="H1505" s="63">
        <v>2945.8</v>
      </c>
    </row>
    <row r="1506" spans="1:8" ht="24.75" customHeight="1">
      <c r="A1506" s="44" t="s">
        <v>2825</v>
      </c>
      <c r="B1506" s="45" t="s">
        <v>5827</v>
      </c>
      <c r="C1506" s="45" t="s">
        <v>6719</v>
      </c>
      <c r="D1506" s="45" t="s">
        <v>6737</v>
      </c>
      <c r="E1506" s="44"/>
      <c r="F1506" s="37">
        <v>1</v>
      </c>
      <c r="G1506" s="37" t="s">
        <v>2568</v>
      </c>
      <c r="H1506" s="63">
        <v>4733.3</v>
      </c>
    </row>
    <row r="1507" spans="1:8" ht="24.75" customHeight="1">
      <c r="A1507" s="44" t="s">
        <v>1162</v>
      </c>
      <c r="B1507" s="45" t="s">
        <v>5138</v>
      </c>
      <c r="C1507" s="45" t="s">
        <v>6719</v>
      </c>
      <c r="D1507" s="45" t="s">
        <v>6737</v>
      </c>
      <c r="E1507" s="44"/>
      <c r="F1507" s="37">
        <v>10</v>
      </c>
      <c r="G1507" s="37" t="s">
        <v>2568</v>
      </c>
      <c r="H1507" s="63">
        <v>2187.9</v>
      </c>
    </row>
    <row r="1508" spans="1:8" ht="24.75" customHeight="1">
      <c r="A1508" s="44" t="s">
        <v>422</v>
      </c>
      <c r="B1508" s="45" t="s">
        <v>5982</v>
      </c>
      <c r="C1508" s="45" t="s">
        <v>6719</v>
      </c>
      <c r="D1508" s="45" t="s">
        <v>6738</v>
      </c>
      <c r="E1508" s="44"/>
      <c r="F1508" s="37">
        <v>1</v>
      </c>
      <c r="G1508" s="37" t="s">
        <v>6864</v>
      </c>
      <c r="H1508" s="63">
        <v>1930.5</v>
      </c>
    </row>
    <row r="1509" spans="1:8" ht="24.75" customHeight="1">
      <c r="A1509" s="44" t="s">
        <v>1137</v>
      </c>
      <c r="B1509" s="45" t="s">
        <v>5608</v>
      </c>
      <c r="C1509" s="45" t="s">
        <v>6719</v>
      </c>
      <c r="D1509" s="45" t="s">
        <v>6738</v>
      </c>
      <c r="E1509" s="44" t="s">
        <v>6839</v>
      </c>
      <c r="F1509" s="37">
        <v>1</v>
      </c>
      <c r="G1509" s="37" t="s">
        <v>6864</v>
      </c>
      <c r="H1509" s="63">
        <v>19047.599999999999</v>
      </c>
    </row>
    <row r="1510" spans="1:8" ht="24.75" customHeight="1">
      <c r="A1510" s="44" t="s">
        <v>2239</v>
      </c>
      <c r="B1510" s="45" t="s">
        <v>5596</v>
      </c>
      <c r="C1510" s="45" t="s">
        <v>6719</v>
      </c>
      <c r="D1510" s="45" t="s">
        <v>6738</v>
      </c>
      <c r="E1510" s="44"/>
      <c r="F1510" s="37">
        <v>5</v>
      </c>
      <c r="G1510" s="37" t="s">
        <v>6864</v>
      </c>
      <c r="H1510" s="63">
        <v>7092.8</v>
      </c>
    </row>
    <row r="1511" spans="1:8" ht="24.75" customHeight="1">
      <c r="A1511" s="44" t="s">
        <v>531</v>
      </c>
      <c r="B1511" s="45" t="s">
        <v>5738</v>
      </c>
      <c r="C1511" s="45" t="s">
        <v>6719</v>
      </c>
      <c r="D1511" s="45" t="s">
        <v>6738</v>
      </c>
      <c r="E1511" s="44"/>
      <c r="F1511" s="37">
        <v>1</v>
      </c>
      <c r="G1511" s="37" t="s">
        <v>6864</v>
      </c>
      <c r="H1511" s="63">
        <v>5362.5</v>
      </c>
    </row>
    <row r="1512" spans="1:8" ht="24.75" customHeight="1">
      <c r="A1512" s="44" t="s">
        <v>1279</v>
      </c>
      <c r="B1512" s="45" t="s">
        <v>3963</v>
      </c>
      <c r="C1512" s="45" t="s">
        <v>6719</v>
      </c>
      <c r="D1512" s="45" t="s">
        <v>6739</v>
      </c>
      <c r="E1512" s="44" t="s">
        <v>6839</v>
      </c>
      <c r="F1512" s="37">
        <v>1</v>
      </c>
      <c r="G1512" s="37" t="s">
        <v>2568</v>
      </c>
      <c r="H1512" s="63">
        <v>1315.6</v>
      </c>
    </row>
    <row r="1513" spans="1:8" ht="24.75" customHeight="1">
      <c r="A1513" s="44" t="s">
        <v>374</v>
      </c>
      <c r="B1513" s="45" t="s">
        <v>3966</v>
      </c>
      <c r="C1513" s="45" t="s">
        <v>6719</v>
      </c>
      <c r="D1513" s="45" t="s">
        <v>6739</v>
      </c>
      <c r="E1513" s="44" t="s">
        <v>6839</v>
      </c>
      <c r="F1513" s="37">
        <v>1</v>
      </c>
      <c r="G1513" s="37" t="s">
        <v>2568</v>
      </c>
      <c r="H1513" s="63">
        <v>1758.9</v>
      </c>
    </row>
    <row r="1514" spans="1:8" ht="24.75" customHeight="1">
      <c r="A1514" s="44" t="s">
        <v>383</v>
      </c>
      <c r="B1514" s="45" t="s">
        <v>3977</v>
      </c>
      <c r="C1514" s="45" t="s">
        <v>6719</v>
      </c>
      <c r="D1514" s="45" t="s">
        <v>6739</v>
      </c>
      <c r="E1514" s="44" t="s">
        <v>6839</v>
      </c>
      <c r="F1514" s="37">
        <v>1</v>
      </c>
      <c r="G1514" s="37" t="s">
        <v>2568</v>
      </c>
      <c r="H1514" s="63">
        <v>1630.2</v>
      </c>
    </row>
    <row r="1515" spans="1:8" ht="24.75" customHeight="1">
      <c r="A1515" s="44" t="s">
        <v>384</v>
      </c>
      <c r="B1515" s="45" t="s">
        <v>3978</v>
      </c>
      <c r="C1515" s="45" t="s">
        <v>6719</v>
      </c>
      <c r="D1515" s="45" t="s">
        <v>6739</v>
      </c>
      <c r="E1515" s="44" t="s">
        <v>6839</v>
      </c>
      <c r="F1515" s="37">
        <v>1</v>
      </c>
      <c r="G1515" s="37" t="s">
        <v>2568</v>
      </c>
      <c r="H1515" s="63">
        <v>2574</v>
      </c>
    </row>
    <row r="1516" spans="1:8" ht="24.75" customHeight="1">
      <c r="A1516" s="44" t="s">
        <v>514</v>
      </c>
      <c r="B1516" s="45" t="s">
        <v>3960</v>
      </c>
      <c r="C1516" s="45" t="s">
        <v>6719</v>
      </c>
      <c r="D1516" s="45" t="s">
        <v>6739</v>
      </c>
      <c r="E1516" s="44" t="s">
        <v>6839</v>
      </c>
      <c r="F1516" s="37">
        <v>1</v>
      </c>
      <c r="G1516" s="37" t="s">
        <v>2568</v>
      </c>
      <c r="H1516" s="63">
        <v>1129.7</v>
      </c>
    </row>
    <row r="1517" spans="1:8" ht="24.75" customHeight="1">
      <c r="A1517" s="44" t="s">
        <v>382</v>
      </c>
      <c r="B1517" s="45" t="s">
        <v>3976</v>
      </c>
      <c r="C1517" s="45" t="s">
        <v>6719</v>
      </c>
      <c r="D1517" s="45" t="s">
        <v>6739</v>
      </c>
      <c r="E1517" s="44" t="s">
        <v>6839</v>
      </c>
      <c r="F1517" s="37">
        <v>1</v>
      </c>
      <c r="G1517" s="37" t="s">
        <v>2568</v>
      </c>
      <c r="H1517" s="63">
        <v>2059.1999999999998</v>
      </c>
    </row>
    <row r="1518" spans="1:8" ht="24.75" customHeight="1">
      <c r="A1518" s="44" t="s">
        <v>1019</v>
      </c>
      <c r="B1518" s="45" t="s">
        <v>3952</v>
      </c>
      <c r="C1518" s="45" t="s">
        <v>6719</v>
      </c>
      <c r="D1518" s="45" t="s">
        <v>6739</v>
      </c>
      <c r="E1518" s="44" t="s">
        <v>6839</v>
      </c>
      <c r="F1518" s="37">
        <v>1</v>
      </c>
      <c r="G1518" s="37" t="s">
        <v>2568</v>
      </c>
      <c r="H1518" s="63">
        <v>1816.1</v>
      </c>
    </row>
    <row r="1519" spans="1:8" ht="24.75" customHeight="1">
      <c r="A1519" s="44" t="s">
        <v>941</v>
      </c>
      <c r="B1519" s="45" t="s">
        <v>3954</v>
      </c>
      <c r="C1519" s="45" t="s">
        <v>6719</v>
      </c>
      <c r="D1519" s="45" t="s">
        <v>6739</v>
      </c>
      <c r="E1519" s="44" t="s">
        <v>6839</v>
      </c>
      <c r="F1519" s="37">
        <v>1</v>
      </c>
      <c r="G1519" s="37" t="s">
        <v>2568</v>
      </c>
      <c r="H1519" s="63">
        <v>2187.9</v>
      </c>
    </row>
    <row r="1520" spans="1:8" ht="24.75" customHeight="1">
      <c r="A1520" s="44" t="s">
        <v>1274</v>
      </c>
      <c r="B1520" s="45" t="s">
        <v>3953</v>
      </c>
      <c r="C1520" s="45" t="s">
        <v>6719</v>
      </c>
      <c r="D1520" s="45" t="s">
        <v>6739</v>
      </c>
      <c r="E1520" s="44" t="s">
        <v>6839</v>
      </c>
      <c r="F1520" s="37">
        <v>1</v>
      </c>
      <c r="G1520" s="37" t="s">
        <v>2568</v>
      </c>
      <c r="H1520" s="63">
        <v>2145</v>
      </c>
    </row>
    <row r="1521" spans="1:8" ht="24.75" customHeight="1">
      <c r="A1521" s="44" t="s">
        <v>512</v>
      </c>
      <c r="B1521" s="45" t="s">
        <v>3958</v>
      </c>
      <c r="C1521" s="45" t="s">
        <v>6719</v>
      </c>
      <c r="D1521" s="45" t="s">
        <v>6739</v>
      </c>
      <c r="E1521" s="44" t="s">
        <v>6839</v>
      </c>
      <c r="F1521" s="37">
        <v>1</v>
      </c>
      <c r="G1521" s="37" t="s">
        <v>2568</v>
      </c>
      <c r="H1521" s="63">
        <v>1930.5</v>
      </c>
    </row>
    <row r="1522" spans="1:8" ht="24.75" customHeight="1">
      <c r="A1522" s="44" t="s">
        <v>372</v>
      </c>
      <c r="B1522" s="45" t="s">
        <v>3964</v>
      </c>
      <c r="C1522" s="45" t="s">
        <v>6719</v>
      </c>
      <c r="D1522" s="45" t="s">
        <v>6739</v>
      </c>
      <c r="E1522" s="44" t="s">
        <v>6839</v>
      </c>
      <c r="F1522" s="37">
        <v>1</v>
      </c>
      <c r="G1522" s="37" t="s">
        <v>2568</v>
      </c>
      <c r="H1522" s="63">
        <v>1487.2</v>
      </c>
    </row>
    <row r="1523" spans="1:8" ht="24.75" customHeight="1">
      <c r="A1523" s="44" t="s">
        <v>380</v>
      </c>
      <c r="B1523" s="45" t="s">
        <v>3973</v>
      </c>
      <c r="C1523" s="45" t="s">
        <v>6719</v>
      </c>
      <c r="D1523" s="45" t="s">
        <v>6739</v>
      </c>
      <c r="E1523" s="44" t="s">
        <v>6839</v>
      </c>
      <c r="F1523" s="37">
        <v>1</v>
      </c>
      <c r="G1523" s="37" t="s">
        <v>2568</v>
      </c>
      <c r="H1523" s="63">
        <v>2502.5</v>
      </c>
    </row>
    <row r="1524" spans="1:8" ht="24.75" customHeight="1">
      <c r="A1524" s="44" t="s">
        <v>3155</v>
      </c>
      <c r="B1524" s="45" t="s">
        <v>3974</v>
      </c>
      <c r="C1524" s="45" t="s">
        <v>6719</v>
      </c>
      <c r="D1524" s="45" t="s">
        <v>6739</v>
      </c>
      <c r="E1524" s="44" t="s">
        <v>6839</v>
      </c>
      <c r="F1524" s="37">
        <v>1</v>
      </c>
      <c r="G1524" s="37" t="s">
        <v>2568</v>
      </c>
      <c r="H1524" s="63">
        <v>2888.6</v>
      </c>
    </row>
    <row r="1525" spans="1:8" ht="24.75" customHeight="1">
      <c r="A1525" s="44" t="s">
        <v>511</v>
      </c>
      <c r="B1525" s="45" t="s">
        <v>3957</v>
      </c>
      <c r="C1525" s="45" t="s">
        <v>6719</v>
      </c>
      <c r="D1525" s="45" t="s">
        <v>6739</v>
      </c>
      <c r="E1525" s="44" t="s">
        <v>6839</v>
      </c>
      <c r="F1525" s="37">
        <v>1</v>
      </c>
      <c r="G1525" s="37" t="s">
        <v>2568</v>
      </c>
      <c r="H1525" s="63">
        <v>2030.6</v>
      </c>
    </row>
    <row r="1526" spans="1:8" ht="24.75" customHeight="1">
      <c r="A1526" s="44" t="s">
        <v>1152</v>
      </c>
      <c r="B1526" s="45" t="s">
        <v>5604</v>
      </c>
      <c r="C1526" s="45" t="s">
        <v>6719</v>
      </c>
      <c r="D1526" s="45" t="s">
        <v>6739</v>
      </c>
      <c r="E1526" s="44"/>
      <c r="F1526" s="37">
        <v>1</v>
      </c>
      <c r="G1526" s="37" t="s">
        <v>2568</v>
      </c>
      <c r="H1526" s="63">
        <v>443.3</v>
      </c>
    </row>
    <row r="1527" spans="1:8" ht="24.75" customHeight="1">
      <c r="A1527" s="44" t="s">
        <v>1248</v>
      </c>
      <c r="B1527" s="45" t="s">
        <v>4911</v>
      </c>
      <c r="C1527" s="45" t="s">
        <v>6719</v>
      </c>
      <c r="D1527" s="45" t="s">
        <v>6739</v>
      </c>
      <c r="E1527" s="44"/>
      <c r="F1527" s="37">
        <v>20</v>
      </c>
      <c r="G1527" s="37" t="s">
        <v>6864</v>
      </c>
      <c r="H1527" s="63">
        <v>400.4</v>
      </c>
    </row>
    <row r="1528" spans="1:8" ht="24.75" customHeight="1">
      <c r="A1528" s="44" t="s">
        <v>431</v>
      </c>
      <c r="B1528" s="45" t="s">
        <v>5180</v>
      </c>
      <c r="C1528" s="45" t="s">
        <v>6719</v>
      </c>
      <c r="D1528" s="45" t="s">
        <v>6739</v>
      </c>
      <c r="E1528" s="44"/>
      <c r="F1528" s="37">
        <v>20</v>
      </c>
      <c r="G1528" s="37" t="s">
        <v>6864</v>
      </c>
      <c r="H1528" s="63">
        <v>328.9</v>
      </c>
    </row>
    <row r="1529" spans="1:8" ht="24.75" customHeight="1">
      <c r="A1529" s="44" t="s">
        <v>1394</v>
      </c>
      <c r="B1529" s="45" t="s">
        <v>4918</v>
      </c>
      <c r="C1529" s="45" t="s">
        <v>6719</v>
      </c>
      <c r="D1529" s="45" t="s">
        <v>6739</v>
      </c>
      <c r="E1529" s="44"/>
      <c r="F1529" s="37">
        <v>25</v>
      </c>
      <c r="G1529" s="37" t="s">
        <v>2568</v>
      </c>
      <c r="H1529" s="63">
        <v>600.6</v>
      </c>
    </row>
    <row r="1530" spans="1:8" ht="24.75" customHeight="1">
      <c r="A1530" s="44" t="s">
        <v>515</v>
      </c>
      <c r="B1530" s="45" t="s">
        <v>3961</v>
      </c>
      <c r="C1530" s="45" t="s">
        <v>6719</v>
      </c>
      <c r="D1530" s="45" t="s">
        <v>6739</v>
      </c>
      <c r="E1530" s="44" t="s">
        <v>6839</v>
      </c>
      <c r="F1530" s="37">
        <v>1</v>
      </c>
      <c r="G1530" s="37" t="s">
        <v>2568</v>
      </c>
      <c r="H1530" s="63">
        <v>1658.8</v>
      </c>
    </row>
    <row r="1531" spans="1:8" ht="24.75" customHeight="1">
      <c r="A1531" s="44" t="s">
        <v>509</v>
      </c>
      <c r="B1531" s="45" t="s">
        <v>3955</v>
      </c>
      <c r="C1531" s="45" t="s">
        <v>6719</v>
      </c>
      <c r="D1531" s="45" t="s">
        <v>6739</v>
      </c>
      <c r="E1531" s="44" t="s">
        <v>6839</v>
      </c>
      <c r="F1531" s="37">
        <v>1</v>
      </c>
      <c r="G1531" s="37" t="s">
        <v>2568</v>
      </c>
      <c r="H1531" s="63">
        <v>1315.6</v>
      </c>
    </row>
    <row r="1532" spans="1:8" ht="24.75" customHeight="1">
      <c r="A1532" s="44" t="s">
        <v>373</v>
      </c>
      <c r="B1532" s="45" t="s">
        <v>3965</v>
      </c>
      <c r="C1532" s="45" t="s">
        <v>6719</v>
      </c>
      <c r="D1532" s="45" t="s">
        <v>6739</v>
      </c>
      <c r="E1532" s="44" t="s">
        <v>6839</v>
      </c>
      <c r="F1532" s="37">
        <v>1</v>
      </c>
      <c r="G1532" s="37" t="s">
        <v>2568</v>
      </c>
      <c r="H1532" s="63">
        <v>2273.6999999999998</v>
      </c>
    </row>
    <row r="1533" spans="1:8" ht="24.75" customHeight="1">
      <c r="A1533" s="44" t="s">
        <v>379</v>
      </c>
      <c r="B1533" s="45" t="s">
        <v>3971</v>
      </c>
      <c r="C1533" s="45" t="s">
        <v>6719</v>
      </c>
      <c r="D1533" s="45" t="s">
        <v>6739</v>
      </c>
      <c r="E1533" s="44" t="s">
        <v>6839</v>
      </c>
      <c r="F1533" s="37">
        <v>1</v>
      </c>
      <c r="G1533" s="37" t="s">
        <v>2568</v>
      </c>
      <c r="H1533" s="63">
        <v>1701.7</v>
      </c>
    </row>
    <row r="1534" spans="1:8" ht="24.75" customHeight="1">
      <c r="A1534" s="44" t="s">
        <v>377</v>
      </c>
      <c r="B1534" s="45" t="s">
        <v>3969</v>
      </c>
      <c r="C1534" s="45" t="s">
        <v>6719</v>
      </c>
      <c r="D1534" s="45" t="s">
        <v>6739</v>
      </c>
      <c r="E1534" s="44" t="s">
        <v>6839</v>
      </c>
      <c r="F1534" s="37">
        <v>1</v>
      </c>
      <c r="G1534" s="37" t="s">
        <v>2568</v>
      </c>
      <c r="H1534" s="63">
        <v>1444.3</v>
      </c>
    </row>
    <row r="1535" spans="1:8" ht="24.75" customHeight="1">
      <c r="A1535" s="44" t="s">
        <v>381</v>
      </c>
      <c r="B1535" s="45" t="s">
        <v>3975</v>
      </c>
      <c r="C1535" s="45" t="s">
        <v>6719</v>
      </c>
      <c r="D1535" s="45" t="s">
        <v>6739</v>
      </c>
      <c r="E1535" s="44" t="s">
        <v>6839</v>
      </c>
      <c r="F1535" s="37">
        <v>1</v>
      </c>
      <c r="G1535" s="37" t="s">
        <v>2568</v>
      </c>
      <c r="H1535" s="63">
        <v>1744.6</v>
      </c>
    </row>
    <row r="1536" spans="1:8" ht="24.75" customHeight="1">
      <c r="A1536" s="44" t="s">
        <v>375</v>
      </c>
      <c r="B1536" s="45" t="s">
        <v>3967</v>
      </c>
      <c r="C1536" s="45" t="s">
        <v>6719</v>
      </c>
      <c r="D1536" s="45" t="s">
        <v>6739</v>
      </c>
      <c r="E1536" s="44" t="s">
        <v>6839</v>
      </c>
      <c r="F1536" s="37">
        <v>1</v>
      </c>
      <c r="G1536" s="37" t="s">
        <v>2568</v>
      </c>
      <c r="H1536" s="63">
        <v>2860</v>
      </c>
    </row>
    <row r="1537" spans="1:8" ht="24.75" customHeight="1">
      <c r="A1537" s="44" t="s">
        <v>510</v>
      </c>
      <c r="B1537" s="45" t="s">
        <v>3956</v>
      </c>
      <c r="C1537" s="45" t="s">
        <v>6719</v>
      </c>
      <c r="D1537" s="45" t="s">
        <v>6739</v>
      </c>
      <c r="E1537" s="44" t="s">
        <v>6839</v>
      </c>
      <c r="F1537" s="37">
        <v>1</v>
      </c>
      <c r="G1537" s="37" t="s">
        <v>2568</v>
      </c>
      <c r="H1537" s="63">
        <v>1730.3</v>
      </c>
    </row>
    <row r="1538" spans="1:8" ht="24.75" customHeight="1">
      <c r="A1538" s="44" t="s">
        <v>1278</v>
      </c>
      <c r="B1538" s="45" t="s">
        <v>3962</v>
      </c>
      <c r="C1538" s="45" t="s">
        <v>6719</v>
      </c>
      <c r="D1538" s="45" t="s">
        <v>6739</v>
      </c>
      <c r="E1538" s="44" t="s">
        <v>6839</v>
      </c>
      <c r="F1538" s="37">
        <v>1</v>
      </c>
      <c r="G1538" s="37" t="s">
        <v>2568</v>
      </c>
      <c r="H1538" s="63">
        <v>1959.1</v>
      </c>
    </row>
    <row r="1539" spans="1:8" ht="24.75" customHeight="1">
      <c r="A1539" s="44" t="s">
        <v>513</v>
      </c>
      <c r="B1539" s="45" t="s">
        <v>3959</v>
      </c>
      <c r="C1539" s="45" t="s">
        <v>6719</v>
      </c>
      <c r="D1539" s="45" t="s">
        <v>6739</v>
      </c>
      <c r="E1539" s="44" t="s">
        <v>6839</v>
      </c>
      <c r="F1539" s="37">
        <v>1</v>
      </c>
      <c r="G1539" s="37" t="s">
        <v>2568</v>
      </c>
      <c r="H1539" s="63">
        <v>1630.2</v>
      </c>
    </row>
    <row r="1540" spans="1:8" ht="24.75" customHeight="1">
      <c r="A1540" s="44" t="s">
        <v>378</v>
      </c>
      <c r="B1540" s="45" t="s">
        <v>3970</v>
      </c>
      <c r="C1540" s="45" t="s">
        <v>6719</v>
      </c>
      <c r="D1540" s="45" t="s">
        <v>6739</v>
      </c>
      <c r="E1540" s="44" t="s">
        <v>6839</v>
      </c>
      <c r="F1540" s="37">
        <v>1</v>
      </c>
      <c r="G1540" s="37" t="s">
        <v>2568</v>
      </c>
      <c r="H1540" s="63">
        <v>1244.0999999999999</v>
      </c>
    </row>
    <row r="1541" spans="1:8" ht="24.75" customHeight="1">
      <c r="A1541" s="44" t="s">
        <v>376</v>
      </c>
      <c r="B1541" s="45" t="s">
        <v>3968</v>
      </c>
      <c r="C1541" s="45" t="s">
        <v>6719</v>
      </c>
      <c r="D1541" s="45" t="s">
        <v>6739</v>
      </c>
      <c r="E1541" s="44" t="s">
        <v>6839</v>
      </c>
      <c r="F1541" s="37">
        <v>1</v>
      </c>
      <c r="G1541" s="37" t="s">
        <v>2568</v>
      </c>
      <c r="H1541" s="63">
        <v>1744.6</v>
      </c>
    </row>
    <row r="1542" spans="1:8" ht="24.75" customHeight="1">
      <c r="A1542" s="44" t="s">
        <v>2864</v>
      </c>
      <c r="B1542" s="45" t="s">
        <v>3972</v>
      </c>
      <c r="C1542" s="45" t="s">
        <v>6719</v>
      </c>
      <c r="D1542" s="45" t="s">
        <v>6739</v>
      </c>
      <c r="E1542" s="44" t="s">
        <v>6839</v>
      </c>
      <c r="F1542" s="37">
        <v>1</v>
      </c>
      <c r="G1542" s="37" t="s">
        <v>2568</v>
      </c>
      <c r="H1542" s="63">
        <v>1816.1</v>
      </c>
    </row>
    <row r="1543" spans="1:8" ht="24.75" customHeight="1">
      <c r="A1543" s="44" t="s">
        <v>2430</v>
      </c>
      <c r="B1543" s="45" t="s">
        <v>3951</v>
      </c>
      <c r="C1543" s="45" t="s">
        <v>6719</v>
      </c>
      <c r="D1543" s="45" t="s">
        <v>6739</v>
      </c>
      <c r="E1543" s="44" t="s">
        <v>6855</v>
      </c>
      <c r="F1543" s="37">
        <v>1</v>
      </c>
      <c r="G1543" s="37" t="s">
        <v>2568</v>
      </c>
      <c r="H1543" s="63">
        <v>1859</v>
      </c>
    </row>
    <row r="1544" spans="1:8" ht="24.75" customHeight="1">
      <c r="A1544" s="44" t="s">
        <v>305</v>
      </c>
      <c r="B1544" s="45" t="s">
        <v>3585</v>
      </c>
      <c r="C1544" s="45" t="s">
        <v>6719</v>
      </c>
      <c r="D1544" s="45" t="s">
        <v>6740</v>
      </c>
      <c r="E1544" s="44" t="s">
        <v>6840</v>
      </c>
      <c r="F1544" s="37">
        <v>1</v>
      </c>
      <c r="G1544" s="37" t="s">
        <v>6864</v>
      </c>
      <c r="H1544" s="63">
        <v>3231.8</v>
      </c>
    </row>
    <row r="1545" spans="1:8" ht="24.75" customHeight="1">
      <c r="A1545" s="44" t="s">
        <v>1671</v>
      </c>
      <c r="B1545" s="45" t="s">
        <v>3598</v>
      </c>
      <c r="C1545" s="45" t="s">
        <v>6719</v>
      </c>
      <c r="D1545" s="45" t="s">
        <v>6740</v>
      </c>
      <c r="E1545" s="44" t="s">
        <v>6840</v>
      </c>
      <c r="F1545" s="37">
        <v>1</v>
      </c>
      <c r="G1545" s="37" t="s">
        <v>6864</v>
      </c>
      <c r="H1545" s="63">
        <v>1887.6</v>
      </c>
    </row>
    <row r="1546" spans="1:8" ht="24.75" customHeight="1">
      <c r="A1546" s="44" t="s">
        <v>303</v>
      </c>
      <c r="B1546" s="45" t="s">
        <v>3583</v>
      </c>
      <c r="C1546" s="45" t="s">
        <v>6719</v>
      </c>
      <c r="D1546" s="45" t="s">
        <v>6740</v>
      </c>
      <c r="E1546" s="44" t="s">
        <v>6840</v>
      </c>
      <c r="F1546" s="37">
        <v>1</v>
      </c>
      <c r="G1546" s="37" t="s">
        <v>6864</v>
      </c>
      <c r="H1546" s="63">
        <v>4976.3999999999996</v>
      </c>
    </row>
    <row r="1547" spans="1:8" ht="24.75" customHeight="1">
      <c r="A1547" s="44" t="s">
        <v>304</v>
      </c>
      <c r="B1547" s="45" t="s">
        <v>3584</v>
      </c>
      <c r="C1547" s="45" t="s">
        <v>6719</v>
      </c>
      <c r="D1547" s="45" t="s">
        <v>6740</v>
      </c>
      <c r="E1547" s="44" t="s">
        <v>6840</v>
      </c>
      <c r="F1547" s="37">
        <v>1</v>
      </c>
      <c r="G1547" s="37" t="s">
        <v>6864</v>
      </c>
      <c r="H1547" s="63">
        <v>5076.5</v>
      </c>
    </row>
    <row r="1548" spans="1:8" ht="24.75" customHeight="1">
      <c r="A1548" s="44" t="s">
        <v>1149</v>
      </c>
      <c r="B1548" s="45" t="s">
        <v>3595</v>
      </c>
      <c r="C1548" s="45" t="s">
        <v>6719</v>
      </c>
      <c r="D1548" s="45" t="s">
        <v>6740</v>
      </c>
      <c r="E1548" s="44" t="s">
        <v>6840</v>
      </c>
      <c r="F1548" s="37">
        <v>1</v>
      </c>
      <c r="G1548" s="37" t="s">
        <v>6864</v>
      </c>
      <c r="H1548" s="63">
        <v>4490.2</v>
      </c>
    </row>
    <row r="1549" spans="1:8" ht="24.75" customHeight="1">
      <c r="A1549" s="44" t="s">
        <v>1672</v>
      </c>
      <c r="B1549" s="45" t="s">
        <v>3599</v>
      </c>
      <c r="C1549" s="45" t="s">
        <v>6719</v>
      </c>
      <c r="D1549" s="45" t="s">
        <v>6740</v>
      </c>
      <c r="E1549" s="44" t="s">
        <v>6840</v>
      </c>
      <c r="F1549" s="37">
        <v>1</v>
      </c>
      <c r="G1549" s="37" t="s">
        <v>6864</v>
      </c>
      <c r="H1549" s="63">
        <v>7393.1</v>
      </c>
    </row>
    <row r="1550" spans="1:8" ht="24.75" customHeight="1">
      <c r="A1550" s="44" t="s">
        <v>1151</v>
      </c>
      <c r="B1550" s="45" t="s">
        <v>3597</v>
      </c>
      <c r="C1550" s="45" t="s">
        <v>6719</v>
      </c>
      <c r="D1550" s="45" t="s">
        <v>6740</v>
      </c>
      <c r="E1550" s="44" t="s">
        <v>6840</v>
      </c>
      <c r="F1550" s="37">
        <v>1</v>
      </c>
      <c r="G1550" s="37" t="s">
        <v>6864</v>
      </c>
      <c r="H1550" s="63">
        <v>8265.4</v>
      </c>
    </row>
    <row r="1551" spans="1:8" ht="24.75" customHeight="1">
      <c r="A1551" s="44" t="s">
        <v>1150</v>
      </c>
      <c r="B1551" s="45" t="s">
        <v>3596</v>
      </c>
      <c r="C1551" s="45" t="s">
        <v>6719</v>
      </c>
      <c r="D1551" s="45" t="s">
        <v>6740</v>
      </c>
      <c r="E1551" s="44" t="s">
        <v>6840</v>
      </c>
      <c r="F1551" s="37">
        <v>1</v>
      </c>
      <c r="G1551" s="37" t="s">
        <v>6864</v>
      </c>
      <c r="H1551" s="63">
        <v>9309.2999999999993</v>
      </c>
    </row>
    <row r="1552" spans="1:8" ht="24.75" customHeight="1">
      <c r="A1552" s="44" t="s">
        <v>306</v>
      </c>
      <c r="B1552" s="45" t="s">
        <v>3586</v>
      </c>
      <c r="C1552" s="45" t="s">
        <v>6719</v>
      </c>
      <c r="D1552" s="45" t="s">
        <v>6740</v>
      </c>
      <c r="E1552" s="44" t="s">
        <v>6840</v>
      </c>
      <c r="F1552" s="37">
        <v>1</v>
      </c>
      <c r="G1552" s="37" t="s">
        <v>6864</v>
      </c>
      <c r="H1552" s="63">
        <v>4347.2</v>
      </c>
    </row>
    <row r="1553" spans="1:8" ht="24.75" customHeight="1">
      <c r="A1553" s="44" t="s">
        <v>307</v>
      </c>
      <c r="B1553" s="45" t="s">
        <v>3587</v>
      </c>
      <c r="C1553" s="45" t="s">
        <v>6719</v>
      </c>
      <c r="D1553" s="45" t="s">
        <v>6740</v>
      </c>
      <c r="E1553" s="44" t="s">
        <v>6840</v>
      </c>
      <c r="F1553" s="37">
        <v>1</v>
      </c>
      <c r="G1553" s="37" t="s">
        <v>6864</v>
      </c>
      <c r="H1553" s="63">
        <v>4275.7</v>
      </c>
    </row>
    <row r="1554" spans="1:8" ht="24.75" customHeight="1">
      <c r="A1554" s="44" t="s">
        <v>308</v>
      </c>
      <c r="B1554" s="45" t="s">
        <v>3588</v>
      </c>
      <c r="C1554" s="45" t="s">
        <v>6719</v>
      </c>
      <c r="D1554" s="45" t="s">
        <v>6740</v>
      </c>
      <c r="E1554" s="44" t="s">
        <v>6840</v>
      </c>
      <c r="F1554" s="37">
        <v>1</v>
      </c>
      <c r="G1554" s="37" t="s">
        <v>6864</v>
      </c>
      <c r="H1554" s="63">
        <v>3846.7</v>
      </c>
    </row>
    <row r="1555" spans="1:8" ht="24.75" customHeight="1">
      <c r="A1555" s="44" t="s">
        <v>309</v>
      </c>
      <c r="B1555" s="45" t="s">
        <v>3589</v>
      </c>
      <c r="C1555" s="45" t="s">
        <v>6719</v>
      </c>
      <c r="D1555" s="45" t="s">
        <v>6740</v>
      </c>
      <c r="E1555" s="44" t="s">
        <v>6840</v>
      </c>
      <c r="F1555" s="37">
        <v>1</v>
      </c>
      <c r="G1555" s="37" t="s">
        <v>6864</v>
      </c>
      <c r="H1555" s="63">
        <v>4461.6000000000004</v>
      </c>
    </row>
    <row r="1556" spans="1:8" ht="24.75" customHeight="1">
      <c r="A1556" s="44" t="s">
        <v>310</v>
      </c>
      <c r="B1556" s="45" t="s">
        <v>3590</v>
      </c>
      <c r="C1556" s="45" t="s">
        <v>6719</v>
      </c>
      <c r="D1556" s="45" t="s">
        <v>6740</v>
      </c>
      <c r="E1556" s="44" t="s">
        <v>6840</v>
      </c>
      <c r="F1556" s="37">
        <v>1</v>
      </c>
      <c r="G1556" s="37" t="s">
        <v>6864</v>
      </c>
      <c r="H1556" s="63">
        <v>4490.2</v>
      </c>
    </row>
    <row r="1557" spans="1:8" ht="24.75" customHeight="1">
      <c r="A1557" s="44" t="s">
        <v>313</v>
      </c>
      <c r="B1557" s="45" t="s">
        <v>3593</v>
      </c>
      <c r="C1557" s="45" t="s">
        <v>6719</v>
      </c>
      <c r="D1557" s="45" t="s">
        <v>6740</v>
      </c>
      <c r="E1557" s="44" t="s">
        <v>6840</v>
      </c>
      <c r="F1557" s="37">
        <v>1</v>
      </c>
      <c r="G1557" s="37" t="s">
        <v>6864</v>
      </c>
      <c r="H1557" s="63">
        <v>5190.8999999999996</v>
      </c>
    </row>
    <row r="1558" spans="1:8" ht="24.75" customHeight="1">
      <c r="A1558" s="44" t="s">
        <v>314</v>
      </c>
      <c r="B1558" s="45" t="s">
        <v>3594</v>
      </c>
      <c r="C1558" s="45" t="s">
        <v>6719</v>
      </c>
      <c r="D1558" s="45" t="s">
        <v>6740</v>
      </c>
      <c r="E1558" s="44" t="s">
        <v>6840</v>
      </c>
      <c r="F1558" s="37">
        <v>1</v>
      </c>
      <c r="G1558" s="37" t="s">
        <v>6864</v>
      </c>
      <c r="H1558" s="63">
        <v>5391.1</v>
      </c>
    </row>
    <row r="1559" spans="1:8" ht="24.75" customHeight="1">
      <c r="A1559" s="44" t="s">
        <v>311</v>
      </c>
      <c r="B1559" s="45" t="s">
        <v>3591</v>
      </c>
      <c r="C1559" s="45" t="s">
        <v>6719</v>
      </c>
      <c r="D1559" s="45" t="s">
        <v>6740</v>
      </c>
      <c r="E1559" s="44" t="s">
        <v>6840</v>
      </c>
      <c r="F1559" s="37">
        <v>1</v>
      </c>
      <c r="G1559" s="37" t="s">
        <v>6864</v>
      </c>
      <c r="H1559" s="63">
        <v>4561.7</v>
      </c>
    </row>
    <row r="1560" spans="1:8" ht="24.75" customHeight="1">
      <c r="A1560" s="44" t="s">
        <v>312</v>
      </c>
      <c r="B1560" s="45" t="s">
        <v>3592</v>
      </c>
      <c r="C1560" s="45" t="s">
        <v>6719</v>
      </c>
      <c r="D1560" s="45" t="s">
        <v>6740</v>
      </c>
      <c r="E1560" s="44" t="s">
        <v>6840</v>
      </c>
      <c r="F1560" s="37">
        <v>1</v>
      </c>
      <c r="G1560" s="37" t="s">
        <v>6864</v>
      </c>
      <c r="H1560" s="63">
        <v>5090.8</v>
      </c>
    </row>
    <row r="1561" spans="1:8" ht="24.75" customHeight="1">
      <c r="A1561" s="44" t="s">
        <v>1659</v>
      </c>
      <c r="B1561" s="45" t="s">
        <v>5498</v>
      </c>
      <c r="C1561" s="45" t="s">
        <v>6719</v>
      </c>
      <c r="D1561" s="45" t="s">
        <v>6740</v>
      </c>
      <c r="E1561" s="44" t="s">
        <v>6839</v>
      </c>
      <c r="F1561" s="37">
        <v>5</v>
      </c>
      <c r="G1561" s="37" t="s">
        <v>2568</v>
      </c>
      <c r="H1561" s="63">
        <v>7192.9</v>
      </c>
    </row>
    <row r="1562" spans="1:8" ht="24.75" customHeight="1">
      <c r="A1562" s="44" t="s">
        <v>961</v>
      </c>
      <c r="B1562" s="45" t="s">
        <v>5016</v>
      </c>
      <c r="C1562" s="45" t="s">
        <v>6719</v>
      </c>
      <c r="D1562" s="45" t="s">
        <v>6740</v>
      </c>
      <c r="E1562" s="44"/>
      <c r="F1562" s="37">
        <v>1</v>
      </c>
      <c r="G1562" s="37" t="s">
        <v>2568</v>
      </c>
      <c r="H1562" s="63">
        <v>5133.7</v>
      </c>
    </row>
    <row r="1563" spans="1:8" ht="24.75" customHeight="1">
      <c r="A1563" s="44" t="s">
        <v>850</v>
      </c>
      <c r="B1563" s="45" t="s">
        <v>5347</v>
      </c>
      <c r="C1563" s="45" t="s">
        <v>6719</v>
      </c>
      <c r="D1563" s="45" t="s">
        <v>6740</v>
      </c>
      <c r="E1563" s="44" t="s">
        <v>6839</v>
      </c>
      <c r="F1563" s="37">
        <v>1</v>
      </c>
      <c r="G1563" s="37" t="s">
        <v>2568</v>
      </c>
      <c r="H1563" s="63">
        <v>3045.9</v>
      </c>
    </row>
    <row r="1564" spans="1:8" ht="24.75" customHeight="1">
      <c r="A1564" s="44" t="s">
        <v>1347</v>
      </c>
      <c r="B1564" s="45" t="s">
        <v>5175</v>
      </c>
      <c r="C1564" s="45" t="s">
        <v>6719</v>
      </c>
      <c r="D1564" s="45" t="s">
        <v>6740</v>
      </c>
      <c r="E1564" s="44" t="s">
        <v>6839</v>
      </c>
      <c r="F1564" s="37">
        <v>1</v>
      </c>
      <c r="G1564" s="37" t="s">
        <v>2568</v>
      </c>
      <c r="H1564" s="63">
        <v>2230.8000000000002</v>
      </c>
    </row>
    <row r="1565" spans="1:8" ht="24.75" customHeight="1">
      <c r="A1565" s="44" t="s">
        <v>2026</v>
      </c>
      <c r="B1565" s="45" t="s">
        <v>5508</v>
      </c>
      <c r="C1565" s="45" t="s">
        <v>6719</v>
      </c>
      <c r="D1565" s="45" t="s">
        <v>6740</v>
      </c>
      <c r="E1565" s="44" t="s">
        <v>6839</v>
      </c>
      <c r="F1565" s="37">
        <v>1</v>
      </c>
      <c r="G1565" s="37" t="s">
        <v>6864</v>
      </c>
      <c r="H1565" s="63">
        <v>1201.2</v>
      </c>
    </row>
    <row r="1566" spans="1:8" ht="24.75" customHeight="1">
      <c r="A1566" s="44" t="s">
        <v>556</v>
      </c>
      <c r="B1566" s="45" t="s">
        <v>3780</v>
      </c>
      <c r="C1566" s="45" t="s">
        <v>6719</v>
      </c>
      <c r="D1566" s="45" t="s">
        <v>6740</v>
      </c>
      <c r="E1566" s="44" t="s">
        <v>956</v>
      </c>
      <c r="F1566" s="37">
        <v>1</v>
      </c>
      <c r="G1566" s="37" t="s">
        <v>6864</v>
      </c>
      <c r="H1566" s="63">
        <v>3903.9</v>
      </c>
    </row>
    <row r="1567" spans="1:8" ht="24.75" customHeight="1">
      <c r="A1567" s="44" t="s">
        <v>2841</v>
      </c>
      <c r="B1567" s="45" t="s">
        <v>5846</v>
      </c>
      <c r="C1567" s="45" t="s">
        <v>6719</v>
      </c>
      <c r="D1567" s="45" t="s">
        <v>6740</v>
      </c>
      <c r="E1567" s="44" t="s">
        <v>6839</v>
      </c>
      <c r="F1567" s="37">
        <v>5</v>
      </c>
      <c r="G1567" s="37" t="s">
        <v>2568</v>
      </c>
      <c r="H1567" s="63">
        <v>4819.1000000000004</v>
      </c>
    </row>
    <row r="1568" spans="1:8" ht="24.75" customHeight="1">
      <c r="A1568" s="44" t="s">
        <v>555</v>
      </c>
      <c r="B1568" s="45" t="s">
        <v>3773</v>
      </c>
      <c r="C1568" s="45" t="s">
        <v>6719</v>
      </c>
      <c r="D1568" s="45" t="s">
        <v>6740</v>
      </c>
      <c r="E1568" s="44" t="s">
        <v>956</v>
      </c>
      <c r="F1568" s="37">
        <v>1</v>
      </c>
      <c r="G1568" s="37" t="s">
        <v>6864</v>
      </c>
      <c r="H1568" s="63">
        <v>5405.4</v>
      </c>
    </row>
    <row r="1569" spans="1:8" ht="24.75" customHeight="1">
      <c r="A1569" s="44" t="s">
        <v>1185</v>
      </c>
      <c r="B1569" s="45" t="s">
        <v>5159</v>
      </c>
      <c r="C1569" s="45" t="s">
        <v>6719</v>
      </c>
      <c r="D1569" s="45" t="s">
        <v>6740</v>
      </c>
      <c r="E1569" s="44" t="s">
        <v>6839</v>
      </c>
      <c r="F1569" s="37">
        <v>10</v>
      </c>
      <c r="G1569" s="37" t="s">
        <v>2568</v>
      </c>
      <c r="H1569" s="63">
        <v>1015.3</v>
      </c>
    </row>
    <row r="1570" spans="1:8" ht="24.75" customHeight="1">
      <c r="A1570" s="44" t="s">
        <v>1182</v>
      </c>
      <c r="B1570" s="45" t="s">
        <v>5156</v>
      </c>
      <c r="C1570" s="45" t="s">
        <v>6719</v>
      </c>
      <c r="D1570" s="45" t="s">
        <v>6740</v>
      </c>
      <c r="E1570" s="44"/>
      <c r="F1570" s="37">
        <v>10</v>
      </c>
      <c r="G1570" s="37" t="s">
        <v>6864</v>
      </c>
      <c r="H1570" s="63">
        <v>672.1</v>
      </c>
    </row>
    <row r="1571" spans="1:8" ht="24.75" customHeight="1">
      <c r="A1571" s="44" t="s">
        <v>88</v>
      </c>
      <c r="B1571" s="45" t="s">
        <v>5202</v>
      </c>
      <c r="C1571" s="45" t="s">
        <v>6719</v>
      </c>
      <c r="D1571" s="45" t="s">
        <v>6741</v>
      </c>
      <c r="E1571" s="44" t="s">
        <v>6839</v>
      </c>
      <c r="F1571" s="37">
        <v>1</v>
      </c>
      <c r="G1571" s="37" t="s">
        <v>6864</v>
      </c>
      <c r="H1571" s="63">
        <v>2645.5</v>
      </c>
    </row>
    <row r="1572" spans="1:8" ht="24.75" customHeight="1">
      <c r="A1572" s="44" t="s">
        <v>86</v>
      </c>
      <c r="B1572" s="45" t="s">
        <v>5200</v>
      </c>
      <c r="C1572" s="45" t="s">
        <v>6719</v>
      </c>
      <c r="D1572" s="45" t="s">
        <v>6741</v>
      </c>
      <c r="E1572" s="44" t="s">
        <v>6839</v>
      </c>
      <c r="F1572" s="37">
        <v>1</v>
      </c>
      <c r="G1572" s="37" t="s">
        <v>6864</v>
      </c>
      <c r="H1572" s="63">
        <v>3289</v>
      </c>
    </row>
    <row r="1573" spans="1:8" ht="24.75" customHeight="1">
      <c r="A1573" s="44" t="s">
        <v>1501</v>
      </c>
      <c r="B1573" s="45" t="s">
        <v>5218</v>
      </c>
      <c r="C1573" s="45" t="s">
        <v>6719</v>
      </c>
      <c r="D1573" s="45" t="s">
        <v>6741</v>
      </c>
      <c r="E1573" s="44" t="s">
        <v>6839</v>
      </c>
      <c r="F1573" s="37">
        <v>1</v>
      </c>
      <c r="G1573" s="37" t="s">
        <v>6864</v>
      </c>
      <c r="H1573" s="63">
        <v>3446.3</v>
      </c>
    </row>
    <row r="1574" spans="1:8" ht="24.75" customHeight="1">
      <c r="A1574" s="44" t="s">
        <v>1233</v>
      </c>
      <c r="B1574" s="45" t="s">
        <v>5606</v>
      </c>
      <c r="C1574" s="45" t="s">
        <v>6719</v>
      </c>
      <c r="D1574" s="45" t="s">
        <v>6741</v>
      </c>
      <c r="E1574" s="44" t="s">
        <v>6839</v>
      </c>
      <c r="F1574" s="37">
        <v>1</v>
      </c>
      <c r="G1574" s="37" t="s">
        <v>2568</v>
      </c>
      <c r="H1574" s="63">
        <v>85914.4</v>
      </c>
    </row>
    <row r="1575" spans="1:8" ht="24.75" customHeight="1">
      <c r="A1575" s="44" t="s">
        <v>1234</v>
      </c>
      <c r="B1575" s="45" t="s">
        <v>5603</v>
      </c>
      <c r="C1575" s="45" t="s">
        <v>6719</v>
      </c>
      <c r="D1575" s="45" t="s">
        <v>6741</v>
      </c>
      <c r="E1575" s="44" t="s">
        <v>6839</v>
      </c>
      <c r="F1575" s="37">
        <v>1</v>
      </c>
      <c r="G1575" s="37" t="s">
        <v>2568</v>
      </c>
      <c r="H1575" s="63">
        <v>84656</v>
      </c>
    </row>
    <row r="1576" spans="1:8" ht="24.75" customHeight="1">
      <c r="A1576" s="44" t="s">
        <v>1523</v>
      </c>
      <c r="B1576" s="45" t="s">
        <v>5049</v>
      </c>
      <c r="C1576" s="45" t="s">
        <v>6719</v>
      </c>
      <c r="D1576" s="45" t="s">
        <v>6741</v>
      </c>
      <c r="E1576" s="44"/>
      <c r="F1576" s="37">
        <v>1</v>
      </c>
      <c r="G1576" s="37" t="s">
        <v>2568</v>
      </c>
      <c r="H1576" s="63">
        <v>205319.4</v>
      </c>
    </row>
    <row r="1577" spans="1:8" ht="24.75" customHeight="1">
      <c r="A1577" s="44" t="s">
        <v>507</v>
      </c>
      <c r="B1577" s="45" t="s">
        <v>5743</v>
      </c>
      <c r="C1577" s="45" t="s">
        <v>6719</v>
      </c>
      <c r="D1577" s="45" t="s">
        <v>6741</v>
      </c>
      <c r="E1577" s="44" t="s">
        <v>6839</v>
      </c>
      <c r="F1577" s="37">
        <v>1</v>
      </c>
      <c r="G1577" s="37" t="s">
        <v>6864</v>
      </c>
      <c r="H1577" s="63">
        <v>50407.5</v>
      </c>
    </row>
    <row r="1578" spans="1:8" ht="24.75" customHeight="1">
      <c r="A1578" s="44" t="s">
        <v>3126</v>
      </c>
      <c r="B1578" s="45" t="s">
        <v>5402</v>
      </c>
      <c r="C1578" s="45" t="s">
        <v>6719</v>
      </c>
      <c r="D1578" s="45" t="s">
        <v>6741</v>
      </c>
      <c r="E1578" s="44" t="s">
        <v>956</v>
      </c>
      <c r="F1578" s="37">
        <v>1</v>
      </c>
      <c r="G1578" s="37" t="s">
        <v>6864</v>
      </c>
      <c r="H1578" s="63">
        <v>118175.2</v>
      </c>
    </row>
    <row r="1579" spans="1:8" ht="24.75" customHeight="1">
      <c r="A1579" s="44" t="s">
        <v>991</v>
      </c>
      <c r="B1579" s="45" t="s">
        <v>5705</v>
      </c>
      <c r="C1579" s="45" t="s">
        <v>6719</v>
      </c>
      <c r="D1579" s="45" t="s">
        <v>6741</v>
      </c>
      <c r="E1579" s="44" t="s">
        <v>6839</v>
      </c>
      <c r="F1579" s="37">
        <v>1</v>
      </c>
      <c r="G1579" s="37" t="s">
        <v>6864</v>
      </c>
      <c r="H1579" s="63">
        <v>52066.3</v>
      </c>
    </row>
    <row r="1580" spans="1:8" ht="24.75" customHeight="1">
      <c r="A1580" s="44" t="s">
        <v>1342</v>
      </c>
      <c r="B1580" s="45" t="s">
        <v>5171</v>
      </c>
      <c r="C1580" s="45" t="s">
        <v>6719</v>
      </c>
      <c r="D1580" s="45" t="s">
        <v>6741</v>
      </c>
      <c r="E1580" s="44" t="s">
        <v>6839</v>
      </c>
      <c r="F1580" s="37">
        <v>1</v>
      </c>
      <c r="G1580" s="37" t="s">
        <v>6864</v>
      </c>
      <c r="H1580" s="63">
        <v>48448.4</v>
      </c>
    </row>
    <row r="1581" spans="1:8" ht="24.75" customHeight="1">
      <c r="A1581" s="44" t="s">
        <v>730</v>
      </c>
      <c r="B1581" s="45" t="s">
        <v>5970</v>
      </c>
      <c r="C1581" s="45" t="s">
        <v>6719</v>
      </c>
      <c r="D1581" s="45" t="s">
        <v>6741</v>
      </c>
      <c r="E1581" s="44" t="s">
        <v>6839</v>
      </c>
      <c r="F1581" s="37">
        <v>1</v>
      </c>
      <c r="G1581" s="37" t="s">
        <v>2568</v>
      </c>
      <c r="H1581" s="63">
        <v>103017.2</v>
      </c>
    </row>
    <row r="1582" spans="1:8" ht="24.75" customHeight="1">
      <c r="A1582" s="44" t="s">
        <v>1049</v>
      </c>
      <c r="B1582" s="45" t="s">
        <v>5727</v>
      </c>
      <c r="C1582" s="45" t="s">
        <v>6719</v>
      </c>
      <c r="D1582" s="45" t="s">
        <v>6742</v>
      </c>
      <c r="E1582" s="44"/>
      <c r="F1582" s="37">
        <v>1</v>
      </c>
      <c r="G1582" s="37" t="s">
        <v>6864</v>
      </c>
      <c r="H1582" s="63">
        <v>33161.699999999997</v>
      </c>
    </row>
    <row r="1583" spans="1:8" ht="24.75" customHeight="1">
      <c r="A1583" s="44" t="s">
        <v>1226</v>
      </c>
      <c r="B1583" s="45" t="s">
        <v>5045</v>
      </c>
      <c r="C1583" s="45" t="s">
        <v>6719</v>
      </c>
      <c r="D1583" s="45" t="s">
        <v>6742</v>
      </c>
      <c r="E1583" s="44"/>
      <c r="F1583" s="37">
        <v>1</v>
      </c>
      <c r="G1583" s="37" t="s">
        <v>6864</v>
      </c>
      <c r="H1583" s="63">
        <v>123766.5</v>
      </c>
    </row>
    <row r="1584" spans="1:8" ht="24.75" customHeight="1">
      <c r="A1584" s="44" t="s">
        <v>1359</v>
      </c>
      <c r="B1584" s="45" t="s">
        <v>5941</v>
      </c>
      <c r="C1584" s="45" t="s">
        <v>6719</v>
      </c>
      <c r="D1584" s="45" t="s">
        <v>6742</v>
      </c>
      <c r="E1584" s="44"/>
      <c r="F1584" s="37">
        <v>1</v>
      </c>
      <c r="G1584" s="37" t="s">
        <v>6864</v>
      </c>
      <c r="H1584" s="63">
        <v>68253.899999999994</v>
      </c>
    </row>
    <row r="1585" spans="1:8" ht="24.75" customHeight="1">
      <c r="A1585" s="44" t="s">
        <v>2887</v>
      </c>
      <c r="B1585" s="45" t="s">
        <v>4937</v>
      </c>
      <c r="C1585" s="45" t="s">
        <v>6719</v>
      </c>
      <c r="D1585" s="45" t="s">
        <v>6742</v>
      </c>
      <c r="E1585" s="44"/>
      <c r="F1585" s="37">
        <v>1</v>
      </c>
      <c r="G1585" s="37" t="s">
        <v>6864</v>
      </c>
      <c r="H1585" s="63">
        <v>142013.29999999999</v>
      </c>
    </row>
    <row r="1586" spans="1:8" ht="24.75" customHeight="1">
      <c r="A1586" s="44" t="s">
        <v>1227</v>
      </c>
      <c r="B1586" s="45" t="s">
        <v>5046</v>
      </c>
      <c r="C1586" s="45" t="s">
        <v>6719</v>
      </c>
      <c r="D1586" s="45" t="s">
        <v>6742</v>
      </c>
      <c r="E1586" s="44"/>
      <c r="F1586" s="37">
        <v>1</v>
      </c>
      <c r="G1586" s="37" t="s">
        <v>6864</v>
      </c>
      <c r="H1586" s="63">
        <v>153996.70000000001</v>
      </c>
    </row>
    <row r="1587" spans="1:8" ht="24.75" customHeight="1">
      <c r="A1587" s="44" t="s">
        <v>1360</v>
      </c>
      <c r="B1587" s="45" t="s">
        <v>5965</v>
      </c>
      <c r="C1587" s="45" t="s">
        <v>6719</v>
      </c>
      <c r="D1587" s="45" t="s">
        <v>6742</v>
      </c>
      <c r="E1587" s="44"/>
      <c r="F1587" s="37">
        <v>1</v>
      </c>
      <c r="G1587" s="37" t="s">
        <v>6864</v>
      </c>
      <c r="H1587" s="63">
        <v>72429.5</v>
      </c>
    </row>
    <row r="1588" spans="1:8" ht="24.75" customHeight="1">
      <c r="A1588" s="44" t="s">
        <v>87</v>
      </c>
      <c r="B1588" s="45" t="s">
        <v>5201</v>
      </c>
      <c r="C1588" s="45" t="s">
        <v>6719</v>
      </c>
      <c r="D1588" s="45" t="s">
        <v>6742</v>
      </c>
      <c r="E1588" s="44" t="s">
        <v>6839</v>
      </c>
      <c r="F1588" s="37">
        <v>1</v>
      </c>
      <c r="G1588" s="37" t="s">
        <v>6864</v>
      </c>
      <c r="H1588" s="63">
        <v>2545.4</v>
      </c>
    </row>
    <row r="1589" spans="1:8" ht="24.75" customHeight="1">
      <c r="A1589" s="44" t="s">
        <v>2099</v>
      </c>
      <c r="B1589" s="45" t="s">
        <v>5510</v>
      </c>
      <c r="C1589" s="45" t="s">
        <v>6719</v>
      </c>
      <c r="D1589" s="45" t="s">
        <v>6742</v>
      </c>
      <c r="E1589" s="44" t="s">
        <v>6839</v>
      </c>
      <c r="F1589" s="37">
        <v>1</v>
      </c>
      <c r="G1589" s="37" t="s">
        <v>6864</v>
      </c>
      <c r="H1589" s="63">
        <v>8580</v>
      </c>
    </row>
    <row r="1590" spans="1:8" ht="24.75" customHeight="1">
      <c r="A1590" s="44" t="s">
        <v>1480</v>
      </c>
      <c r="B1590" s="45" t="s">
        <v>5052</v>
      </c>
      <c r="C1590" s="45" t="s">
        <v>6719</v>
      </c>
      <c r="D1590" s="45" t="s">
        <v>6742</v>
      </c>
      <c r="E1590" s="44"/>
      <c r="F1590" s="37">
        <v>1</v>
      </c>
      <c r="G1590" s="37" t="s">
        <v>6864</v>
      </c>
      <c r="H1590" s="63">
        <v>12541.1</v>
      </c>
    </row>
    <row r="1591" spans="1:8" ht="24.75" customHeight="1">
      <c r="A1591" s="44" t="s">
        <v>366</v>
      </c>
      <c r="B1591" s="45" t="s">
        <v>5018</v>
      </c>
      <c r="C1591" s="45" t="s">
        <v>6719</v>
      </c>
      <c r="D1591" s="45" t="s">
        <v>6742</v>
      </c>
      <c r="E1591" s="44"/>
      <c r="F1591" s="37">
        <v>1</v>
      </c>
      <c r="G1591" s="37" t="s">
        <v>6864</v>
      </c>
      <c r="H1591" s="63">
        <v>14142.7</v>
      </c>
    </row>
    <row r="1592" spans="1:8" ht="24.75" customHeight="1">
      <c r="A1592" s="44" t="s">
        <v>2657</v>
      </c>
      <c r="B1592" s="45" t="s">
        <v>5339</v>
      </c>
      <c r="C1592" s="45" t="s">
        <v>6719</v>
      </c>
      <c r="D1592" s="45" t="s">
        <v>6742</v>
      </c>
      <c r="E1592" s="44"/>
      <c r="F1592" s="37">
        <v>1</v>
      </c>
      <c r="G1592" s="37" t="s">
        <v>6864</v>
      </c>
      <c r="H1592" s="63">
        <v>13985.4</v>
      </c>
    </row>
    <row r="1593" spans="1:8" ht="24.75" customHeight="1">
      <c r="A1593" s="44" t="s">
        <v>1361</v>
      </c>
      <c r="B1593" s="45" t="s">
        <v>5981</v>
      </c>
      <c r="C1593" s="45" t="s">
        <v>6719</v>
      </c>
      <c r="D1593" s="45" t="s">
        <v>6742</v>
      </c>
      <c r="E1593" s="44"/>
      <c r="F1593" s="37">
        <v>1</v>
      </c>
      <c r="G1593" s="37" t="s">
        <v>6864</v>
      </c>
      <c r="H1593" s="63">
        <v>12984.4</v>
      </c>
    </row>
    <row r="1594" spans="1:8" ht="24.75" customHeight="1">
      <c r="A1594" s="44" t="s">
        <v>849</v>
      </c>
      <c r="B1594" s="45" t="s">
        <v>5346</v>
      </c>
      <c r="C1594" s="45" t="s">
        <v>6719</v>
      </c>
      <c r="D1594" s="45" t="s">
        <v>6742</v>
      </c>
      <c r="E1594" s="44" t="s">
        <v>6839</v>
      </c>
      <c r="F1594" s="37">
        <v>1</v>
      </c>
      <c r="G1594" s="37" t="s">
        <v>6864</v>
      </c>
      <c r="H1594" s="63">
        <v>2373.8000000000002</v>
      </c>
    </row>
    <row r="1595" spans="1:8" ht="24.75" customHeight="1">
      <c r="A1595" s="44" t="s">
        <v>1052</v>
      </c>
      <c r="B1595" s="45" t="s">
        <v>5730</v>
      </c>
      <c r="C1595" s="45" t="s">
        <v>6719</v>
      </c>
      <c r="D1595" s="45" t="s">
        <v>6742</v>
      </c>
      <c r="E1595" s="44" t="s">
        <v>6839</v>
      </c>
      <c r="F1595" s="37">
        <v>1</v>
      </c>
      <c r="G1595" s="37" t="s">
        <v>6864</v>
      </c>
      <c r="H1595" s="63">
        <v>3374.8</v>
      </c>
    </row>
    <row r="1596" spans="1:8" ht="24.75" customHeight="1">
      <c r="A1596" s="44" t="s">
        <v>1225</v>
      </c>
      <c r="B1596" s="45" t="s">
        <v>5040</v>
      </c>
      <c r="C1596" s="45" t="s">
        <v>6719</v>
      </c>
      <c r="D1596" s="45" t="s">
        <v>6742</v>
      </c>
      <c r="E1596" s="44"/>
      <c r="F1596" s="37">
        <v>1</v>
      </c>
      <c r="G1596" s="37" t="s">
        <v>6864</v>
      </c>
      <c r="H1596" s="63">
        <v>57600.4</v>
      </c>
    </row>
    <row r="1597" spans="1:8" ht="24.75" customHeight="1">
      <c r="A1597" s="44" t="s">
        <v>1358</v>
      </c>
      <c r="B1597" s="45" t="s">
        <v>5963</v>
      </c>
      <c r="C1597" s="45" t="s">
        <v>6719</v>
      </c>
      <c r="D1597" s="45" t="s">
        <v>6742</v>
      </c>
      <c r="E1597" s="44"/>
      <c r="F1597" s="37">
        <v>1</v>
      </c>
      <c r="G1597" s="37" t="s">
        <v>6864</v>
      </c>
      <c r="H1597" s="63">
        <v>32189.3</v>
      </c>
    </row>
    <row r="1598" spans="1:8" ht="24.75" customHeight="1">
      <c r="A1598" s="44" t="s">
        <v>813</v>
      </c>
      <c r="B1598" s="45" t="s">
        <v>5978</v>
      </c>
      <c r="C1598" s="45" t="s">
        <v>6719</v>
      </c>
      <c r="D1598" s="45" t="s">
        <v>6742</v>
      </c>
      <c r="E1598" s="44"/>
      <c r="F1598" s="37">
        <v>10</v>
      </c>
      <c r="G1598" s="37" t="s">
        <v>6864</v>
      </c>
      <c r="H1598" s="63">
        <v>1444.3</v>
      </c>
    </row>
    <row r="1599" spans="1:8" ht="24.75" customHeight="1">
      <c r="A1599" s="44" t="s">
        <v>1050</v>
      </c>
      <c r="B1599" s="45" t="s">
        <v>5728</v>
      </c>
      <c r="C1599" s="45" t="s">
        <v>6719</v>
      </c>
      <c r="D1599" s="45" t="s">
        <v>6742</v>
      </c>
      <c r="E1599" s="44"/>
      <c r="F1599" s="37">
        <v>1</v>
      </c>
      <c r="G1599" s="37" t="s">
        <v>6864</v>
      </c>
      <c r="H1599" s="63">
        <v>23323.3</v>
      </c>
    </row>
    <row r="1600" spans="1:8" ht="24.75" customHeight="1">
      <c r="A1600" s="44" t="s">
        <v>814</v>
      </c>
      <c r="B1600" s="45" t="s">
        <v>5977</v>
      </c>
      <c r="C1600" s="45" t="s">
        <v>6719</v>
      </c>
      <c r="D1600" s="45" t="s">
        <v>6742</v>
      </c>
      <c r="E1600" s="44"/>
      <c r="F1600" s="37">
        <v>2</v>
      </c>
      <c r="G1600" s="37" t="s">
        <v>6864</v>
      </c>
      <c r="H1600" s="63">
        <v>4890.6000000000004</v>
      </c>
    </row>
    <row r="1601" spans="1:8" ht="24.75" customHeight="1">
      <c r="A1601" s="44" t="s">
        <v>1165</v>
      </c>
      <c r="B1601" s="45" t="s">
        <v>5141</v>
      </c>
      <c r="C1601" s="45" t="s">
        <v>6719</v>
      </c>
      <c r="D1601" s="45" t="s">
        <v>6742</v>
      </c>
      <c r="E1601" s="44"/>
      <c r="F1601" s="37">
        <v>1</v>
      </c>
      <c r="G1601" s="37" t="s">
        <v>6864</v>
      </c>
      <c r="H1601" s="63">
        <v>23680.799999999999</v>
      </c>
    </row>
    <row r="1602" spans="1:8" ht="24.75" customHeight="1">
      <c r="A1602" s="44" t="s">
        <v>1224</v>
      </c>
      <c r="B1602" s="45" t="s">
        <v>4998</v>
      </c>
      <c r="C1602" s="45" t="s">
        <v>6719</v>
      </c>
      <c r="D1602" s="45" t="s">
        <v>6742</v>
      </c>
      <c r="E1602" s="44"/>
      <c r="F1602" s="37">
        <v>1</v>
      </c>
      <c r="G1602" s="37" t="s">
        <v>6864</v>
      </c>
      <c r="H1602" s="63">
        <v>39925.599999999999</v>
      </c>
    </row>
    <row r="1603" spans="1:8" ht="24.75" customHeight="1">
      <c r="A1603" s="44" t="s">
        <v>1357</v>
      </c>
      <c r="B1603" s="45" t="s">
        <v>5976</v>
      </c>
      <c r="C1603" s="45" t="s">
        <v>6719</v>
      </c>
      <c r="D1603" s="45" t="s">
        <v>6742</v>
      </c>
      <c r="E1603" s="44"/>
      <c r="F1603" s="37">
        <v>1</v>
      </c>
      <c r="G1603" s="37" t="s">
        <v>6864</v>
      </c>
      <c r="H1603" s="63">
        <v>28499.9</v>
      </c>
    </row>
    <row r="1604" spans="1:8" ht="24.75" customHeight="1">
      <c r="A1604" s="44" t="s">
        <v>216</v>
      </c>
      <c r="B1604" s="45" t="s">
        <v>5975</v>
      </c>
      <c r="C1604" s="45" t="s">
        <v>6719</v>
      </c>
      <c r="D1604" s="45" t="s">
        <v>6742</v>
      </c>
      <c r="E1604" s="44" t="s">
        <v>6839</v>
      </c>
      <c r="F1604" s="37">
        <v>1</v>
      </c>
      <c r="G1604" s="37" t="s">
        <v>6864</v>
      </c>
      <c r="H1604" s="63">
        <v>4690.3999999999996</v>
      </c>
    </row>
    <row r="1605" spans="1:8" ht="24.75" customHeight="1">
      <c r="A1605" s="44" t="s">
        <v>1046</v>
      </c>
      <c r="B1605" s="45" t="s">
        <v>5724</v>
      </c>
      <c r="C1605" s="45" t="s">
        <v>6719</v>
      </c>
      <c r="D1605" s="45" t="s">
        <v>6742</v>
      </c>
      <c r="E1605" s="44" t="s">
        <v>6839</v>
      </c>
      <c r="F1605" s="37">
        <v>1</v>
      </c>
      <c r="G1605" s="37" t="s">
        <v>6864</v>
      </c>
      <c r="H1605" s="63">
        <v>6034.6</v>
      </c>
    </row>
    <row r="1606" spans="1:8" ht="24.75" customHeight="1">
      <c r="A1606" s="44" t="s">
        <v>2658</v>
      </c>
      <c r="B1606" s="45" t="s">
        <v>5341</v>
      </c>
      <c r="C1606" s="45" t="s">
        <v>6719</v>
      </c>
      <c r="D1606" s="45" t="s">
        <v>6742</v>
      </c>
      <c r="E1606" s="44"/>
      <c r="F1606" s="37">
        <v>1</v>
      </c>
      <c r="G1606" s="37" t="s">
        <v>6864</v>
      </c>
      <c r="H1606" s="63">
        <v>4004</v>
      </c>
    </row>
    <row r="1607" spans="1:8" ht="24.75" customHeight="1">
      <c r="A1607" s="44" t="s">
        <v>3067</v>
      </c>
      <c r="B1607" s="45" t="s">
        <v>5340</v>
      </c>
      <c r="C1607" s="45" t="s">
        <v>6719</v>
      </c>
      <c r="D1607" s="45" t="s">
        <v>6742</v>
      </c>
      <c r="E1607" s="44"/>
      <c r="F1607" s="37">
        <v>1</v>
      </c>
      <c r="G1607" s="37" t="s">
        <v>6864</v>
      </c>
      <c r="H1607" s="63">
        <v>19076.2</v>
      </c>
    </row>
    <row r="1608" spans="1:8" ht="24.75" customHeight="1">
      <c r="A1608" s="44" t="s">
        <v>2814</v>
      </c>
      <c r="B1608" s="45" t="s">
        <v>5813</v>
      </c>
      <c r="C1608" s="45" t="s">
        <v>6719</v>
      </c>
      <c r="D1608" s="45" t="s">
        <v>6742</v>
      </c>
      <c r="E1608" s="44" t="s">
        <v>6839</v>
      </c>
      <c r="F1608" s="37">
        <v>1</v>
      </c>
      <c r="G1608" s="37" t="s">
        <v>6864</v>
      </c>
      <c r="H1608" s="63">
        <v>8937.5</v>
      </c>
    </row>
    <row r="1609" spans="1:8" ht="24.75" customHeight="1">
      <c r="A1609" s="44" t="s">
        <v>1439</v>
      </c>
      <c r="B1609" s="45" t="s">
        <v>5000</v>
      </c>
      <c r="C1609" s="45" t="s">
        <v>6719</v>
      </c>
      <c r="D1609" s="45" t="s">
        <v>6742</v>
      </c>
      <c r="E1609" s="44"/>
      <c r="F1609" s="37">
        <v>5</v>
      </c>
      <c r="G1609" s="37" t="s">
        <v>6864</v>
      </c>
      <c r="H1609" s="63">
        <v>715</v>
      </c>
    </row>
    <row r="1610" spans="1:8" ht="24.75" customHeight="1">
      <c r="A1610" s="44" t="s">
        <v>1438</v>
      </c>
      <c r="B1610" s="45" t="s">
        <v>4999</v>
      </c>
      <c r="C1610" s="45" t="s">
        <v>6719</v>
      </c>
      <c r="D1610" s="45" t="s">
        <v>6742</v>
      </c>
      <c r="E1610" s="44"/>
      <c r="F1610" s="37">
        <v>5</v>
      </c>
      <c r="G1610" s="37" t="s">
        <v>6864</v>
      </c>
      <c r="H1610" s="63">
        <v>1487.2</v>
      </c>
    </row>
    <row r="1611" spans="1:8" ht="24.75" customHeight="1">
      <c r="A1611" s="44" t="s">
        <v>1187</v>
      </c>
      <c r="B1611" s="45" t="s">
        <v>5161</v>
      </c>
      <c r="C1611" s="45" t="s">
        <v>6719</v>
      </c>
      <c r="D1611" s="45" t="s">
        <v>6742</v>
      </c>
      <c r="E1611" s="44"/>
      <c r="F1611" s="37">
        <v>20</v>
      </c>
      <c r="G1611" s="37" t="s">
        <v>6864</v>
      </c>
      <c r="H1611" s="63">
        <v>1501.5</v>
      </c>
    </row>
    <row r="1612" spans="1:8" ht="24.75" customHeight="1">
      <c r="A1612" s="44" t="s">
        <v>960</v>
      </c>
      <c r="B1612" s="45" t="s">
        <v>4992</v>
      </c>
      <c r="C1612" s="45" t="s">
        <v>6719</v>
      </c>
      <c r="D1612" s="45" t="s">
        <v>6742</v>
      </c>
      <c r="E1612" s="44"/>
      <c r="F1612" s="37">
        <v>5</v>
      </c>
      <c r="G1612" s="37" t="s">
        <v>6864</v>
      </c>
      <c r="H1612" s="63">
        <v>3303.3</v>
      </c>
    </row>
    <row r="1613" spans="1:8" ht="24.75" customHeight="1">
      <c r="A1613" s="44" t="s">
        <v>1047</v>
      </c>
      <c r="B1613" s="45" t="s">
        <v>5725</v>
      </c>
      <c r="C1613" s="45" t="s">
        <v>6719</v>
      </c>
      <c r="D1613" s="45" t="s">
        <v>6742</v>
      </c>
      <c r="E1613" s="44" t="s">
        <v>6839</v>
      </c>
      <c r="F1613" s="37">
        <v>10</v>
      </c>
      <c r="G1613" s="37" t="s">
        <v>2568</v>
      </c>
      <c r="H1613" s="63">
        <v>2230.8000000000002</v>
      </c>
    </row>
    <row r="1614" spans="1:8" ht="24.75" customHeight="1">
      <c r="A1614" s="44" t="s">
        <v>2027</v>
      </c>
      <c r="B1614" s="45" t="s">
        <v>5511</v>
      </c>
      <c r="C1614" s="45" t="s">
        <v>6719</v>
      </c>
      <c r="D1614" s="45" t="s">
        <v>6742</v>
      </c>
      <c r="E1614" s="44" t="s">
        <v>6839</v>
      </c>
      <c r="F1614" s="37">
        <v>10</v>
      </c>
      <c r="G1614" s="37" t="s">
        <v>2568</v>
      </c>
      <c r="H1614" s="63">
        <v>3603.6</v>
      </c>
    </row>
    <row r="1615" spans="1:8" ht="24.75" customHeight="1">
      <c r="A1615" s="44" t="s">
        <v>1608</v>
      </c>
      <c r="B1615" s="45" t="s">
        <v>5496</v>
      </c>
      <c r="C1615" s="45" t="s">
        <v>6719</v>
      </c>
      <c r="D1615" s="45" t="s">
        <v>6743</v>
      </c>
      <c r="E1615" s="44"/>
      <c r="F1615" s="37">
        <v>5</v>
      </c>
      <c r="G1615" s="37" t="s">
        <v>6864</v>
      </c>
      <c r="H1615" s="63">
        <v>1129.7</v>
      </c>
    </row>
    <row r="1616" spans="1:8" ht="24.75" customHeight="1">
      <c r="A1616" s="44" t="s">
        <v>1436</v>
      </c>
      <c r="B1616" s="45" t="s">
        <v>4996</v>
      </c>
      <c r="C1616" s="45" t="s">
        <v>6719</v>
      </c>
      <c r="D1616" s="45" t="s">
        <v>6743</v>
      </c>
      <c r="E1616" s="44"/>
      <c r="F1616" s="37">
        <v>5</v>
      </c>
      <c r="G1616" s="37" t="s">
        <v>6864</v>
      </c>
      <c r="H1616" s="63">
        <v>1144</v>
      </c>
    </row>
    <row r="1617" spans="1:8" ht="24.75" customHeight="1">
      <c r="A1617" s="44" t="s">
        <v>2934</v>
      </c>
      <c r="B1617" s="45" t="s">
        <v>5964</v>
      </c>
      <c r="C1617" s="45" t="s">
        <v>6719</v>
      </c>
      <c r="D1617" s="45" t="s">
        <v>6743</v>
      </c>
      <c r="E1617" s="44"/>
      <c r="F1617" s="37">
        <v>10</v>
      </c>
      <c r="G1617" s="37" t="s">
        <v>6864</v>
      </c>
      <c r="H1617" s="63">
        <v>872.3</v>
      </c>
    </row>
    <row r="1618" spans="1:8" ht="24.75" customHeight="1">
      <c r="A1618" s="44" t="s">
        <v>1051</v>
      </c>
      <c r="B1618" s="45" t="s">
        <v>5729</v>
      </c>
      <c r="C1618" s="45" t="s">
        <v>6719</v>
      </c>
      <c r="D1618" s="45" t="s">
        <v>6743</v>
      </c>
      <c r="E1618" s="44"/>
      <c r="F1618" s="37">
        <v>10</v>
      </c>
      <c r="G1618" s="37" t="s">
        <v>6864</v>
      </c>
      <c r="H1618" s="63">
        <v>886.6</v>
      </c>
    </row>
    <row r="1619" spans="1:8" ht="24.75" customHeight="1">
      <c r="A1619" s="44" t="s">
        <v>1656</v>
      </c>
      <c r="B1619" s="45" t="s">
        <v>5495</v>
      </c>
      <c r="C1619" s="45" t="s">
        <v>6719</v>
      </c>
      <c r="D1619" s="45" t="s">
        <v>6744</v>
      </c>
      <c r="E1619" s="44" t="s">
        <v>6839</v>
      </c>
      <c r="F1619" s="37">
        <v>1</v>
      </c>
      <c r="G1619" s="37" t="s">
        <v>6864</v>
      </c>
      <c r="H1619" s="63">
        <v>6034.6</v>
      </c>
    </row>
    <row r="1620" spans="1:8" ht="24.75" customHeight="1">
      <c r="A1620" s="44" t="s">
        <v>347</v>
      </c>
      <c r="B1620" s="45" t="s">
        <v>5009</v>
      </c>
      <c r="C1620" s="45" t="s">
        <v>6719</v>
      </c>
      <c r="D1620" s="45" t="s">
        <v>6744</v>
      </c>
      <c r="E1620" s="44"/>
      <c r="F1620" s="37">
        <v>1</v>
      </c>
      <c r="G1620" s="37" t="s">
        <v>6864</v>
      </c>
      <c r="H1620" s="63">
        <v>6563.7</v>
      </c>
    </row>
    <row r="1621" spans="1:8" ht="24.75" customHeight="1">
      <c r="A1621" s="44" t="s">
        <v>1103</v>
      </c>
      <c r="B1621" s="45" t="s">
        <v>5086</v>
      </c>
      <c r="C1621" s="45" t="s">
        <v>6719</v>
      </c>
      <c r="D1621" s="45" t="s">
        <v>6744</v>
      </c>
      <c r="E1621" s="44" t="s">
        <v>6839</v>
      </c>
      <c r="F1621" s="37">
        <v>1</v>
      </c>
      <c r="G1621" s="37" t="s">
        <v>6864</v>
      </c>
      <c r="H1621" s="63">
        <v>4761.8999999999996</v>
      </c>
    </row>
    <row r="1622" spans="1:8" ht="24.75" customHeight="1">
      <c r="A1622" s="44" t="s">
        <v>988</v>
      </c>
      <c r="B1622" s="45" t="s">
        <v>5703</v>
      </c>
      <c r="C1622" s="45" t="s">
        <v>6719</v>
      </c>
      <c r="D1622" s="45" t="s">
        <v>6744</v>
      </c>
      <c r="E1622" s="44" t="s">
        <v>6839</v>
      </c>
      <c r="F1622" s="37">
        <v>1</v>
      </c>
      <c r="G1622" s="37" t="s">
        <v>6864</v>
      </c>
      <c r="H1622" s="63">
        <v>5562.7</v>
      </c>
    </row>
    <row r="1623" spans="1:8" ht="24.75" customHeight="1">
      <c r="A1623" s="44" t="s">
        <v>2810</v>
      </c>
      <c r="B1623" s="45" t="s">
        <v>5810</v>
      </c>
      <c r="C1623" s="45" t="s">
        <v>6719</v>
      </c>
      <c r="D1623" s="45" t="s">
        <v>6744</v>
      </c>
      <c r="E1623" s="44"/>
      <c r="F1623" s="37">
        <v>1</v>
      </c>
      <c r="G1623" s="37" t="s">
        <v>6864</v>
      </c>
      <c r="H1623" s="63">
        <v>5062.2</v>
      </c>
    </row>
    <row r="1624" spans="1:8" ht="24.75" customHeight="1">
      <c r="A1624" s="44" t="s">
        <v>2267</v>
      </c>
      <c r="B1624" s="45" t="s">
        <v>5902</v>
      </c>
      <c r="C1624" s="45" t="s">
        <v>6719</v>
      </c>
      <c r="D1624" s="45" t="s">
        <v>6744</v>
      </c>
      <c r="E1624" s="44"/>
      <c r="F1624" s="37">
        <v>1</v>
      </c>
      <c r="G1624" s="37" t="s">
        <v>6864</v>
      </c>
      <c r="H1624" s="63">
        <v>3660.8</v>
      </c>
    </row>
    <row r="1625" spans="1:8" ht="24.75" customHeight="1">
      <c r="A1625" s="44" t="s">
        <v>1200</v>
      </c>
      <c r="B1625" s="45" t="s">
        <v>4989</v>
      </c>
      <c r="C1625" s="45" t="s">
        <v>6719</v>
      </c>
      <c r="D1625" s="45" t="s">
        <v>6744</v>
      </c>
      <c r="E1625" s="44"/>
      <c r="F1625" s="37">
        <v>1</v>
      </c>
      <c r="G1625" s="37" t="s">
        <v>6864</v>
      </c>
      <c r="H1625" s="63">
        <v>4962.1000000000004</v>
      </c>
    </row>
    <row r="1626" spans="1:8" ht="24.75" customHeight="1">
      <c r="A1626" s="44" t="s">
        <v>423</v>
      </c>
      <c r="B1626" s="45" t="s">
        <v>5983</v>
      </c>
      <c r="C1626" s="45" t="s">
        <v>6719</v>
      </c>
      <c r="D1626" s="45" t="s">
        <v>6744</v>
      </c>
      <c r="E1626" s="44" t="s">
        <v>6839</v>
      </c>
      <c r="F1626" s="37">
        <v>1</v>
      </c>
      <c r="G1626" s="37" t="s">
        <v>6864</v>
      </c>
      <c r="H1626" s="63">
        <v>3660.8</v>
      </c>
    </row>
    <row r="1627" spans="1:8" ht="24.75" customHeight="1">
      <c r="A1627" s="44" t="s">
        <v>2656</v>
      </c>
      <c r="B1627" s="45" t="s">
        <v>5338</v>
      </c>
      <c r="C1627" s="45" t="s">
        <v>6719</v>
      </c>
      <c r="D1627" s="45" t="s">
        <v>6744</v>
      </c>
      <c r="E1627" s="44"/>
      <c r="F1627" s="37">
        <v>1</v>
      </c>
      <c r="G1627" s="37" t="s">
        <v>6864</v>
      </c>
      <c r="H1627" s="63">
        <v>3131.7</v>
      </c>
    </row>
    <row r="1628" spans="1:8" ht="24.75" customHeight="1">
      <c r="A1628" s="44" t="s">
        <v>2904</v>
      </c>
      <c r="B1628" s="45" t="s">
        <v>4096</v>
      </c>
      <c r="C1628" s="45" t="s">
        <v>6719</v>
      </c>
      <c r="D1628" s="45" t="s">
        <v>6745</v>
      </c>
      <c r="E1628" s="44" t="s">
        <v>6841</v>
      </c>
      <c r="F1628" s="37">
        <v>1</v>
      </c>
      <c r="G1628" s="37" t="s">
        <v>6865</v>
      </c>
      <c r="H1628" s="63">
        <v>4933.5</v>
      </c>
    </row>
    <row r="1629" spans="1:8" ht="24.75" customHeight="1">
      <c r="A1629" s="44" t="s">
        <v>2738</v>
      </c>
      <c r="B1629" s="45" t="s">
        <v>4095</v>
      </c>
      <c r="C1629" s="45" t="s">
        <v>6719</v>
      </c>
      <c r="D1629" s="45" t="s">
        <v>6745</v>
      </c>
      <c r="E1629" s="44" t="s">
        <v>6839</v>
      </c>
      <c r="F1629" s="37">
        <v>1</v>
      </c>
      <c r="G1629" s="37" t="s">
        <v>2568</v>
      </c>
      <c r="H1629" s="63">
        <v>9094.7999999999993</v>
      </c>
    </row>
    <row r="1630" spans="1:8" ht="24.75" customHeight="1">
      <c r="A1630" s="44" t="s">
        <v>1874</v>
      </c>
      <c r="B1630" s="45" t="s">
        <v>4091</v>
      </c>
      <c r="C1630" s="45" t="s">
        <v>6719</v>
      </c>
      <c r="D1630" s="45" t="s">
        <v>6745</v>
      </c>
      <c r="E1630" s="44" t="s">
        <v>6841</v>
      </c>
      <c r="F1630" s="37">
        <v>1</v>
      </c>
      <c r="G1630" s="37" t="s">
        <v>6865</v>
      </c>
      <c r="H1630" s="63">
        <v>4876.3</v>
      </c>
    </row>
    <row r="1631" spans="1:8" ht="24.75" customHeight="1">
      <c r="A1631" s="44" t="s">
        <v>1875</v>
      </c>
      <c r="B1631" s="45" t="s">
        <v>4092</v>
      </c>
      <c r="C1631" s="45" t="s">
        <v>6719</v>
      </c>
      <c r="D1631" s="45" t="s">
        <v>6745</v>
      </c>
      <c r="E1631" s="44" t="s">
        <v>6841</v>
      </c>
      <c r="F1631" s="37">
        <v>1</v>
      </c>
      <c r="G1631" s="37" t="s">
        <v>6865</v>
      </c>
      <c r="H1631" s="63">
        <v>4375.8</v>
      </c>
    </row>
    <row r="1632" spans="1:8" ht="24.75" customHeight="1">
      <c r="A1632" s="44" t="s">
        <v>162</v>
      </c>
      <c r="B1632" s="45" t="s">
        <v>4081</v>
      </c>
      <c r="C1632" s="45" t="s">
        <v>6719</v>
      </c>
      <c r="D1632" s="45" t="s">
        <v>6745</v>
      </c>
      <c r="E1632" s="44" t="s">
        <v>6841</v>
      </c>
      <c r="F1632" s="37">
        <v>1</v>
      </c>
      <c r="G1632" s="37" t="s">
        <v>6865</v>
      </c>
      <c r="H1632" s="63">
        <v>4261.3999999999996</v>
      </c>
    </row>
    <row r="1633" spans="1:8" ht="24.75" customHeight="1">
      <c r="A1633" s="44" t="s">
        <v>163</v>
      </c>
      <c r="B1633" s="45" t="s">
        <v>4082</v>
      </c>
      <c r="C1633" s="45" t="s">
        <v>6719</v>
      </c>
      <c r="D1633" s="45" t="s">
        <v>6745</v>
      </c>
      <c r="E1633" s="44" t="s">
        <v>6841</v>
      </c>
      <c r="F1633" s="37">
        <v>1</v>
      </c>
      <c r="G1633" s="37" t="s">
        <v>6865</v>
      </c>
      <c r="H1633" s="63">
        <v>4318.6000000000004</v>
      </c>
    </row>
    <row r="1634" spans="1:8" ht="24.75" customHeight="1">
      <c r="A1634" s="44" t="s">
        <v>169</v>
      </c>
      <c r="B1634" s="45" t="s">
        <v>4088</v>
      </c>
      <c r="C1634" s="45" t="s">
        <v>6719</v>
      </c>
      <c r="D1634" s="45" t="s">
        <v>6745</v>
      </c>
      <c r="E1634" s="44" t="s">
        <v>6841</v>
      </c>
      <c r="F1634" s="37">
        <v>1</v>
      </c>
      <c r="G1634" s="37" t="s">
        <v>6865</v>
      </c>
      <c r="H1634" s="63">
        <v>5419.7</v>
      </c>
    </row>
    <row r="1635" spans="1:8" ht="24.75" customHeight="1">
      <c r="A1635" s="44" t="s">
        <v>168</v>
      </c>
      <c r="B1635" s="45" t="s">
        <v>4087</v>
      </c>
      <c r="C1635" s="45" t="s">
        <v>6719</v>
      </c>
      <c r="D1635" s="45" t="s">
        <v>6745</v>
      </c>
      <c r="E1635" s="44" t="s">
        <v>6841</v>
      </c>
      <c r="F1635" s="37">
        <v>1</v>
      </c>
      <c r="G1635" s="37" t="s">
        <v>6865</v>
      </c>
      <c r="H1635" s="63">
        <v>5419.7</v>
      </c>
    </row>
    <row r="1636" spans="1:8" ht="24.75" customHeight="1">
      <c r="A1636" s="44" t="s">
        <v>167</v>
      </c>
      <c r="B1636" s="45" t="s">
        <v>4086</v>
      </c>
      <c r="C1636" s="45" t="s">
        <v>6719</v>
      </c>
      <c r="D1636" s="45" t="s">
        <v>6745</v>
      </c>
      <c r="E1636" s="44" t="s">
        <v>6841</v>
      </c>
      <c r="F1636" s="37">
        <v>1</v>
      </c>
      <c r="G1636" s="37" t="s">
        <v>6865</v>
      </c>
      <c r="H1636" s="63">
        <v>5591.3</v>
      </c>
    </row>
    <row r="1637" spans="1:8" ht="24.75" customHeight="1">
      <c r="A1637" s="44" t="s">
        <v>166</v>
      </c>
      <c r="B1637" s="45" t="s">
        <v>4085</v>
      </c>
      <c r="C1637" s="45" t="s">
        <v>6719</v>
      </c>
      <c r="D1637" s="45" t="s">
        <v>6745</v>
      </c>
      <c r="E1637" s="44" t="s">
        <v>6841</v>
      </c>
      <c r="F1637" s="37">
        <v>1</v>
      </c>
      <c r="G1637" s="37" t="s">
        <v>6865</v>
      </c>
      <c r="H1637" s="63">
        <v>5205.2</v>
      </c>
    </row>
    <row r="1638" spans="1:8" ht="24.75" customHeight="1">
      <c r="A1638" s="44" t="s">
        <v>2969</v>
      </c>
      <c r="B1638" s="45" t="s">
        <v>4808</v>
      </c>
      <c r="C1638" s="45" t="s">
        <v>6719</v>
      </c>
      <c r="D1638" s="45" t="s">
        <v>6745</v>
      </c>
      <c r="E1638" s="44" t="s">
        <v>6841</v>
      </c>
      <c r="F1638" s="37">
        <v>1</v>
      </c>
      <c r="G1638" s="37" t="s">
        <v>6865</v>
      </c>
      <c r="H1638" s="63">
        <v>4933.5</v>
      </c>
    </row>
    <row r="1639" spans="1:8" ht="24.75" customHeight="1">
      <c r="A1639" s="44" t="s">
        <v>165</v>
      </c>
      <c r="B1639" s="45" t="s">
        <v>4084</v>
      </c>
      <c r="C1639" s="45" t="s">
        <v>6719</v>
      </c>
      <c r="D1639" s="45" t="s">
        <v>6745</v>
      </c>
      <c r="E1639" s="44" t="s">
        <v>6841</v>
      </c>
      <c r="F1639" s="37">
        <v>1</v>
      </c>
      <c r="G1639" s="37" t="s">
        <v>6865</v>
      </c>
      <c r="H1639" s="63">
        <v>4704.7</v>
      </c>
    </row>
    <row r="1640" spans="1:8" ht="24.75" customHeight="1">
      <c r="A1640" s="44" t="s">
        <v>164</v>
      </c>
      <c r="B1640" s="45" t="s">
        <v>4083</v>
      </c>
      <c r="C1640" s="45" t="s">
        <v>6719</v>
      </c>
      <c r="D1640" s="45" t="s">
        <v>6745</v>
      </c>
      <c r="E1640" s="44" t="s">
        <v>6841</v>
      </c>
      <c r="F1640" s="37">
        <v>1</v>
      </c>
      <c r="G1640" s="37" t="s">
        <v>6865</v>
      </c>
      <c r="H1640" s="63">
        <v>4976.3999999999996</v>
      </c>
    </row>
    <row r="1641" spans="1:8" ht="24.75" customHeight="1">
      <c r="A1641" s="44" t="s">
        <v>171</v>
      </c>
      <c r="B1641" s="45" t="s">
        <v>4090</v>
      </c>
      <c r="C1641" s="45" t="s">
        <v>6719</v>
      </c>
      <c r="D1641" s="45" t="s">
        <v>6745</v>
      </c>
      <c r="E1641" s="44" t="s">
        <v>6841</v>
      </c>
      <c r="F1641" s="37">
        <v>1</v>
      </c>
      <c r="G1641" s="37" t="s">
        <v>6865</v>
      </c>
      <c r="H1641" s="63">
        <v>4433</v>
      </c>
    </row>
    <row r="1642" spans="1:8" ht="24.75" customHeight="1">
      <c r="A1642" s="44" t="s">
        <v>2029</v>
      </c>
      <c r="B1642" s="45" t="s">
        <v>4093</v>
      </c>
      <c r="C1642" s="45" t="s">
        <v>6719</v>
      </c>
      <c r="D1642" s="45" t="s">
        <v>6745</v>
      </c>
      <c r="E1642" s="44" t="s">
        <v>6841</v>
      </c>
      <c r="F1642" s="37">
        <v>1</v>
      </c>
      <c r="G1642" s="37" t="s">
        <v>6865</v>
      </c>
      <c r="H1642" s="63">
        <v>5648.5</v>
      </c>
    </row>
    <row r="1643" spans="1:8" ht="24.75" customHeight="1">
      <c r="A1643" s="44" t="s">
        <v>170</v>
      </c>
      <c r="B1643" s="45" t="s">
        <v>4089</v>
      </c>
      <c r="C1643" s="45" t="s">
        <v>6719</v>
      </c>
      <c r="D1643" s="45" t="s">
        <v>6745</v>
      </c>
      <c r="E1643" s="44" t="s">
        <v>6841</v>
      </c>
      <c r="F1643" s="37">
        <v>1</v>
      </c>
      <c r="G1643" s="37" t="s">
        <v>6865</v>
      </c>
      <c r="H1643" s="63">
        <v>4533.1000000000004</v>
      </c>
    </row>
    <row r="1644" spans="1:8" ht="24.75" customHeight="1">
      <c r="A1644" s="44" t="s">
        <v>2087</v>
      </c>
      <c r="B1644" s="45" t="s">
        <v>4094</v>
      </c>
      <c r="C1644" s="45" t="s">
        <v>6719</v>
      </c>
      <c r="D1644" s="45" t="s">
        <v>6745</v>
      </c>
      <c r="E1644" s="44" t="s">
        <v>6841</v>
      </c>
      <c r="F1644" s="37">
        <v>1</v>
      </c>
      <c r="G1644" s="37" t="s">
        <v>6865</v>
      </c>
      <c r="H1644" s="63">
        <v>5148</v>
      </c>
    </row>
    <row r="1645" spans="1:8" ht="24.75" customHeight="1">
      <c r="A1645" s="44" t="s">
        <v>1337</v>
      </c>
      <c r="B1645" s="45" t="s">
        <v>5166</v>
      </c>
      <c r="C1645" s="45" t="s">
        <v>6719</v>
      </c>
      <c r="D1645" s="45" t="s">
        <v>6746</v>
      </c>
      <c r="E1645" s="44"/>
      <c r="F1645" s="37">
        <v>20</v>
      </c>
      <c r="G1645" s="37" t="s">
        <v>6864</v>
      </c>
      <c r="H1645" s="63">
        <v>357.5</v>
      </c>
    </row>
    <row r="1646" spans="1:8" ht="24.75" customHeight="1">
      <c r="A1646" s="44" t="s">
        <v>2833</v>
      </c>
      <c r="B1646" s="45" t="s">
        <v>5838</v>
      </c>
      <c r="C1646" s="45" t="s">
        <v>6719</v>
      </c>
      <c r="D1646" s="45" t="s">
        <v>6746</v>
      </c>
      <c r="E1646" s="44"/>
      <c r="F1646" s="37">
        <v>20</v>
      </c>
      <c r="G1646" s="37" t="s">
        <v>2568</v>
      </c>
      <c r="H1646" s="63">
        <v>3188.9</v>
      </c>
    </row>
    <row r="1647" spans="1:8" ht="24.75" customHeight="1">
      <c r="A1647" s="44" t="s">
        <v>1007</v>
      </c>
      <c r="B1647" s="45" t="s">
        <v>3922</v>
      </c>
      <c r="C1647" s="45" t="s">
        <v>6719</v>
      </c>
      <c r="D1647" s="45" t="s">
        <v>6746</v>
      </c>
      <c r="E1647" s="44" t="s">
        <v>6841</v>
      </c>
      <c r="F1647" s="37">
        <v>1</v>
      </c>
      <c r="G1647" s="37" t="s">
        <v>6865</v>
      </c>
      <c r="H1647" s="63">
        <v>2259.4</v>
      </c>
    </row>
    <row r="1648" spans="1:8" ht="24.75" customHeight="1">
      <c r="A1648" s="44" t="s">
        <v>2902</v>
      </c>
      <c r="B1648" s="45" t="s">
        <v>3925</v>
      </c>
      <c r="C1648" s="45" t="s">
        <v>6719</v>
      </c>
      <c r="D1648" s="45" t="s">
        <v>6746</v>
      </c>
      <c r="E1648" s="44" t="s">
        <v>6841</v>
      </c>
      <c r="F1648" s="37">
        <v>1</v>
      </c>
      <c r="G1648" s="37" t="s">
        <v>6865</v>
      </c>
      <c r="H1648" s="63">
        <v>2516.8000000000002</v>
      </c>
    </row>
    <row r="1649" spans="1:8" ht="24.75" customHeight="1">
      <c r="A1649" s="44" t="s">
        <v>2903</v>
      </c>
      <c r="B1649" s="45" t="s">
        <v>3926</v>
      </c>
      <c r="C1649" s="45" t="s">
        <v>6719</v>
      </c>
      <c r="D1649" s="45" t="s">
        <v>6746</v>
      </c>
      <c r="E1649" s="44" t="s">
        <v>6841</v>
      </c>
      <c r="F1649" s="37">
        <v>1</v>
      </c>
      <c r="G1649" s="37" t="s">
        <v>6865</v>
      </c>
      <c r="H1649" s="63">
        <v>2516.8000000000002</v>
      </c>
    </row>
    <row r="1650" spans="1:8" ht="24.75" customHeight="1">
      <c r="A1650" s="44" t="s">
        <v>1008</v>
      </c>
      <c r="B1650" s="45" t="s">
        <v>3923</v>
      </c>
      <c r="C1650" s="45" t="s">
        <v>6719</v>
      </c>
      <c r="D1650" s="45" t="s">
        <v>6746</v>
      </c>
      <c r="E1650" s="44" t="s">
        <v>6841</v>
      </c>
      <c r="F1650" s="37">
        <v>1</v>
      </c>
      <c r="G1650" s="37" t="s">
        <v>6865</v>
      </c>
      <c r="H1650" s="63">
        <v>2259.4</v>
      </c>
    </row>
    <row r="1651" spans="1:8" ht="24.75" customHeight="1">
      <c r="A1651" s="44" t="s">
        <v>2865</v>
      </c>
      <c r="B1651" s="45" t="s">
        <v>3924</v>
      </c>
      <c r="C1651" s="45" t="s">
        <v>6719</v>
      </c>
      <c r="D1651" s="45" t="s">
        <v>6746</v>
      </c>
      <c r="E1651" s="44" t="s">
        <v>6841</v>
      </c>
      <c r="F1651" s="37">
        <v>1</v>
      </c>
      <c r="G1651" s="37" t="s">
        <v>6865</v>
      </c>
      <c r="H1651" s="63">
        <v>2516.8000000000002</v>
      </c>
    </row>
    <row r="1652" spans="1:8" ht="24.75" customHeight="1">
      <c r="A1652" s="44" t="s">
        <v>2866</v>
      </c>
      <c r="B1652" s="45" t="s">
        <v>3927</v>
      </c>
      <c r="C1652" s="45" t="s">
        <v>6719</v>
      </c>
      <c r="D1652" s="45" t="s">
        <v>6746</v>
      </c>
      <c r="E1652" s="44" t="s">
        <v>6841</v>
      </c>
      <c r="F1652" s="37">
        <v>1</v>
      </c>
      <c r="G1652" s="37" t="s">
        <v>6865</v>
      </c>
      <c r="H1652" s="63">
        <v>2516.8000000000002</v>
      </c>
    </row>
    <row r="1653" spans="1:8" ht="24.75" customHeight="1">
      <c r="A1653" s="44" t="s">
        <v>1343</v>
      </c>
      <c r="B1653" s="45" t="s">
        <v>5172</v>
      </c>
      <c r="C1653" s="45" t="s">
        <v>6719</v>
      </c>
      <c r="D1653" s="45" t="s">
        <v>6746</v>
      </c>
      <c r="E1653" s="44" t="s">
        <v>6839</v>
      </c>
      <c r="F1653" s="37">
        <v>5</v>
      </c>
      <c r="G1653" s="37" t="s">
        <v>2568</v>
      </c>
      <c r="H1653" s="63">
        <v>1315.6</v>
      </c>
    </row>
    <row r="1654" spans="1:8" ht="24.75" customHeight="1">
      <c r="A1654" s="44" t="s">
        <v>1184</v>
      </c>
      <c r="B1654" s="45" t="s">
        <v>5158</v>
      </c>
      <c r="C1654" s="45" t="s">
        <v>6719</v>
      </c>
      <c r="D1654" s="45" t="s">
        <v>6746</v>
      </c>
      <c r="E1654" s="44"/>
      <c r="F1654" s="37">
        <v>100</v>
      </c>
      <c r="G1654" s="37" t="s">
        <v>6864</v>
      </c>
      <c r="H1654" s="63">
        <v>185.9</v>
      </c>
    </row>
    <row r="1655" spans="1:8" ht="24.75" customHeight="1">
      <c r="A1655" s="44" t="s">
        <v>1345</v>
      </c>
      <c r="B1655" s="45" t="s">
        <v>5174</v>
      </c>
      <c r="C1655" s="45" t="s">
        <v>6719</v>
      </c>
      <c r="D1655" s="45" t="s">
        <v>6746</v>
      </c>
      <c r="E1655" s="44" t="s">
        <v>6839</v>
      </c>
      <c r="F1655" s="37">
        <v>50</v>
      </c>
      <c r="G1655" s="37" t="s">
        <v>2568</v>
      </c>
      <c r="H1655" s="63">
        <v>243.1</v>
      </c>
    </row>
    <row r="1656" spans="1:8" ht="24.75" customHeight="1">
      <c r="A1656" s="44" t="s">
        <v>959</v>
      </c>
      <c r="B1656" s="45" t="s">
        <v>4917</v>
      </c>
      <c r="C1656" s="45" t="s">
        <v>6719</v>
      </c>
      <c r="D1656" s="45" t="s">
        <v>6746</v>
      </c>
      <c r="E1656" s="44"/>
      <c r="F1656" s="37">
        <v>50</v>
      </c>
      <c r="G1656" s="37" t="s">
        <v>6864</v>
      </c>
      <c r="H1656" s="63">
        <v>386.1</v>
      </c>
    </row>
    <row r="1657" spans="1:8" ht="24.75" customHeight="1">
      <c r="A1657" s="44" t="s">
        <v>1249</v>
      </c>
      <c r="B1657" s="45" t="s">
        <v>4912</v>
      </c>
      <c r="C1657" s="45" t="s">
        <v>6719</v>
      </c>
      <c r="D1657" s="45" t="s">
        <v>6746</v>
      </c>
      <c r="E1657" s="44"/>
      <c r="F1657" s="37">
        <v>20</v>
      </c>
      <c r="G1657" s="37" t="s">
        <v>6864</v>
      </c>
      <c r="H1657" s="63">
        <v>958.1</v>
      </c>
    </row>
    <row r="1658" spans="1:8" ht="24.75" customHeight="1">
      <c r="A1658" s="44" t="s">
        <v>183</v>
      </c>
      <c r="B1658" s="45" t="s">
        <v>5967</v>
      </c>
      <c r="C1658" s="45" t="s">
        <v>6719</v>
      </c>
      <c r="D1658" s="45" t="s">
        <v>6746</v>
      </c>
      <c r="E1658" s="44"/>
      <c r="F1658" s="37">
        <v>10</v>
      </c>
      <c r="G1658" s="37" t="s">
        <v>2568</v>
      </c>
      <c r="H1658" s="63">
        <v>1987.7</v>
      </c>
    </row>
    <row r="1659" spans="1:8" ht="24.75" customHeight="1">
      <c r="A1659" s="44" t="s">
        <v>533</v>
      </c>
      <c r="B1659" s="45" t="s">
        <v>5740</v>
      </c>
      <c r="C1659" s="45" t="s">
        <v>6719</v>
      </c>
      <c r="D1659" s="45" t="s">
        <v>6747</v>
      </c>
      <c r="E1659" s="44" t="s">
        <v>6839</v>
      </c>
      <c r="F1659" s="37">
        <v>1</v>
      </c>
      <c r="G1659" s="37" t="s">
        <v>6864</v>
      </c>
      <c r="H1659" s="63">
        <v>27270.1</v>
      </c>
    </row>
    <row r="1660" spans="1:8" ht="24.75" customHeight="1">
      <c r="A1660" s="44" t="s">
        <v>1340</v>
      </c>
      <c r="B1660" s="45" t="s">
        <v>5169</v>
      </c>
      <c r="C1660" s="45" t="s">
        <v>6719</v>
      </c>
      <c r="D1660" s="45" t="s">
        <v>6747</v>
      </c>
      <c r="E1660" s="44" t="s">
        <v>6839</v>
      </c>
      <c r="F1660" s="37">
        <v>1</v>
      </c>
      <c r="G1660" s="37" t="s">
        <v>6864</v>
      </c>
      <c r="H1660" s="63">
        <v>22822.799999999999</v>
      </c>
    </row>
    <row r="1661" spans="1:8" ht="24.75" customHeight="1">
      <c r="A1661" s="44" t="s">
        <v>1606</v>
      </c>
      <c r="B1661" s="45" t="s">
        <v>5493</v>
      </c>
      <c r="C1661" s="45" t="s">
        <v>6719</v>
      </c>
      <c r="D1661" s="45" t="s">
        <v>6747</v>
      </c>
      <c r="E1661" s="44" t="s">
        <v>6839</v>
      </c>
      <c r="F1661" s="37">
        <v>1</v>
      </c>
      <c r="G1661" s="37" t="s">
        <v>6864</v>
      </c>
      <c r="H1661" s="63">
        <v>55612.7</v>
      </c>
    </row>
    <row r="1662" spans="1:8" ht="24.75" customHeight="1">
      <c r="A1662" s="44" t="s">
        <v>1045</v>
      </c>
      <c r="B1662" s="45" t="s">
        <v>5723</v>
      </c>
      <c r="C1662" s="45" t="s">
        <v>6719</v>
      </c>
      <c r="D1662" s="45" t="s">
        <v>6747</v>
      </c>
      <c r="E1662" s="44" t="s">
        <v>6839</v>
      </c>
      <c r="F1662" s="37">
        <v>1</v>
      </c>
      <c r="G1662" s="37" t="s">
        <v>6864</v>
      </c>
      <c r="H1662" s="63">
        <v>17160</v>
      </c>
    </row>
    <row r="1663" spans="1:8" ht="24.75" customHeight="1">
      <c r="A1663" s="44" t="s">
        <v>3190</v>
      </c>
      <c r="B1663" s="45" t="s">
        <v>5408</v>
      </c>
      <c r="C1663" s="45" t="s">
        <v>6719</v>
      </c>
      <c r="D1663" s="45" t="s">
        <v>6747</v>
      </c>
      <c r="E1663" s="44" t="s">
        <v>956</v>
      </c>
      <c r="F1663" s="37">
        <v>1</v>
      </c>
      <c r="G1663" s="37" t="s">
        <v>6864</v>
      </c>
      <c r="H1663" s="63">
        <v>36736.699999999997</v>
      </c>
    </row>
    <row r="1664" spans="1:8" ht="24.75" customHeight="1">
      <c r="A1664" s="44" t="s">
        <v>679</v>
      </c>
      <c r="B1664" s="45" t="s">
        <v>5713</v>
      </c>
      <c r="C1664" s="45" t="s">
        <v>6719</v>
      </c>
      <c r="D1664" s="45" t="s">
        <v>6747</v>
      </c>
      <c r="E1664" s="44" t="s">
        <v>6839</v>
      </c>
      <c r="F1664" s="37">
        <v>1</v>
      </c>
      <c r="G1664" s="37" t="s">
        <v>6864</v>
      </c>
      <c r="H1664" s="63">
        <v>20277.400000000001</v>
      </c>
    </row>
    <row r="1665" spans="1:8" ht="24.75" customHeight="1">
      <c r="A1665" s="44" t="s">
        <v>2270</v>
      </c>
      <c r="B1665" s="45" t="s">
        <v>5935</v>
      </c>
      <c r="C1665" s="45" t="s">
        <v>6719</v>
      </c>
      <c r="D1665" s="45" t="s">
        <v>6747</v>
      </c>
      <c r="E1665" s="44" t="s">
        <v>6855</v>
      </c>
      <c r="F1665" s="37">
        <v>1</v>
      </c>
      <c r="G1665" s="37" t="s">
        <v>6864</v>
      </c>
      <c r="H1665" s="63">
        <v>21035.3</v>
      </c>
    </row>
    <row r="1666" spans="1:8" ht="24.75" customHeight="1">
      <c r="A1666" s="44" t="s">
        <v>2506</v>
      </c>
      <c r="B1666" s="45" t="s">
        <v>4869</v>
      </c>
      <c r="C1666" s="45" t="s">
        <v>6719</v>
      </c>
      <c r="D1666" s="45" t="s">
        <v>6747</v>
      </c>
      <c r="E1666" s="44" t="s">
        <v>956</v>
      </c>
      <c r="F1666" s="37">
        <v>1</v>
      </c>
      <c r="G1666" s="37" t="s">
        <v>6864</v>
      </c>
      <c r="H1666" s="63">
        <v>24124.1</v>
      </c>
    </row>
    <row r="1667" spans="1:8" ht="24.75" customHeight="1">
      <c r="A1667" s="44" t="s">
        <v>1469</v>
      </c>
      <c r="B1667" s="45" t="s">
        <v>5036</v>
      </c>
      <c r="C1667" s="45" t="s">
        <v>6719</v>
      </c>
      <c r="D1667" s="45" t="s">
        <v>6747</v>
      </c>
      <c r="E1667" s="44"/>
      <c r="F1667" s="37">
        <v>1</v>
      </c>
      <c r="G1667" s="37" t="s">
        <v>6864</v>
      </c>
      <c r="H1667" s="63">
        <v>33590.699999999997</v>
      </c>
    </row>
    <row r="1668" spans="1:8" ht="24.75" customHeight="1">
      <c r="A1668" s="44" t="s">
        <v>80</v>
      </c>
      <c r="B1668" s="45" t="s">
        <v>5949</v>
      </c>
      <c r="C1668" s="45" t="s">
        <v>6719</v>
      </c>
      <c r="D1668" s="45" t="s">
        <v>6747</v>
      </c>
      <c r="E1668" s="44" t="s">
        <v>6839</v>
      </c>
      <c r="F1668" s="37">
        <v>1</v>
      </c>
      <c r="G1668" s="37" t="s">
        <v>6864</v>
      </c>
      <c r="H1668" s="63">
        <v>18275.400000000001</v>
      </c>
    </row>
    <row r="1669" spans="1:8" ht="24.75" customHeight="1">
      <c r="A1669" s="44" t="s">
        <v>1557</v>
      </c>
      <c r="B1669" s="45" t="s">
        <v>4796</v>
      </c>
      <c r="C1669" s="45" t="s">
        <v>6748</v>
      </c>
      <c r="D1669" s="45" t="s">
        <v>6749</v>
      </c>
      <c r="E1669" s="44" t="s">
        <v>956</v>
      </c>
      <c r="F1669" s="37">
        <v>100</v>
      </c>
      <c r="G1669" s="37" t="s">
        <v>6864</v>
      </c>
      <c r="H1669" s="63">
        <v>471.9</v>
      </c>
    </row>
    <row r="1670" spans="1:8" ht="24.75" customHeight="1">
      <c r="A1670" s="44" t="s">
        <v>5354</v>
      </c>
      <c r="B1670" s="45" t="s">
        <v>5355</v>
      </c>
      <c r="C1670" s="45" t="s">
        <v>6748</v>
      </c>
      <c r="D1670" s="45" t="s">
        <v>6694</v>
      </c>
      <c r="E1670" s="44"/>
      <c r="F1670" s="37">
        <v>1</v>
      </c>
      <c r="G1670" s="37" t="s">
        <v>6864</v>
      </c>
      <c r="H1670" s="63">
        <v>58258.2</v>
      </c>
    </row>
    <row r="1671" spans="1:8" ht="24.75" customHeight="1">
      <c r="A1671" s="44" t="s">
        <v>2605</v>
      </c>
      <c r="B1671" s="45" t="s">
        <v>5231</v>
      </c>
      <c r="C1671" s="45" t="s">
        <v>6748</v>
      </c>
      <c r="D1671" s="45" t="s">
        <v>6750</v>
      </c>
      <c r="E1671" s="44"/>
      <c r="F1671" s="37">
        <v>1</v>
      </c>
      <c r="G1671" s="37" t="s">
        <v>6864</v>
      </c>
      <c r="H1671" s="63">
        <v>9595.2999999999993</v>
      </c>
    </row>
    <row r="1672" spans="1:8" ht="24.75" customHeight="1">
      <c r="A1672" s="44" t="s">
        <v>637</v>
      </c>
      <c r="B1672" s="45" t="s">
        <v>5601</v>
      </c>
      <c r="C1672" s="45" t="s">
        <v>6748</v>
      </c>
      <c r="D1672" s="45" t="s">
        <v>6751</v>
      </c>
      <c r="E1672" s="44" t="s">
        <v>6855</v>
      </c>
      <c r="F1672" s="37">
        <v>1</v>
      </c>
      <c r="G1672" s="37" t="s">
        <v>6864</v>
      </c>
      <c r="H1672" s="63">
        <v>3389.1</v>
      </c>
    </row>
    <row r="1673" spans="1:8" ht="24.75" customHeight="1">
      <c r="A1673" s="44" t="s">
        <v>3</v>
      </c>
      <c r="B1673" s="45" t="s">
        <v>4967</v>
      </c>
      <c r="C1673" s="45" t="s">
        <v>6748</v>
      </c>
      <c r="D1673" s="45" t="s">
        <v>6751</v>
      </c>
      <c r="E1673" s="44" t="s">
        <v>6855</v>
      </c>
      <c r="F1673" s="37">
        <v>1</v>
      </c>
      <c r="G1673" s="37" t="s">
        <v>6864</v>
      </c>
      <c r="H1673" s="63">
        <v>4561.7</v>
      </c>
    </row>
    <row r="1674" spans="1:8" ht="24.75" customHeight="1">
      <c r="A1674" s="44" t="s">
        <v>3166</v>
      </c>
      <c r="B1674" s="45" t="s">
        <v>6347</v>
      </c>
      <c r="C1674" s="45" t="s">
        <v>6682</v>
      </c>
      <c r="D1674" s="45" t="s">
        <v>6752</v>
      </c>
      <c r="E1674" s="44"/>
      <c r="F1674" s="37">
        <v>10</v>
      </c>
      <c r="G1674" s="37" t="s">
        <v>6864</v>
      </c>
      <c r="H1674" s="63">
        <v>1987.7</v>
      </c>
    </row>
    <row r="1675" spans="1:8" ht="24.75" customHeight="1">
      <c r="A1675" s="44" t="s">
        <v>1424</v>
      </c>
      <c r="B1675" s="45" t="s">
        <v>4978</v>
      </c>
      <c r="C1675" s="45" t="s">
        <v>6682</v>
      </c>
      <c r="D1675" s="45" t="s">
        <v>6752</v>
      </c>
      <c r="E1675" s="44"/>
      <c r="F1675" s="37">
        <v>5</v>
      </c>
      <c r="G1675" s="37" t="s">
        <v>6864</v>
      </c>
      <c r="H1675" s="63">
        <v>972.4</v>
      </c>
    </row>
    <row r="1676" spans="1:8" ht="24.75" customHeight="1">
      <c r="A1676" s="44" t="s">
        <v>758</v>
      </c>
      <c r="B1676" s="45" t="s">
        <v>6068</v>
      </c>
      <c r="C1676" s="45" t="s">
        <v>6682</v>
      </c>
      <c r="D1676" s="45" t="s">
        <v>6752</v>
      </c>
      <c r="E1676" s="44"/>
      <c r="F1676" s="37">
        <v>10</v>
      </c>
      <c r="G1676" s="37" t="s">
        <v>6864</v>
      </c>
      <c r="H1676" s="63">
        <v>1072.5</v>
      </c>
    </row>
    <row r="1677" spans="1:8" ht="24.75" customHeight="1">
      <c r="A1677" s="44" t="s">
        <v>2158</v>
      </c>
      <c r="B1677" s="45" t="s">
        <v>5589</v>
      </c>
      <c r="C1677" s="45" t="s">
        <v>6682</v>
      </c>
      <c r="D1677" s="45" t="s">
        <v>6752</v>
      </c>
      <c r="E1677" s="44"/>
      <c r="F1677" s="37">
        <v>10</v>
      </c>
      <c r="G1677" s="37" t="s">
        <v>6864</v>
      </c>
      <c r="H1677" s="63">
        <v>586.29999999999995</v>
      </c>
    </row>
    <row r="1678" spans="1:8" ht="24.75" customHeight="1">
      <c r="A1678" s="44" t="s">
        <v>1663</v>
      </c>
      <c r="B1678" s="45" t="s">
        <v>5465</v>
      </c>
      <c r="C1678" s="45" t="s">
        <v>6682</v>
      </c>
      <c r="D1678" s="45" t="s">
        <v>6752</v>
      </c>
      <c r="E1678" s="44"/>
      <c r="F1678" s="37">
        <v>10</v>
      </c>
      <c r="G1678" s="37" t="s">
        <v>6864</v>
      </c>
      <c r="H1678" s="63">
        <v>1158.3</v>
      </c>
    </row>
    <row r="1679" spans="1:8" ht="24.75" customHeight="1">
      <c r="A1679" s="44" t="s">
        <v>2909</v>
      </c>
      <c r="B1679" s="45" t="s">
        <v>5792</v>
      </c>
      <c r="C1679" s="45" t="s">
        <v>6682</v>
      </c>
      <c r="D1679" s="45" t="s">
        <v>6752</v>
      </c>
      <c r="E1679" s="44"/>
      <c r="F1679" s="37">
        <v>10</v>
      </c>
      <c r="G1679" s="37" t="s">
        <v>6864</v>
      </c>
      <c r="H1679" s="63">
        <v>1172.5999999999999</v>
      </c>
    </row>
    <row r="1680" spans="1:8" ht="24.75" customHeight="1">
      <c r="A1680" s="44" t="s">
        <v>2609</v>
      </c>
      <c r="B1680" s="45" t="s">
        <v>5235</v>
      </c>
      <c r="C1680" s="45" t="s">
        <v>6682</v>
      </c>
      <c r="D1680" s="45" t="s">
        <v>6752</v>
      </c>
      <c r="E1680" s="44"/>
      <c r="F1680" s="37">
        <v>10</v>
      </c>
      <c r="G1680" s="37" t="s">
        <v>6864</v>
      </c>
      <c r="H1680" s="63">
        <v>1201.2</v>
      </c>
    </row>
    <row r="1681" spans="1:8" ht="24.75" customHeight="1">
      <c r="A1681" s="44" t="s">
        <v>2157</v>
      </c>
      <c r="B1681" s="45" t="s">
        <v>5572</v>
      </c>
      <c r="C1681" s="45" t="s">
        <v>6682</v>
      </c>
      <c r="D1681" s="45" t="s">
        <v>6752</v>
      </c>
      <c r="E1681" s="44"/>
      <c r="F1681" s="37">
        <v>10</v>
      </c>
      <c r="G1681" s="37" t="s">
        <v>6864</v>
      </c>
      <c r="H1681" s="63">
        <v>772.2</v>
      </c>
    </row>
    <row r="1682" spans="1:8" ht="24.75" customHeight="1">
      <c r="A1682" s="44" t="s">
        <v>1664</v>
      </c>
      <c r="B1682" s="45" t="s">
        <v>5469</v>
      </c>
      <c r="C1682" s="45" t="s">
        <v>6682</v>
      </c>
      <c r="D1682" s="45" t="s">
        <v>6752</v>
      </c>
      <c r="E1682" s="44"/>
      <c r="F1682" s="37">
        <v>10</v>
      </c>
      <c r="G1682" s="37" t="s">
        <v>6864</v>
      </c>
      <c r="H1682" s="63">
        <v>843.7</v>
      </c>
    </row>
    <row r="1683" spans="1:8" ht="24.75" customHeight="1">
      <c r="A1683" s="44" t="s">
        <v>2156</v>
      </c>
      <c r="B1683" s="45" t="s">
        <v>5565</v>
      </c>
      <c r="C1683" s="45" t="s">
        <v>6682</v>
      </c>
      <c r="D1683" s="45" t="s">
        <v>6752</v>
      </c>
      <c r="E1683" s="44"/>
      <c r="F1683" s="37">
        <v>10</v>
      </c>
      <c r="G1683" s="37" t="s">
        <v>6864</v>
      </c>
      <c r="H1683" s="63">
        <v>371.8</v>
      </c>
    </row>
    <row r="1684" spans="1:8" ht="24.75" customHeight="1">
      <c r="A1684" s="44" t="s">
        <v>1459</v>
      </c>
      <c r="B1684" s="45" t="s">
        <v>5025</v>
      </c>
      <c r="C1684" s="45" t="s">
        <v>6682</v>
      </c>
      <c r="D1684" s="45" t="s">
        <v>6752</v>
      </c>
      <c r="E1684" s="44"/>
      <c r="F1684" s="37">
        <v>5</v>
      </c>
      <c r="G1684" s="37" t="s">
        <v>6864</v>
      </c>
      <c r="H1684" s="63">
        <v>6563.7</v>
      </c>
    </row>
    <row r="1685" spans="1:8" ht="24.75" customHeight="1">
      <c r="A1685" s="44" t="s">
        <v>616</v>
      </c>
      <c r="B1685" s="45" t="s">
        <v>5662</v>
      </c>
      <c r="C1685" s="45" t="s">
        <v>6682</v>
      </c>
      <c r="D1685" s="45" t="s">
        <v>6752</v>
      </c>
      <c r="E1685" s="44"/>
      <c r="F1685" s="37">
        <v>20</v>
      </c>
      <c r="G1685" s="37" t="s">
        <v>6864</v>
      </c>
      <c r="H1685" s="63">
        <v>915.2</v>
      </c>
    </row>
    <row r="1686" spans="1:8" ht="24.75" customHeight="1">
      <c r="A1686" s="44" t="s">
        <v>2611</v>
      </c>
      <c r="B1686" s="45" t="s">
        <v>5237</v>
      </c>
      <c r="C1686" s="45" t="s">
        <v>6682</v>
      </c>
      <c r="D1686" s="45" t="s">
        <v>6752</v>
      </c>
      <c r="E1686" s="44"/>
      <c r="F1686" s="37">
        <v>10</v>
      </c>
      <c r="G1686" s="37" t="s">
        <v>6864</v>
      </c>
      <c r="H1686" s="63">
        <v>986.7</v>
      </c>
    </row>
    <row r="1687" spans="1:8" ht="24.75" customHeight="1">
      <c r="A1687" s="44" t="s">
        <v>1053</v>
      </c>
      <c r="B1687" s="45" t="s">
        <v>5731</v>
      </c>
      <c r="C1687" s="45" t="s">
        <v>6682</v>
      </c>
      <c r="D1687" s="45" t="s">
        <v>6752</v>
      </c>
      <c r="E1687" s="44"/>
      <c r="F1687" s="37">
        <v>10</v>
      </c>
      <c r="G1687" s="37" t="s">
        <v>6864</v>
      </c>
      <c r="H1687" s="63">
        <v>943.8</v>
      </c>
    </row>
    <row r="1688" spans="1:8" ht="24.75" customHeight="1">
      <c r="A1688" s="44" t="s">
        <v>1586</v>
      </c>
      <c r="B1688" s="45" t="s">
        <v>5468</v>
      </c>
      <c r="C1688" s="45" t="s">
        <v>6682</v>
      </c>
      <c r="D1688" s="45" t="s">
        <v>6752</v>
      </c>
      <c r="E1688" s="44"/>
      <c r="F1688" s="37">
        <v>1</v>
      </c>
      <c r="G1688" s="37" t="s">
        <v>6864</v>
      </c>
      <c r="H1688" s="63">
        <v>715</v>
      </c>
    </row>
    <row r="1689" spans="1:8" ht="24.75" customHeight="1">
      <c r="A1689" s="44" t="s">
        <v>1423</v>
      </c>
      <c r="B1689" s="45" t="s">
        <v>4977</v>
      </c>
      <c r="C1689" s="45" t="s">
        <v>6682</v>
      </c>
      <c r="D1689" s="45" t="s">
        <v>6752</v>
      </c>
      <c r="E1689" s="44"/>
      <c r="F1689" s="37">
        <v>5</v>
      </c>
      <c r="G1689" s="37" t="s">
        <v>6864</v>
      </c>
      <c r="H1689" s="63">
        <v>1086.8</v>
      </c>
    </row>
    <row r="1690" spans="1:8" ht="24.75" customHeight="1">
      <c r="A1690" s="44" t="s">
        <v>759</v>
      </c>
      <c r="B1690" s="45" t="s">
        <v>5984</v>
      </c>
      <c r="C1690" s="45" t="s">
        <v>6682</v>
      </c>
      <c r="D1690" s="45" t="s">
        <v>6752</v>
      </c>
      <c r="E1690" s="44"/>
      <c r="F1690" s="37">
        <v>10</v>
      </c>
      <c r="G1690" s="37" t="s">
        <v>6864</v>
      </c>
      <c r="H1690" s="63">
        <v>1001</v>
      </c>
    </row>
    <row r="1691" spans="1:8" ht="24.75" customHeight="1">
      <c r="A1691" s="44" t="s">
        <v>2610</v>
      </c>
      <c r="B1691" s="45" t="s">
        <v>5236</v>
      </c>
      <c r="C1691" s="45" t="s">
        <v>6682</v>
      </c>
      <c r="D1691" s="45" t="s">
        <v>6752</v>
      </c>
      <c r="E1691" s="44"/>
      <c r="F1691" s="37">
        <v>10</v>
      </c>
      <c r="G1691" s="37" t="s">
        <v>6864</v>
      </c>
      <c r="H1691" s="63">
        <v>1887.6</v>
      </c>
    </row>
    <row r="1692" spans="1:8" ht="24.75" customHeight="1">
      <c r="A1692" s="44" t="s">
        <v>160</v>
      </c>
      <c r="B1692" s="45" t="s">
        <v>5128</v>
      </c>
      <c r="C1692" s="45" t="s">
        <v>6682</v>
      </c>
      <c r="D1692" s="45" t="s">
        <v>6752</v>
      </c>
      <c r="E1692" s="44"/>
      <c r="F1692" s="37">
        <v>10</v>
      </c>
      <c r="G1692" s="37" t="s">
        <v>6864</v>
      </c>
      <c r="H1692" s="63">
        <v>843.7</v>
      </c>
    </row>
    <row r="1693" spans="1:8" ht="24.75" customHeight="1">
      <c r="A1693" s="44" t="s">
        <v>2445</v>
      </c>
      <c r="B1693" s="45" t="s">
        <v>5538</v>
      </c>
      <c r="C1693" s="45" t="s">
        <v>6682</v>
      </c>
      <c r="D1693" s="45" t="s">
        <v>6752</v>
      </c>
      <c r="E1693" s="44"/>
      <c r="F1693" s="37">
        <v>10</v>
      </c>
      <c r="G1693" s="37" t="s">
        <v>6864</v>
      </c>
      <c r="H1693" s="63">
        <v>1086.8</v>
      </c>
    </row>
    <row r="1694" spans="1:8" ht="24.75" customHeight="1">
      <c r="A1694" s="44" t="s">
        <v>1418</v>
      </c>
      <c r="B1694" s="45" t="s">
        <v>4970</v>
      </c>
      <c r="C1694" s="45" t="s">
        <v>6682</v>
      </c>
      <c r="D1694" s="45" t="s">
        <v>6752</v>
      </c>
      <c r="E1694" s="44"/>
      <c r="F1694" s="37">
        <v>5</v>
      </c>
      <c r="G1694" s="37" t="s">
        <v>6864</v>
      </c>
      <c r="H1694" s="63">
        <v>1544.4</v>
      </c>
    </row>
    <row r="1695" spans="1:8" ht="24.75" customHeight="1">
      <c r="A1695" s="44" t="s">
        <v>1378</v>
      </c>
      <c r="B1695" s="45" t="s">
        <v>5985</v>
      </c>
      <c r="C1695" s="45" t="s">
        <v>6682</v>
      </c>
      <c r="D1695" s="45" t="s">
        <v>6752</v>
      </c>
      <c r="E1695" s="44"/>
      <c r="F1695" s="37">
        <v>10</v>
      </c>
      <c r="G1695" s="37" t="s">
        <v>6864</v>
      </c>
      <c r="H1695" s="63">
        <v>843.7</v>
      </c>
    </row>
    <row r="1696" spans="1:8" ht="24.75" customHeight="1">
      <c r="A1696" s="44" t="s">
        <v>703</v>
      </c>
      <c r="B1696" s="45" t="s">
        <v>5112</v>
      </c>
      <c r="C1696" s="45" t="s">
        <v>6748</v>
      </c>
      <c r="D1696" s="45" t="s">
        <v>6710</v>
      </c>
      <c r="E1696" s="44"/>
      <c r="F1696" s="37">
        <v>10</v>
      </c>
      <c r="G1696" s="37" t="s">
        <v>6864</v>
      </c>
      <c r="H1696" s="63">
        <v>1415.7</v>
      </c>
    </row>
    <row r="1697" spans="1:8" ht="24.75" customHeight="1">
      <c r="A1697" s="44" t="s">
        <v>2584</v>
      </c>
      <c r="B1697" s="45" t="s">
        <v>4886</v>
      </c>
      <c r="C1697" s="45" t="s">
        <v>6748</v>
      </c>
      <c r="D1697" s="45" t="s">
        <v>6710</v>
      </c>
      <c r="E1697" s="44" t="s">
        <v>6855</v>
      </c>
      <c r="F1697" s="37">
        <v>1</v>
      </c>
      <c r="G1697" s="37" t="s">
        <v>6864</v>
      </c>
      <c r="H1697" s="63">
        <v>1544.4</v>
      </c>
    </row>
    <row r="1698" spans="1:8" ht="24.75" customHeight="1">
      <c r="A1698" s="44" t="s">
        <v>3167</v>
      </c>
      <c r="B1698" s="45" t="s">
        <v>3432</v>
      </c>
      <c r="C1698" s="45" t="s">
        <v>6748</v>
      </c>
      <c r="D1698" s="45" t="s">
        <v>6710</v>
      </c>
      <c r="E1698" s="44" t="s">
        <v>6855</v>
      </c>
      <c r="F1698" s="37">
        <v>1</v>
      </c>
      <c r="G1698" s="37" t="s">
        <v>6864</v>
      </c>
      <c r="H1698" s="63">
        <v>2960.1</v>
      </c>
    </row>
    <row r="1699" spans="1:8" ht="24.75" customHeight="1">
      <c r="A1699" s="44" t="s">
        <v>3168</v>
      </c>
      <c r="B1699" s="45" t="s">
        <v>3433</v>
      </c>
      <c r="C1699" s="45" t="s">
        <v>6748</v>
      </c>
      <c r="D1699" s="45" t="s">
        <v>6710</v>
      </c>
      <c r="E1699" s="44" t="s">
        <v>6855</v>
      </c>
      <c r="F1699" s="37">
        <v>1</v>
      </c>
      <c r="G1699" s="37" t="s">
        <v>6864</v>
      </c>
      <c r="H1699" s="63">
        <v>2473.9</v>
      </c>
    </row>
    <row r="1700" spans="1:8" ht="24.75" customHeight="1">
      <c r="A1700" s="44" t="s">
        <v>1296</v>
      </c>
      <c r="B1700" s="45" t="s">
        <v>3425</v>
      </c>
      <c r="C1700" s="45" t="s">
        <v>6748</v>
      </c>
      <c r="D1700" s="45" t="s">
        <v>6710</v>
      </c>
      <c r="E1700" s="44" t="s">
        <v>6855</v>
      </c>
      <c r="F1700" s="37">
        <v>1</v>
      </c>
      <c r="G1700" s="37" t="s">
        <v>6864</v>
      </c>
      <c r="H1700" s="63">
        <v>3703.7</v>
      </c>
    </row>
    <row r="1701" spans="1:8" ht="24.75" customHeight="1">
      <c r="A1701" s="44" t="s">
        <v>1855</v>
      </c>
      <c r="B1701" s="45" t="s">
        <v>5271</v>
      </c>
      <c r="C1701" s="45" t="s">
        <v>6748</v>
      </c>
      <c r="D1701" s="45" t="s">
        <v>6710</v>
      </c>
      <c r="E1701" s="44" t="s">
        <v>6855</v>
      </c>
      <c r="F1701" s="37">
        <v>1</v>
      </c>
      <c r="G1701" s="37" t="s">
        <v>6864</v>
      </c>
      <c r="H1701" s="63">
        <v>2602.6</v>
      </c>
    </row>
    <row r="1702" spans="1:8" ht="24.75" customHeight="1">
      <c r="A1702" s="44" t="s">
        <v>1890</v>
      </c>
      <c r="B1702" s="45" t="s">
        <v>3406</v>
      </c>
      <c r="C1702" s="45" t="s">
        <v>6748</v>
      </c>
      <c r="D1702" s="45" t="s">
        <v>6710</v>
      </c>
      <c r="E1702" s="44" t="s">
        <v>6855</v>
      </c>
      <c r="F1702" s="37">
        <v>1</v>
      </c>
      <c r="G1702" s="37" t="s">
        <v>6864</v>
      </c>
      <c r="H1702" s="63">
        <v>2316.6</v>
      </c>
    </row>
    <row r="1703" spans="1:8" ht="24.75" customHeight="1">
      <c r="A1703" s="44" t="s">
        <v>858</v>
      </c>
      <c r="B1703" s="45" t="s">
        <v>3397</v>
      </c>
      <c r="C1703" s="45" t="s">
        <v>6748</v>
      </c>
      <c r="D1703" s="45" t="s">
        <v>6710</v>
      </c>
      <c r="E1703" s="44" t="s">
        <v>6855</v>
      </c>
      <c r="F1703" s="37">
        <v>1</v>
      </c>
      <c r="G1703" s="37" t="s">
        <v>6864</v>
      </c>
      <c r="H1703" s="63">
        <v>1773.2</v>
      </c>
    </row>
    <row r="1704" spans="1:8" ht="24.75" customHeight="1">
      <c r="A1704" s="44" t="s">
        <v>857</v>
      </c>
      <c r="B1704" s="45" t="s">
        <v>3396</v>
      </c>
      <c r="C1704" s="45" t="s">
        <v>6748</v>
      </c>
      <c r="D1704" s="45" t="s">
        <v>6710</v>
      </c>
      <c r="E1704" s="44" t="s">
        <v>6855</v>
      </c>
      <c r="F1704" s="37">
        <v>1</v>
      </c>
      <c r="G1704" s="37" t="s">
        <v>6864</v>
      </c>
      <c r="H1704" s="63">
        <v>2574</v>
      </c>
    </row>
    <row r="1705" spans="1:8" ht="24.75" customHeight="1">
      <c r="A1705" s="44" t="s">
        <v>287</v>
      </c>
      <c r="B1705" s="45" t="s">
        <v>3393</v>
      </c>
      <c r="C1705" s="45" t="s">
        <v>6748</v>
      </c>
      <c r="D1705" s="45" t="s">
        <v>6710</v>
      </c>
      <c r="E1705" s="44" t="s">
        <v>6855</v>
      </c>
      <c r="F1705" s="37">
        <v>1</v>
      </c>
      <c r="G1705" s="37" t="s">
        <v>6864</v>
      </c>
      <c r="H1705" s="63">
        <v>2316.6</v>
      </c>
    </row>
    <row r="1706" spans="1:8" ht="24.75" customHeight="1">
      <c r="A1706" s="44" t="s">
        <v>285</v>
      </c>
      <c r="B1706" s="45" t="s">
        <v>3391</v>
      </c>
      <c r="C1706" s="45" t="s">
        <v>6748</v>
      </c>
      <c r="D1706" s="45" t="s">
        <v>6710</v>
      </c>
      <c r="E1706" s="44" t="s">
        <v>6855</v>
      </c>
      <c r="F1706" s="37">
        <v>1</v>
      </c>
      <c r="G1706" s="37" t="s">
        <v>6864</v>
      </c>
      <c r="H1706" s="63">
        <v>2216.5</v>
      </c>
    </row>
    <row r="1707" spans="1:8" ht="24.75" customHeight="1">
      <c r="A1707" s="44" t="s">
        <v>1887</v>
      </c>
      <c r="B1707" s="45" t="s">
        <v>3403</v>
      </c>
      <c r="C1707" s="45" t="s">
        <v>6748</v>
      </c>
      <c r="D1707" s="45" t="s">
        <v>6710</v>
      </c>
      <c r="E1707" s="44" t="s">
        <v>6855</v>
      </c>
      <c r="F1707" s="37">
        <v>1</v>
      </c>
      <c r="G1707" s="37" t="s">
        <v>6864</v>
      </c>
      <c r="H1707" s="63">
        <v>3703.7</v>
      </c>
    </row>
    <row r="1708" spans="1:8" ht="24.75" customHeight="1">
      <c r="A1708" s="44" t="s">
        <v>867</v>
      </c>
      <c r="B1708" s="45" t="s">
        <v>3415</v>
      </c>
      <c r="C1708" s="45" t="s">
        <v>6748</v>
      </c>
      <c r="D1708" s="45" t="s">
        <v>6710</v>
      </c>
      <c r="E1708" s="44" t="s">
        <v>6855</v>
      </c>
      <c r="F1708" s="37">
        <v>1</v>
      </c>
      <c r="G1708" s="37" t="s">
        <v>6864</v>
      </c>
      <c r="H1708" s="63">
        <v>3003</v>
      </c>
    </row>
    <row r="1709" spans="1:8" ht="24.75" customHeight="1">
      <c r="A1709" s="44" t="s">
        <v>868</v>
      </c>
      <c r="B1709" s="45" t="s">
        <v>3416</v>
      </c>
      <c r="C1709" s="45" t="s">
        <v>6748</v>
      </c>
      <c r="D1709" s="45" t="s">
        <v>6710</v>
      </c>
      <c r="E1709" s="44" t="s">
        <v>6855</v>
      </c>
      <c r="F1709" s="37">
        <v>1</v>
      </c>
      <c r="G1709" s="37" t="s">
        <v>6864</v>
      </c>
      <c r="H1709" s="63">
        <v>3074.5</v>
      </c>
    </row>
    <row r="1710" spans="1:8" ht="24.75" customHeight="1">
      <c r="A1710" s="44" t="s">
        <v>856</v>
      </c>
      <c r="B1710" s="45" t="s">
        <v>3395</v>
      </c>
      <c r="C1710" s="45" t="s">
        <v>6748</v>
      </c>
      <c r="D1710" s="45" t="s">
        <v>6710</v>
      </c>
      <c r="E1710" s="44" t="s">
        <v>6855</v>
      </c>
      <c r="F1710" s="37">
        <v>1</v>
      </c>
      <c r="G1710" s="37" t="s">
        <v>6864</v>
      </c>
      <c r="H1710" s="63">
        <v>2259.4</v>
      </c>
    </row>
    <row r="1711" spans="1:8" ht="24.75" customHeight="1">
      <c r="A1711" s="44" t="s">
        <v>874</v>
      </c>
      <c r="B1711" s="45" t="s">
        <v>3422</v>
      </c>
      <c r="C1711" s="45" t="s">
        <v>6748</v>
      </c>
      <c r="D1711" s="45" t="s">
        <v>6710</v>
      </c>
      <c r="E1711" s="44" t="s">
        <v>6855</v>
      </c>
      <c r="F1711" s="37">
        <v>1</v>
      </c>
      <c r="G1711" s="37" t="s">
        <v>6864</v>
      </c>
      <c r="H1711" s="63">
        <v>2373.8000000000002</v>
      </c>
    </row>
    <row r="1712" spans="1:8" ht="24.75" customHeight="1">
      <c r="A1712" s="44" t="s">
        <v>862</v>
      </c>
      <c r="B1712" s="45" t="s">
        <v>3410</v>
      </c>
      <c r="C1712" s="45" t="s">
        <v>6748</v>
      </c>
      <c r="D1712" s="45" t="s">
        <v>6710</v>
      </c>
      <c r="E1712" s="44" t="s">
        <v>6855</v>
      </c>
      <c r="F1712" s="37">
        <v>1</v>
      </c>
      <c r="G1712" s="37" t="s">
        <v>6864</v>
      </c>
      <c r="H1712" s="63">
        <v>3231.8</v>
      </c>
    </row>
    <row r="1713" spans="1:8" ht="24.75" customHeight="1">
      <c r="A1713" s="44" t="s">
        <v>861</v>
      </c>
      <c r="B1713" s="45" t="s">
        <v>3400</v>
      </c>
      <c r="C1713" s="45" t="s">
        <v>6748</v>
      </c>
      <c r="D1713" s="45" t="s">
        <v>6710</v>
      </c>
      <c r="E1713" s="44" t="s">
        <v>6855</v>
      </c>
      <c r="F1713" s="37">
        <v>1</v>
      </c>
      <c r="G1713" s="37" t="s">
        <v>6864</v>
      </c>
      <c r="H1713" s="63">
        <v>3646.5</v>
      </c>
    </row>
    <row r="1714" spans="1:8" ht="24.75" customHeight="1">
      <c r="A1714" s="44" t="s">
        <v>869</v>
      </c>
      <c r="B1714" s="45" t="s">
        <v>3417</v>
      </c>
      <c r="C1714" s="45" t="s">
        <v>6748</v>
      </c>
      <c r="D1714" s="45" t="s">
        <v>6710</v>
      </c>
      <c r="E1714" s="44" t="s">
        <v>6855</v>
      </c>
      <c r="F1714" s="37">
        <v>1</v>
      </c>
      <c r="G1714" s="37" t="s">
        <v>6864</v>
      </c>
      <c r="H1714" s="63">
        <v>2373.8000000000002</v>
      </c>
    </row>
    <row r="1715" spans="1:8" ht="24.75" customHeight="1">
      <c r="A1715" s="44" t="s">
        <v>1885</v>
      </c>
      <c r="B1715" s="45" t="s">
        <v>3401</v>
      </c>
      <c r="C1715" s="45" t="s">
        <v>6748</v>
      </c>
      <c r="D1715" s="45" t="s">
        <v>6710</v>
      </c>
      <c r="E1715" s="44" t="s">
        <v>6855</v>
      </c>
      <c r="F1715" s="37">
        <v>1</v>
      </c>
      <c r="G1715" s="37" t="s">
        <v>6864</v>
      </c>
      <c r="H1715" s="63">
        <v>1930.5</v>
      </c>
    </row>
    <row r="1716" spans="1:8" ht="24.75" customHeight="1">
      <c r="A1716" s="44" t="s">
        <v>870</v>
      </c>
      <c r="B1716" s="45" t="s">
        <v>3418</v>
      </c>
      <c r="C1716" s="45" t="s">
        <v>6748</v>
      </c>
      <c r="D1716" s="45" t="s">
        <v>6710</v>
      </c>
      <c r="E1716" s="44" t="s">
        <v>6855</v>
      </c>
      <c r="F1716" s="37">
        <v>1</v>
      </c>
      <c r="G1716" s="37" t="s">
        <v>6864</v>
      </c>
      <c r="H1716" s="63">
        <v>2802.8</v>
      </c>
    </row>
    <row r="1717" spans="1:8" ht="24.75" customHeight="1">
      <c r="A1717" s="44" t="s">
        <v>286</v>
      </c>
      <c r="B1717" s="45" t="s">
        <v>3392</v>
      </c>
      <c r="C1717" s="45" t="s">
        <v>6748</v>
      </c>
      <c r="D1717" s="45" t="s">
        <v>6710</v>
      </c>
      <c r="E1717" s="44" t="s">
        <v>6855</v>
      </c>
      <c r="F1717" s="37">
        <v>1</v>
      </c>
      <c r="G1717" s="37" t="s">
        <v>6864</v>
      </c>
      <c r="H1717" s="63">
        <v>2259.4</v>
      </c>
    </row>
    <row r="1718" spans="1:8" ht="24.75" customHeight="1">
      <c r="A1718" s="44" t="s">
        <v>865</v>
      </c>
      <c r="B1718" s="45" t="s">
        <v>3413</v>
      </c>
      <c r="C1718" s="45" t="s">
        <v>6748</v>
      </c>
      <c r="D1718" s="45" t="s">
        <v>6710</v>
      </c>
      <c r="E1718" s="44" t="s">
        <v>6855</v>
      </c>
      <c r="F1718" s="37">
        <v>1</v>
      </c>
      <c r="G1718" s="37" t="s">
        <v>6864</v>
      </c>
      <c r="H1718" s="63">
        <v>2259.4</v>
      </c>
    </row>
    <row r="1719" spans="1:8" ht="24.75" customHeight="1">
      <c r="A1719" s="44" t="s">
        <v>864</v>
      </c>
      <c r="B1719" s="45" t="s">
        <v>3412</v>
      </c>
      <c r="C1719" s="45" t="s">
        <v>6748</v>
      </c>
      <c r="D1719" s="45" t="s">
        <v>6710</v>
      </c>
      <c r="E1719" s="44" t="s">
        <v>6855</v>
      </c>
      <c r="F1719" s="37">
        <v>1</v>
      </c>
      <c r="G1719" s="37" t="s">
        <v>6864</v>
      </c>
      <c r="H1719" s="63">
        <v>2259.4</v>
      </c>
    </row>
    <row r="1720" spans="1:8" ht="24.75" customHeight="1">
      <c r="A1720" s="44" t="s">
        <v>1886</v>
      </c>
      <c r="B1720" s="45" t="s">
        <v>3402</v>
      </c>
      <c r="C1720" s="45" t="s">
        <v>6748</v>
      </c>
      <c r="D1720" s="45" t="s">
        <v>6710</v>
      </c>
      <c r="E1720" s="44" t="s">
        <v>6855</v>
      </c>
      <c r="F1720" s="37">
        <v>1</v>
      </c>
      <c r="G1720" s="37" t="s">
        <v>6864</v>
      </c>
      <c r="H1720" s="63">
        <v>2431</v>
      </c>
    </row>
    <row r="1721" spans="1:8" ht="24.75" customHeight="1">
      <c r="A1721" s="44" t="s">
        <v>859</v>
      </c>
      <c r="B1721" s="45" t="s">
        <v>3398</v>
      </c>
      <c r="C1721" s="45" t="s">
        <v>6748</v>
      </c>
      <c r="D1721" s="45" t="s">
        <v>6710</v>
      </c>
      <c r="E1721" s="44" t="s">
        <v>6855</v>
      </c>
      <c r="F1721" s="37">
        <v>1</v>
      </c>
      <c r="G1721" s="37" t="s">
        <v>6864</v>
      </c>
      <c r="H1721" s="63">
        <v>2145</v>
      </c>
    </row>
    <row r="1722" spans="1:8" ht="24.75" customHeight="1">
      <c r="A1722" s="44" t="s">
        <v>860</v>
      </c>
      <c r="B1722" s="45" t="s">
        <v>3399</v>
      </c>
      <c r="C1722" s="45" t="s">
        <v>6748</v>
      </c>
      <c r="D1722" s="45" t="s">
        <v>6710</v>
      </c>
      <c r="E1722" s="44" t="s">
        <v>6855</v>
      </c>
      <c r="F1722" s="37">
        <v>1</v>
      </c>
      <c r="G1722" s="37" t="s">
        <v>6864</v>
      </c>
      <c r="H1722" s="63">
        <v>4261.3999999999996</v>
      </c>
    </row>
    <row r="1723" spans="1:8" ht="24.75" customHeight="1">
      <c r="A1723" s="44" t="s">
        <v>284</v>
      </c>
      <c r="B1723" s="45" t="s">
        <v>3390</v>
      </c>
      <c r="C1723" s="45" t="s">
        <v>6748</v>
      </c>
      <c r="D1723" s="45" t="s">
        <v>6710</v>
      </c>
      <c r="E1723" s="44" t="s">
        <v>6855</v>
      </c>
      <c r="F1723" s="37">
        <v>1</v>
      </c>
      <c r="G1723" s="37" t="s">
        <v>6864</v>
      </c>
      <c r="H1723" s="63">
        <v>2087.8000000000002</v>
      </c>
    </row>
    <row r="1724" spans="1:8" ht="24.75" customHeight="1">
      <c r="A1724" s="44" t="s">
        <v>283</v>
      </c>
      <c r="B1724" s="45" t="s">
        <v>3389</v>
      </c>
      <c r="C1724" s="45" t="s">
        <v>6748</v>
      </c>
      <c r="D1724" s="45" t="s">
        <v>6710</v>
      </c>
      <c r="E1724" s="44" t="s">
        <v>6855</v>
      </c>
      <c r="F1724" s="37">
        <v>1</v>
      </c>
      <c r="G1724" s="37" t="s">
        <v>6864</v>
      </c>
      <c r="H1724" s="63">
        <v>3446.3</v>
      </c>
    </row>
    <row r="1725" spans="1:8" ht="24.75" customHeight="1">
      <c r="A1725" s="44" t="s">
        <v>288</v>
      </c>
      <c r="B1725" s="45" t="s">
        <v>3394</v>
      </c>
      <c r="C1725" s="45" t="s">
        <v>6748</v>
      </c>
      <c r="D1725" s="45" t="s">
        <v>6710</v>
      </c>
      <c r="E1725" s="44" t="s">
        <v>6855</v>
      </c>
      <c r="F1725" s="37">
        <v>1</v>
      </c>
      <c r="G1725" s="37" t="s">
        <v>6864</v>
      </c>
      <c r="H1725" s="63">
        <v>2431</v>
      </c>
    </row>
    <row r="1726" spans="1:8" ht="24.75" customHeight="1">
      <c r="A1726" s="44" t="s">
        <v>1888</v>
      </c>
      <c r="B1726" s="45" t="s">
        <v>3404</v>
      </c>
      <c r="C1726" s="45" t="s">
        <v>6748</v>
      </c>
      <c r="D1726" s="45" t="s">
        <v>6710</v>
      </c>
      <c r="E1726" s="44" t="s">
        <v>6855</v>
      </c>
      <c r="F1726" s="37">
        <v>1</v>
      </c>
      <c r="G1726" s="37" t="s">
        <v>6864</v>
      </c>
      <c r="H1726" s="63">
        <v>2902.9</v>
      </c>
    </row>
    <row r="1727" spans="1:8" ht="24.75" customHeight="1">
      <c r="A1727" s="44" t="s">
        <v>873</v>
      </c>
      <c r="B1727" s="45" t="s">
        <v>3421</v>
      </c>
      <c r="C1727" s="45" t="s">
        <v>6748</v>
      </c>
      <c r="D1727" s="45" t="s">
        <v>6710</v>
      </c>
      <c r="E1727" s="44" t="s">
        <v>6855</v>
      </c>
      <c r="F1727" s="37">
        <v>1</v>
      </c>
      <c r="G1727" s="37" t="s">
        <v>6864</v>
      </c>
      <c r="H1727" s="63">
        <v>2216.5</v>
      </c>
    </row>
    <row r="1728" spans="1:8" ht="24.75" customHeight="1">
      <c r="A1728" s="44" t="s">
        <v>2587</v>
      </c>
      <c r="B1728" s="45" t="s">
        <v>3430</v>
      </c>
      <c r="C1728" s="45" t="s">
        <v>6748</v>
      </c>
      <c r="D1728" s="45" t="s">
        <v>6710</v>
      </c>
      <c r="E1728" s="44" t="s">
        <v>6855</v>
      </c>
      <c r="F1728" s="37">
        <v>1</v>
      </c>
      <c r="G1728" s="37" t="s">
        <v>6864</v>
      </c>
      <c r="H1728" s="63">
        <v>2316.6</v>
      </c>
    </row>
    <row r="1729" spans="1:8" ht="24.75" customHeight="1">
      <c r="A1729" s="44" t="s">
        <v>2589</v>
      </c>
      <c r="B1729" s="45" t="s">
        <v>3408</v>
      </c>
      <c r="C1729" s="45" t="s">
        <v>6748</v>
      </c>
      <c r="D1729" s="45" t="s">
        <v>6710</v>
      </c>
      <c r="E1729" s="44" t="s">
        <v>6855</v>
      </c>
      <c r="F1729" s="37">
        <v>1</v>
      </c>
      <c r="G1729" s="37" t="s">
        <v>6864</v>
      </c>
      <c r="H1729" s="63">
        <v>3503.5</v>
      </c>
    </row>
    <row r="1730" spans="1:8" ht="24.75" customHeight="1">
      <c r="A1730" s="44" t="s">
        <v>496</v>
      </c>
      <c r="B1730" s="45" t="s">
        <v>3426</v>
      </c>
      <c r="C1730" s="45" t="s">
        <v>6748</v>
      </c>
      <c r="D1730" s="45" t="s">
        <v>6710</v>
      </c>
      <c r="E1730" s="44" t="s">
        <v>6855</v>
      </c>
      <c r="F1730" s="37">
        <v>1</v>
      </c>
      <c r="G1730" s="37" t="s">
        <v>6864</v>
      </c>
      <c r="H1730" s="63">
        <v>2259.4</v>
      </c>
    </row>
    <row r="1731" spans="1:8" ht="24.75" customHeight="1">
      <c r="A1731" s="44" t="s">
        <v>875</v>
      </c>
      <c r="B1731" s="45" t="s">
        <v>3423</v>
      </c>
      <c r="C1731" s="45" t="s">
        <v>6748</v>
      </c>
      <c r="D1731" s="45" t="s">
        <v>6710</v>
      </c>
      <c r="E1731" s="44" t="s">
        <v>6855</v>
      </c>
      <c r="F1731" s="37">
        <v>1</v>
      </c>
      <c r="G1731" s="37" t="s">
        <v>6864</v>
      </c>
      <c r="H1731" s="63">
        <v>2373.8000000000002</v>
      </c>
    </row>
    <row r="1732" spans="1:8" ht="24.75" customHeight="1">
      <c r="A1732" s="44" t="s">
        <v>871</v>
      </c>
      <c r="B1732" s="45" t="s">
        <v>3419</v>
      </c>
      <c r="C1732" s="45" t="s">
        <v>6748</v>
      </c>
      <c r="D1732" s="45" t="s">
        <v>6710</v>
      </c>
      <c r="E1732" s="44" t="s">
        <v>6855</v>
      </c>
      <c r="F1732" s="37">
        <v>1</v>
      </c>
      <c r="G1732" s="37" t="s">
        <v>6864</v>
      </c>
      <c r="H1732" s="63">
        <v>2316.6</v>
      </c>
    </row>
    <row r="1733" spans="1:8" ht="24.75" customHeight="1">
      <c r="A1733" s="44" t="s">
        <v>863</v>
      </c>
      <c r="B1733" s="45" t="s">
        <v>3411</v>
      </c>
      <c r="C1733" s="45" t="s">
        <v>6748</v>
      </c>
      <c r="D1733" s="45" t="s">
        <v>6710</v>
      </c>
      <c r="E1733" s="44"/>
      <c r="F1733" s="37">
        <v>10</v>
      </c>
      <c r="G1733" s="37" t="s">
        <v>6864</v>
      </c>
      <c r="H1733" s="63">
        <v>543.4</v>
      </c>
    </row>
    <row r="1734" spans="1:8" ht="24.75" customHeight="1">
      <c r="A1734" s="44" t="s">
        <v>872</v>
      </c>
      <c r="B1734" s="45" t="s">
        <v>3420</v>
      </c>
      <c r="C1734" s="45" t="s">
        <v>6748</v>
      </c>
      <c r="D1734" s="45" t="s">
        <v>6710</v>
      </c>
      <c r="E1734" s="44" t="s">
        <v>6855</v>
      </c>
      <c r="F1734" s="37">
        <v>1</v>
      </c>
      <c r="G1734" s="37" t="s">
        <v>6864</v>
      </c>
      <c r="H1734" s="63">
        <v>1930.5</v>
      </c>
    </row>
    <row r="1735" spans="1:8" ht="24.75" customHeight="1">
      <c r="A1735" s="44" t="s">
        <v>2160</v>
      </c>
      <c r="B1735" s="45" t="s">
        <v>5895</v>
      </c>
      <c r="C1735" s="45" t="s">
        <v>6748</v>
      </c>
      <c r="D1735" s="45" t="s">
        <v>6710</v>
      </c>
      <c r="E1735" s="44" t="s">
        <v>6855</v>
      </c>
      <c r="F1735" s="37">
        <v>1</v>
      </c>
      <c r="G1735" s="37" t="s">
        <v>6864</v>
      </c>
      <c r="H1735" s="63">
        <v>2159.3000000000002</v>
      </c>
    </row>
    <row r="1736" spans="1:8" ht="24.75" customHeight="1">
      <c r="A1736" s="44" t="s">
        <v>26</v>
      </c>
      <c r="B1736" s="45" t="s">
        <v>3428</v>
      </c>
      <c r="C1736" s="45" t="s">
        <v>6748</v>
      </c>
      <c r="D1736" s="45" t="s">
        <v>6710</v>
      </c>
      <c r="E1736" s="44" t="s">
        <v>6855</v>
      </c>
      <c r="F1736" s="37">
        <v>1</v>
      </c>
      <c r="G1736" s="37" t="s">
        <v>6864</v>
      </c>
      <c r="H1736" s="63">
        <v>2216.5</v>
      </c>
    </row>
    <row r="1737" spans="1:8" ht="24.75" customHeight="1">
      <c r="A1737" s="44" t="s">
        <v>1889</v>
      </c>
      <c r="B1737" s="45" t="s">
        <v>3405</v>
      </c>
      <c r="C1737" s="45" t="s">
        <v>6748</v>
      </c>
      <c r="D1737" s="45" t="s">
        <v>6710</v>
      </c>
      <c r="E1737" s="44" t="s">
        <v>6855</v>
      </c>
      <c r="F1737" s="37">
        <v>1</v>
      </c>
      <c r="G1737" s="37" t="s">
        <v>6864</v>
      </c>
      <c r="H1737" s="63">
        <v>2845.7</v>
      </c>
    </row>
    <row r="1738" spans="1:8" ht="24.75" customHeight="1">
      <c r="A1738" s="44" t="s">
        <v>2586</v>
      </c>
      <c r="B1738" s="45" t="s">
        <v>3407</v>
      </c>
      <c r="C1738" s="45" t="s">
        <v>6748</v>
      </c>
      <c r="D1738" s="45" t="s">
        <v>6710</v>
      </c>
      <c r="E1738" s="44" t="s">
        <v>6855</v>
      </c>
      <c r="F1738" s="37">
        <v>1</v>
      </c>
      <c r="G1738" s="37" t="s">
        <v>6864</v>
      </c>
      <c r="H1738" s="63">
        <v>2316.6</v>
      </c>
    </row>
    <row r="1739" spans="1:8" ht="24.75" customHeight="1">
      <c r="A1739" s="44" t="s">
        <v>866</v>
      </c>
      <c r="B1739" s="45" t="s">
        <v>3414</v>
      </c>
      <c r="C1739" s="45" t="s">
        <v>6748</v>
      </c>
      <c r="D1739" s="45" t="s">
        <v>6710</v>
      </c>
      <c r="E1739" s="44" t="s">
        <v>6855</v>
      </c>
      <c r="F1739" s="37">
        <v>1</v>
      </c>
      <c r="G1739" s="37" t="s">
        <v>6864</v>
      </c>
      <c r="H1739" s="63">
        <v>3231.8</v>
      </c>
    </row>
    <row r="1740" spans="1:8" ht="24.75" customHeight="1">
      <c r="A1740" s="44" t="s">
        <v>2590</v>
      </c>
      <c r="B1740" s="45" t="s">
        <v>3409</v>
      </c>
      <c r="C1740" s="45" t="s">
        <v>6748</v>
      </c>
      <c r="D1740" s="45" t="s">
        <v>6710</v>
      </c>
      <c r="E1740" s="44" t="s">
        <v>6855</v>
      </c>
      <c r="F1740" s="37">
        <v>1</v>
      </c>
      <c r="G1740" s="37" t="s">
        <v>6864</v>
      </c>
      <c r="H1740" s="63">
        <v>6134.7</v>
      </c>
    </row>
    <row r="1741" spans="1:8" ht="24.75" customHeight="1">
      <c r="A1741" s="44" t="s">
        <v>25</v>
      </c>
      <c r="B1741" s="45" t="s">
        <v>3427</v>
      </c>
      <c r="C1741" s="45" t="s">
        <v>6748</v>
      </c>
      <c r="D1741" s="45" t="s">
        <v>6710</v>
      </c>
      <c r="E1741" s="44" t="s">
        <v>6855</v>
      </c>
      <c r="F1741" s="37">
        <v>1</v>
      </c>
      <c r="G1741" s="37" t="s">
        <v>6864</v>
      </c>
      <c r="H1741" s="63">
        <v>2945.8</v>
      </c>
    </row>
    <row r="1742" spans="1:8" ht="24.75" customHeight="1">
      <c r="A1742" s="44" t="s">
        <v>1295</v>
      </c>
      <c r="B1742" s="45" t="s">
        <v>3424</v>
      </c>
      <c r="C1742" s="45" t="s">
        <v>6748</v>
      </c>
      <c r="D1742" s="45" t="s">
        <v>6710</v>
      </c>
      <c r="E1742" s="44" t="s">
        <v>6855</v>
      </c>
      <c r="F1742" s="37">
        <v>1</v>
      </c>
      <c r="G1742" s="37" t="s">
        <v>6864</v>
      </c>
      <c r="H1742" s="63">
        <v>2802.8</v>
      </c>
    </row>
    <row r="1743" spans="1:8" ht="24.75" customHeight="1">
      <c r="A1743" s="44" t="s">
        <v>2932</v>
      </c>
      <c r="B1743" s="45" t="s">
        <v>3429</v>
      </c>
      <c r="C1743" s="45" t="s">
        <v>6748</v>
      </c>
      <c r="D1743" s="45" t="s">
        <v>6710</v>
      </c>
      <c r="E1743" s="44" t="s">
        <v>6855</v>
      </c>
      <c r="F1743" s="37">
        <v>1</v>
      </c>
      <c r="G1743" s="37" t="s">
        <v>6864</v>
      </c>
      <c r="H1743" s="63">
        <v>2845.7</v>
      </c>
    </row>
    <row r="1744" spans="1:8" ht="24.75" customHeight="1">
      <c r="A1744" s="44" t="s">
        <v>2588</v>
      </c>
      <c r="B1744" s="45" t="s">
        <v>3431</v>
      </c>
      <c r="C1744" s="45" t="s">
        <v>6748</v>
      </c>
      <c r="D1744" s="45" t="s">
        <v>6710</v>
      </c>
      <c r="E1744" s="44" t="s">
        <v>6855</v>
      </c>
      <c r="F1744" s="37">
        <v>1</v>
      </c>
      <c r="G1744" s="37" t="s">
        <v>6864</v>
      </c>
      <c r="H1744" s="63">
        <v>3131.7</v>
      </c>
    </row>
    <row r="1745" spans="1:8" ht="24.75" customHeight="1">
      <c r="A1745" s="44" t="s">
        <v>147</v>
      </c>
      <c r="B1745" s="45" t="s">
        <v>3443</v>
      </c>
      <c r="C1745" s="45" t="s">
        <v>6748</v>
      </c>
      <c r="D1745" s="45" t="s">
        <v>6710</v>
      </c>
      <c r="E1745" s="44" t="s">
        <v>6855</v>
      </c>
      <c r="F1745" s="37">
        <v>1</v>
      </c>
      <c r="G1745" s="37" t="s">
        <v>6864</v>
      </c>
      <c r="H1745" s="63">
        <v>2016.3</v>
      </c>
    </row>
    <row r="1746" spans="1:8" ht="24.75" customHeight="1">
      <c r="A1746" s="44" t="s">
        <v>2314</v>
      </c>
      <c r="B1746" s="45" t="s">
        <v>3437</v>
      </c>
      <c r="C1746" s="45" t="s">
        <v>6748</v>
      </c>
      <c r="D1746" s="45" t="s">
        <v>6710</v>
      </c>
      <c r="E1746" s="44" t="s">
        <v>6855</v>
      </c>
      <c r="F1746" s="37">
        <v>1</v>
      </c>
      <c r="G1746" s="37" t="s">
        <v>6864</v>
      </c>
      <c r="H1746" s="63">
        <v>1887.6</v>
      </c>
    </row>
    <row r="1747" spans="1:8" ht="24.75" customHeight="1">
      <c r="A1747" s="44" t="s">
        <v>498</v>
      </c>
      <c r="B1747" s="45" t="s">
        <v>3435</v>
      </c>
      <c r="C1747" s="45" t="s">
        <v>6748</v>
      </c>
      <c r="D1747" s="45" t="s">
        <v>6710</v>
      </c>
      <c r="E1747" s="44" t="s">
        <v>6855</v>
      </c>
      <c r="F1747" s="37">
        <v>1</v>
      </c>
      <c r="G1747" s="37" t="s">
        <v>6864</v>
      </c>
      <c r="H1747" s="63">
        <v>1930.5</v>
      </c>
    </row>
    <row r="1748" spans="1:8" ht="24.75" customHeight="1">
      <c r="A1748" s="44" t="s">
        <v>146</v>
      </c>
      <c r="B1748" s="45" t="s">
        <v>3442</v>
      </c>
      <c r="C1748" s="45" t="s">
        <v>6748</v>
      </c>
      <c r="D1748" s="45" t="s">
        <v>6710</v>
      </c>
      <c r="E1748" s="44" t="s">
        <v>6855</v>
      </c>
      <c r="F1748" s="37">
        <v>1</v>
      </c>
      <c r="G1748" s="37" t="s">
        <v>6864</v>
      </c>
      <c r="H1748" s="63">
        <v>1930.5</v>
      </c>
    </row>
    <row r="1749" spans="1:8" ht="24.75" customHeight="1">
      <c r="A1749" s="44" t="s">
        <v>145</v>
      </c>
      <c r="B1749" s="45" t="s">
        <v>3441</v>
      </c>
      <c r="C1749" s="45" t="s">
        <v>6748</v>
      </c>
      <c r="D1749" s="45" t="s">
        <v>6710</v>
      </c>
      <c r="E1749" s="44" t="s">
        <v>6855</v>
      </c>
      <c r="F1749" s="37">
        <v>1</v>
      </c>
      <c r="G1749" s="37" t="s">
        <v>6864</v>
      </c>
      <c r="H1749" s="63">
        <v>1987.7</v>
      </c>
    </row>
    <row r="1750" spans="1:8" ht="24.75" customHeight="1">
      <c r="A1750" s="44" t="s">
        <v>497</v>
      </c>
      <c r="B1750" s="45" t="s">
        <v>3434</v>
      </c>
      <c r="C1750" s="45" t="s">
        <v>6748</v>
      </c>
      <c r="D1750" s="45" t="s">
        <v>6710</v>
      </c>
      <c r="E1750" s="44" t="s">
        <v>6855</v>
      </c>
      <c r="F1750" s="37">
        <v>1</v>
      </c>
      <c r="G1750" s="37" t="s">
        <v>6864</v>
      </c>
      <c r="H1750" s="63">
        <v>1930.5</v>
      </c>
    </row>
    <row r="1751" spans="1:8" ht="24.75" customHeight="1">
      <c r="A1751" s="44" t="s">
        <v>499</v>
      </c>
      <c r="B1751" s="45" t="s">
        <v>3436</v>
      </c>
      <c r="C1751" s="45" t="s">
        <v>6748</v>
      </c>
      <c r="D1751" s="45" t="s">
        <v>6710</v>
      </c>
      <c r="E1751" s="44" t="s">
        <v>6855</v>
      </c>
      <c r="F1751" s="37">
        <v>1</v>
      </c>
      <c r="G1751" s="37" t="s">
        <v>6864</v>
      </c>
      <c r="H1751" s="63">
        <v>1930.5</v>
      </c>
    </row>
    <row r="1752" spans="1:8" ht="24.75" customHeight="1">
      <c r="A1752" s="44" t="s">
        <v>2591</v>
      </c>
      <c r="B1752" s="45" t="s">
        <v>3438</v>
      </c>
      <c r="C1752" s="45" t="s">
        <v>6748</v>
      </c>
      <c r="D1752" s="45" t="s">
        <v>6710</v>
      </c>
      <c r="E1752" s="44" t="s">
        <v>6855</v>
      </c>
      <c r="F1752" s="37">
        <v>1</v>
      </c>
      <c r="G1752" s="37" t="s">
        <v>6864</v>
      </c>
      <c r="H1752" s="63">
        <v>2044.9</v>
      </c>
    </row>
    <row r="1753" spans="1:8" ht="24.75" customHeight="1">
      <c r="A1753" s="44" t="s">
        <v>2593</v>
      </c>
      <c r="B1753" s="45" t="s">
        <v>3440</v>
      </c>
      <c r="C1753" s="45" t="s">
        <v>6748</v>
      </c>
      <c r="D1753" s="45" t="s">
        <v>6710</v>
      </c>
      <c r="E1753" s="44" t="s">
        <v>6855</v>
      </c>
      <c r="F1753" s="37">
        <v>1</v>
      </c>
      <c r="G1753" s="37" t="s">
        <v>6864</v>
      </c>
      <c r="H1753" s="63">
        <v>1615.9</v>
      </c>
    </row>
    <row r="1754" spans="1:8" ht="24.75" customHeight="1">
      <c r="A1754" s="44" t="s">
        <v>2592</v>
      </c>
      <c r="B1754" s="45" t="s">
        <v>3439</v>
      </c>
      <c r="C1754" s="45" t="s">
        <v>6748</v>
      </c>
      <c r="D1754" s="45" t="s">
        <v>6710</v>
      </c>
      <c r="E1754" s="44" t="s">
        <v>6855</v>
      </c>
      <c r="F1754" s="37">
        <v>1</v>
      </c>
      <c r="G1754" s="37" t="s">
        <v>6864</v>
      </c>
      <c r="H1754" s="63">
        <v>2631.2</v>
      </c>
    </row>
    <row r="1755" spans="1:8" ht="24.75" customHeight="1">
      <c r="A1755" s="44" t="s">
        <v>762</v>
      </c>
      <c r="B1755" s="45" t="s">
        <v>3444</v>
      </c>
      <c r="C1755" s="45" t="s">
        <v>6748</v>
      </c>
      <c r="D1755" s="45" t="s">
        <v>6710</v>
      </c>
      <c r="E1755" s="44" t="s">
        <v>6855</v>
      </c>
      <c r="F1755" s="37">
        <v>1</v>
      </c>
      <c r="G1755" s="37" t="s">
        <v>6864</v>
      </c>
      <c r="H1755" s="63">
        <v>2316.6</v>
      </c>
    </row>
    <row r="1756" spans="1:8" ht="24.75" customHeight="1">
      <c r="A1756" s="44" t="s">
        <v>1838</v>
      </c>
      <c r="B1756" s="45" t="s">
        <v>5256</v>
      </c>
      <c r="C1756" s="45" t="s">
        <v>6748</v>
      </c>
      <c r="D1756" s="45" t="s">
        <v>6710</v>
      </c>
      <c r="E1756" s="44" t="s">
        <v>6855</v>
      </c>
      <c r="F1756" s="37">
        <v>1</v>
      </c>
      <c r="G1756" s="37" t="s">
        <v>6864</v>
      </c>
      <c r="H1756" s="63">
        <v>3217.5</v>
      </c>
    </row>
    <row r="1757" spans="1:8" ht="24.75" customHeight="1">
      <c r="A1757" s="44" t="s">
        <v>2596</v>
      </c>
      <c r="B1757" s="45" t="s">
        <v>3460</v>
      </c>
      <c r="C1757" s="45" t="s">
        <v>6748</v>
      </c>
      <c r="D1757" s="45" t="s">
        <v>6710</v>
      </c>
      <c r="E1757" s="44" t="s">
        <v>6855</v>
      </c>
      <c r="F1757" s="37">
        <v>1</v>
      </c>
      <c r="G1757" s="37" t="s">
        <v>6864</v>
      </c>
      <c r="H1757" s="63">
        <v>3760.9</v>
      </c>
    </row>
    <row r="1758" spans="1:8" ht="24.75" customHeight="1">
      <c r="A1758" s="44" t="s">
        <v>1857</v>
      </c>
      <c r="B1758" s="45" t="s">
        <v>5273</v>
      </c>
      <c r="C1758" s="45" t="s">
        <v>6748</v>
      </c>
      <c r="D1758" s="45" t="s">
        <v>6710</v>
      </c>
      <c r="E1758" s="44" t="s">
        <v>6855</v>
      </c>
      <c r="F1758" s="37">
        <v>1</v>
      </c>
      <c r="G1758" s="37" t="s">
        <v>6864</v>
      </c>
      <c r="H1758" s="63">
        <v>3274.7</v>
      </c>
    </row>
    <row r="1759" spans="1:8" ht="24.75" customHeight="1">
      <c r="A1759" s="44" t="s">
        <v>149</v>
      </c>
      <c r="B1759" s="45" t="s">
        <v>3446</v>
      </c>
      <c r="C1759" s="45" t="s">
        <v>6748</v>
      </c>
      <c r="D1759" s="45" t="s">
        <v>6710</v>
      </c>
      <c r="E1759" s="44" t="s">
        <v>6855</v>
      </c>
      <c r="F1759" s="37">
        <v>1</v>
      </c>
      <c r="G1759" s="37" t="s">
        <v>6864</v>
      </c>
      <c r="H1759" s="63">
        <v>2688.4</v>
      </c>
    </row>
    <row r="1760" spans="1:8" ht="24.75" customHeight="1">
      <c r="A1760" s="44" t="s">
        <v>150</v>
      </c>
      <c r="B1760" s="45" t="s">
        <v>3447</v>
      </c>
      <c r="C1760" s="45" t="s">
        <v>6748</v>
      </c>
      <c r="D1760" s="45" t="s">
        <v>6710</v>
      </c>
      <c r="E1760" s="44" t="s">
        <v>6855</v>
      </c>
      <c r="F1760" s="37">
        <v>1</v>
      </c>
      <c r="G1760" s="37" t="s">
        <v>6864</v>
      </c>
      <c r="H1760" s="63">
        <v>2631.2</v>
      </c>
    </row>
    <row r="1761" spans="1:8" ht="24.75" customHeight="1">
      <c r="A1761" s="44" t="s">
        <v>640</v>
      </c>
      <c r="B1761" s="45" t="s">
        <v>3450</v>
      </c>
      <c r="C1761" s="45" t="s">
        <v>6748</v>
      </c>
      <c r="D1761" s="45" t="s">
        <v>6710</v>
      </c>
      <c r="E1761" s="44" t="s">
        <v>6855</v>
      </c>
      <c r="F1761" s="37">
        <v>1</v>
      </c>
      <c r="G1761" s="37" t="s">
        <v>6864</v>
      </c>
      <c r="H1761" s="63">
        <v>2902.9</v>
      </c>
    </row>
    <row r="1762" spans="1:8" ht="24.75" customHeight="1">
      <c r="A1762" s="44" t="s">
        <v>117</v>
      </c>
      <c r="B1762" s="45" t="s">
        <v>3471</v>
      </c>
      <c r="C1762" s="45" t="s">
        <v>6748</v>
      </c>
      <c r="D1762" s="45" t="s">
        <v>6710</v>
      </c>
      <c r="E1762" s="44" t="s">
        <v>6855</v>
      </c>
      <c r="F1762" s="37">
        <v>1</v>
      </c>
      <c r="G1762" s="37" t="s">
        <v>6864</v>
      </c>
      <c r="H1762" s="63">
        <v>2745.6</v>
      </c>
    </row>
    <row r="1763" spans="1:8" ht="24.75" customHeight="1">
      <c r="A1763" s="44" t="s">
        <v>643</v>
      </c>
      <c r="B1763" s="45" t="s">
        <v>3462</v>
      </c>
      <c r="C1763" s="45" t="s">
        <v>6748</v>
      </c>
      <c r="D1763" s="45" t="s">
        <v>6710</v>
      </c>
      <c r="E1763" s="44" t="s">
        <v>6855</v>
      </c>
      <c r="F1763" s="37">
        <v>1</v>
      </c>
      <c r="G1763" s="37" t="s">
        <v>6864</v>
      </c>
      <c r="H1763" s="63">
        <v>2745.6</v>
      </c>
    </row>
    <row r="1764" spans="1:8" ht="24.75" customHeight="1">
      <c r="A1764" s="44" t="s">
        <v>642</v>
      </c>
      <c r="B1764" s="45" t="s">
        <v>3452</v>
      </c>
      <c r="C1764" s="45" t="s">
        <v>6748</v>
      </c>
      <c r="D1764" s="45" t="s">
        <v>6710</v>
      </c>
      <c r="E1764" s="44" t="s">
        <v>6855</v>
      </c>
      <c r="F1764" s="37">
        <v>1</v>
      </c>
      <c r="G1764" s="37" t="s">
        <v>6864</v>
      </c>
      <c r="H1764" s="63">
        <v>3760.9</v>
      </c>
    </row>
    <row r="1765" spans="1:8" ht="24.75" customHeight="1">
      <c r="A1765" s="44" t="s">
        <v>647</v>
      </c>
      <c r="B1765" s="45" t="s">
        <v>3466</v>
      </c>
      <c r="C1765" s="45" t="s">
        <v>6748</v>
      </c>
      <c r="D1765" s="45" t="s">
        <v>6710</v>
      </c>
      <c r="E1765" s="44" t="s">
        <v>6855</v>
      </c>
      <c r="F1765" s="37">
        <v>1</v>
      </c>
      <c r="G1765" s="37" t="s">
        <v>6864</v>
      </c>
      <c r="H1765" s="63">
        <v>2845.7</v>
      </c>
    </row>
    <row r="1766" spans="1:8" ht="24.75" customHeight="1">
      <c r="A1766" s="44" t="s">
        <v>649</v>
      </c>
      <c r="B1766" s="45" t="s">
        <v>3468</v>
      </c>
      <c r="C1766" s="45" t="s">
        <v>6748</v>
      </c>
      <c r="D1766" s="45" t="s">
        <v>6710</v>
      </c>
      <c r="E1766" s="44" t="s">
        <v>6855</v>
      </c>
      <c r="F1766" s="37">
        <v>1</v>
      </c>
      <c r="G1766" s="37" t="s">
        <v>6864</v>
      </c>
      <c r="H1766" s="63">
        <v>3003</v>
      </c>
    </row>
    <row r="1767" spans="1:8" ht="24.75" customHeight="1">
      <c r="A1767" s="44" t="s">
        <v>1891</v>
      </c>
      <c r="B1767" s="45" t="s">
        <v>3453</v>
      </c>
      <c r="C1767" s="45" t="s">
        <v>6748</v>
      </c>
      <c r="D1767" s="45" t="s">
        <v>6710</v>
      </c>
      <c r="E1767" s="44" t="s">
        <v>6855</v>
      </c>
      <c r="F1767" s="37">
        <v>1</v>
      </c>
      <c r="G1767" s="37" t="s">
        <v>6864</v>
      </c>
      <c r="H1767" s="63">
        <v>2902.9</v>
      </c>
    </row>
    <row r="1768" spans="1:8" ht="24.75" customHeight="1">
      <c r="A1768" s="44" t="s">
        <v>1895</v>
      </c>
      <c r="B1768" s="45" t="s">
        <v>3457</v>
      </c>
      <c r="C1768" s="45" t="s">
        <v>6748</v>
      </c>
      <c r="D1768" s="45" t="s">
        <v>6710</v>
      </c>
      <c r="E1768" s="44" t="s">
        <v>6855</v>
      </c>
      <c r="F1768" s="37">
        <v>1</v>
      </c>
      <c r="G1768" s="37" t="s">
        <v>6864</v>
      </c>
      <c r="H1768" s="63">
        <v>2802.8</v>
      </c>
    </row>
    <row r="1769" spans="1:8" ht="24.75" customHeight="1">
      <c r="A1769" s="44" t="s">
        <v>646</v>
      </c>
      <c r="B1769" s="45" t="s">
        <v>3465</v>
      </c>
      <c r="C1769" s="45" t="s">
        <v>6748</v>
      </c>
      <c r="D1769" s="45" t="s">
        <v>6710</v>
      </c>
      <c r="E1769" s="44" t="s">
        <v>6855</v>
      </c>
      <c r="F1769" s="37">
        <v>1</v>
      </c>
      <c r="G1769" s="37" t="s">
        <v>6864</v>
      </c>
      <c r="H1769" s="63">
        <v>2802.8</v>
      </c>
    </row>
    <row r="1770" spans="1:8" ht="24.75" customHeight="1">
      <c r="A1770" s="44" t="s">
        <v>1892</v>
      </c>
      <c r="B1770" s="45" t="s">
        <v>3454</v>
      </c>
      <c r="C1770" s="45" t="s">
        <v>6748</v>
      </c>
      <c r="D1770" s="45" t="s">
        <v>6710</v>
      </c>
      <c r="E1770" s="44" t="s">
        <v>6855</v>
      </c>
      <c r="F1770" s="37">
        <v>1</v>
      </c>
      <c r="G1770" s="37" t="s">
        <v>6864</v>
      </c>
      <c r="H1770" s="63">
        <v>2802.8</v>
      </c>
    </row>
    <row r="1771" spans="1:8" ht="24.75" customHeight="1">
      <c r="A1771" s="44" t="s">
        <v>1893</v>
      </c>
      <c r="B1771" s="45" t="s">
        <v>3455</v>
      </c>
      <c r="C1771" s="45" t="s">
        <v>6748</v>
      </c>
      <c r="D1771" s="45" t="s">
        <v>6710</v>
      </c>
      <c r="E1771" s="44" t="s">
        <v>6855</v>
      </c>
      <c r="F1771" s="37">
        <v>1</v>
      </c>
      <c r="G1771" s="37" t="s">
        <v>6864</v>
      </c>
      <c r="H1771" s="63">
        <v>2802.8</v>
      </c>
    </row>
    <row r="1772" spans="1:8" ht="24.75" customHeight="1">
      <c r="A1772" s="44" t="s">
        <v>639</v>
      </c>
      <c r="B1772" s="45" t="s">
        <v>3449</v>
      </c>
      <c r="C1772" s="45" t="s">
        <v>6748</v>
      </c>
      <c r="D1772" s="45" t="s">
        <v>6710</v>
      </c>
      <c r="E1772" s="44" t="s">
        <v>6855</v>
      </c>
      <c r="F1772" s="37">
        <v>1</v>
      </c>
      <c r="G1772" s="37" t="s">
        <v>6864</v>
      </c>
      <c r="H1772" s="63">
        <v>2802.8</v>
      </c>
    </row>
    <row r="1773" spans="1:8" ht="24.75" customHeight="1">
      <c r="A1773" s="44" t="s">
        <v>641</v>
      </c>
      <c r="B1773" s="45" t="s">
        <v>3451</v>
      </c>
      <c r="C1773" s="45" t="s">
        <v>6748</v>
      </c>
      <c r="D1773" s="45" t="s">
        <v>6710</v>
      </c>
      <c r="E1773" s="44" t="s">
        <v>6855</v>
      </c>
      <c r="F1773" s="37">
        <v>1</v>
      </c>
      <c r="G1773" s="37" t="s">
        <v>6864</v>
      </c>
      <c r="H1773" s="63">
        <v>2745.6</v>
      </c>
    </row>
    <row r="1774" spans="1:8" ht="24.75" customHeight="1">
      <c r="A1774" s="44" t="s">
        <v>148</v>
      </c>
      <c r="B1774" s="45" t="s">
        <v>3445</v>
      </c>
      <c r="C1774" s="45" t="s">
        <v>6748</v>
      </c>
      <c r="D1774" s="45" t="s">
        <v>6710</v>
      </c>
      <c r="E1774" s="44" t="s">
        <v>6855</v>
      </c>
      <c r="F1774" s="37">
        <v>1</v>
      </c>
      <c r="G1774" s="37" t="s">
        <v>6864</v>
      </c>
      <c r="H1774" s="63">
        <v>2945.8</v>
      </c>
    </row>
    <row r="1775" spans="1:8" ht="24.75" customHeight="1">
      <c r="A1775" s="44" t="s">
        <v>151</v>
      </c>
      <c r="B1775" s="45" t="s">
        <v>3448</v>
      </c>
      <c r="C1775" s="45" t="s">
        <v>6748</v>
      </c>
      <c r="D1775" s="45" t="s">
        <v>6710</v>
      </c>
      <c r="E1775" s="44" t="s">
        <v>6855</v>
      </c>
      <c r="F1775" s="37">
        <v>1</v>
      </c>
      <c r="G1775" s="37" t="s">
        <v>6864</v>
      </c>
      <c r="H1775" s="63">
        <v>3231.8</v>
      </c>
    </row>
    <row r="1776" spans="1:8" ht="24.75" customHeight="1">
      <c r="A1776" s="44" t="s">
        <v>648</v>
      </c>
      <c r="B1776" s="45" t="s">
        <v>3467</v>
      </c>
      <c r="C1776" s="45" t="s">
        <v>6748</v>
      </c>
      <c r="D1776" s="45" t="s">
        <v>6710</v>
      </c>
      <c r="E1776" s="44" t="s">
        <v>6855</v>
      </c>
      <c r="F1776" s="37">
        <v>1</v>
      </c>
      <c r="G1776" s="37" t="s">
        <v>6864</v>
      </c>
      <c r="H1776" s="63">
        <v>2845.7</v>
      </c>
    </row>
    <row r="1777" spans="1:8" ht="24.75" customHeight="1">
      <c r="A1777" s="44" t="s">
        <v>650</v>
      </c>
      <c r="B1777" s="45" t="s">
        <v>3469</v>
      </c>
      <c r="C1777" s="45" t="s">
        <v>6748</v>
      </c>
      <c r="D1777" s="45" t="s">
        <v>6710</v>
      </c>
      <c r="E1777" s="44" t="s">
        <v>6855</v>
      </c>
      <c r="F1777" s="37">
        <v>1</v>
      </c>
      <c r="G1777" s="37" t="s">
        <v>6864</v>
      </c>
      <c r="H1777" s="63">
        <v>4347.2</v>
      </c>
    </row>
    <row r="1778" spans="1:8" ht="24.75" customHeight="1">
      <c r="A1778" s="44" t="s">
        <v>1894</v>
      </c>
      <c r="B1778" s="45" t="s">
        <v>3456</v>
      </c>
      <c r="C1778" s="45" t="s">
        <v>6748</v>
      </c>
      <c r="D1778" s="45" t="s">
        <v>6710</v>
      </c>
      <c r="E1778" s="44" t="s">
        <v>6855</v>
      </c>
      <c r="F1778" s="37">
        <v>1</v>
      </c>
      <c r="G1778" s="37" t="s">
        <v>6864</v>
      </c>
      <c r="H1778" s="63">
        <v>4304.3</v>
      </c>
    </row>
    <row r="1779" spans="1:8" ht="24.75" customHeight="1">
      <c r="A1779" s="44" t="s">
        <v>116</v>
      </c>
      <c r="B1779" s="45" t="s">
        <v>3470</v>
      </c>
      <c r="C1779" s="45" t="s">
        <v>6748</v>
      </c>
      <c r="D1779" s="45" t="s">
        <v>6710</v>
      </c>
      <c r="E1779" s="44" t="s">
        <v>6855</v>
      </c>
      <c r="F1779" s="37">
        <v>1</v>
      </c>
      <c r="G1779" s="37" t="s">
        <v>6864</v>
      </c>
      <c r="H1779" s="63">
        <v>3131.7</v>
      </c>
    </row>
    <row r="1780" spans="1:8" ht="24.75" customHeight="1">
      <c r="A1780" s="44" t="s">
        <v>3169</v>
      </c>
      <c r="B1780" s="45" t="s">
        <v>3475</v>
      </c>
      <c r="C1780" s="45" t="s">
        <v>6748</v>
      </c>
      <c r="D1780" s="45" t="s">
        <v>6710</v>
      </c>
      <c r="E1780" s="44" t="s">
        <v>6855</v>
      </c>
      <c r="F1780" s="37">
        <v>1</v>
      </c>
      <c r="G1780" s="37" t="s">
        <v>6864</v>
      </c>
      <c r="H1780" s="63">
        <v>3660.8</v>
      </c>
    </row>
    <row r="1781" spans="1:8" ht="24.75" customHeight="1">
      <c r="A1781" s="44" t="s">
        <v>945</v>
      </c>
      <c r="B1781" s="45" t="s">
        <v>3473</v>
      </c>
      <c r="C1781" s="45" t="s">
        <v>6748</v>
      </c>
      <c r="D1781" s="45" t="s">
        <v>6710</v>
      </c>
      <c r="E1781" s="44" t="s">
        <v>6855</v>
      </c>
      <c r="F1781" s="37">
        <v>1</v>
      </c>
      <c r="G1781" s="37" t="s">
        <v>6864</v>
      </c>
      <c r="H1781" s="63">
        <v>2745.6</v>
      </c>
    </row>
    <row r="1782" spans="1:8" ht="24.75" customHeight="1">
      <c r="A1782" s="44" t="s">
        <v>118</v>
      </c>
      <c r="B1782" s="45" t="s">
        <v>3472</v>
      </c>
      <c r="C1782" s="45" t="s">
        <v>6748</v>
      </c>
      <c r="D1782" s="45" t="s">
        <v>6710</v>
      </c>
      <c r="E1782" s="44" t="s">
        <v>6855</v>
      </c>
      <c r="F1782" s="37">
        <v>1</v>
      </c>
      <c r="G1782" s="37" t="s">
        <v>6864</v>
      </c>
      <c r="H1782" s="63">
        <v>3074.5</v>
      </c>
    </row>
    <row r="1783" spans="1:8" ht="24.75" customHeight="1">
      <c r="A1783" s="44" t="s">
        <v>2597</v>
      </c>
      <c r="B1783" s="45" t="s">
        <v>3461</v>
      </c>
      <c r="C1783" s="45" t="s">
        <v>6748</v>
      </c>
      <c r="D1783" s="45" t="s">
        <v>6710</v>
      </c>
      <c r="E1783" s="44" t="s">
        <v>6855</v>
      </c>
      <c r="F1783" s="37">
        <v>1</v>
      </c>
      <c r="G1783" s="37" t="s">
        <v>6864</v>
      </c>
      <c r="H1783" s="63">
        <v>3760.9</v>
      </c>
    </row>
    <row r="1784" spans="1:8" ht="24.75" customHeight="1">
      <c r="A1784" s="44" t="s">
        <v>2595</v>
      </c>
      <c r="B1784" s="45" t="s">
        <v>3459</v>
      </c>
      <c r="C1784" s="45" t="s">
        <v>6748</v>
      </c>
      <c r="D1784" s="45" t="s">
        <v>6710</v>
      </c>
      <c r="E1784" s="44" t="s">
        <v>6855</v>
      </c>
      <c r="F1784" s="37">
        <v>1</v>
      </c>
      <c r="G1784" s="37" t="s">
        <v>6864</v>
      </c>
      <c r="H1784" s="63">
        <v>2845.7</v>
      </c>
    </row>
    <row r="1785" spans="1:8" ht="24.75" customHeight="1">
      <c r="A1785" s="44" t="s">
        <v>645</v>
      </c>
      <c r="B1785" s="45" t="s">
        <v>3464</v>
      </c>
      <c r="C1785" s="45" t="s">
        <v>6748</v>
      </c>
      <c r="D1785" s="45" t="s">
        <v>6710</v>
      </c>
      <c r="E1785" s="44"/>
      <c r="F1785" s="37">
        <v>10</v>
      </c>
      <c r="G1785" s="37" t="s">
        <v>6864</v>
      </c>
      <c r="H1785" s="63">
        <v>557.70000000000005</v>
      </c>
    </row>
    <row r="1786" spans="1:8" ht="24.75" customHeight="1">
      <c r="A1786" s="44" t="s">
        <v>644</v>
      </c>
      <c r="B1786" s="45" t="s">
        <v>3463</v>
      </c>
      <c r="C1786" s="45" t="s">
        <v>6748</v>
      </c>
      <c r="D1786" s="45" t="s">
        <v>6710</v>
      </c>
      <c r="E1786" s="44"/>
      <c r="F1786" s="37">
        <v>10</v>
      </c>
      <c r="G1786" s="37" t="s">
        <v>6864</v>
      </c>
      <c r="H1786" s="63">
        <v>557.70000000000005</v>
      </c>
    </row>
    <row r="1787" spans="1:8" ht="24.75" customHeight="1">
      <c r="A1787" s="44" t="s">
        <v>2161</v>
      </c>
      <c r="B1787" s="45" t="s">
        <v>5894</v>
      </c>
      <c r="C1787" s="45" t="s">
        <v>6748</v>
      </c>
      <c r="D1787" s="45" t="s">
        <v>6710</v>
      </c>
      <c r="E1787" s="44" t="s">
        <v>6855</v>
      </c>
      <c r="F1787" s="37">
        <v>1</v>
      </c>
      <c r="G1787" s="37" t="s">
        <v>6864</v>
      </c>
      <c r="H1787" s="63">
        <v>2874.3</v>
      </c>
    </row>
    <row r="1788" spans="1:8" ht="24.75" customHeight="1">
      <c r="A1788" s="44" t="s">
        <v>2594</v>
      </c>
      <c r="B1788" s="45" t="s">
        <v>3458</v>
      </c>
      <c r="C1788" s="45" t="s">
        <v>6748</v>
      </c>
      <c r="D1788" s="45" t="s">
        <v>6710</v>
      </c>
      <c r="E1788" s="44" t="s">
        <v>6855</v>
      </c>
      <c r="F1788" s="37">
        <v>1</v>
      </c>
      <c r="G1788" s="37" t="s">
        <v>6864</v>
      </c>
      <c r="H1788" s="63">
        <v>2945.8</v>
      </c>
    </row>
    <row r="1789" spans="1:8" ht="24.75" customHeight="1">
      <c r="A1789" s="44" t="s">
        <v>24</v>
      </c>
      <c r="B1789" s="45" t="s">
        <v>3474</v>
      </c>
      <c r="C1789" s="45" t="s">
        <v>6748</v>
      </c>
      <c r="D1789" s="45" t="s">
        <v>6710</v>
      </c>
      <c r="E1789" s="44" t="s">
        <v>6855</v>
      </c>
      <c r="F1789" s="37">
        <v>1</v>
      </c>
      <c r="G1789" s="37" t="s">
        <v>6864</v>
      </c>
      <c r="H1789" s="63">
        <v>3646.5</v>
      </c>
    </row>
    <row r="1790" spans="1:8" ht="24.75" customHeight="1">
      <c r="A1790" s="44" t="s">
        <v>763</v>
      </c>
      <c r="B1790" s="45" t="s">
        <v>3476</v>
      </c>
      <c r="C1790" s="45" t="s">
        <v>6748</v>
      </c>
      <c r="D1790" s="45" t="s">
        <v>6710</v>
      </c>
      <c r="E1790" s="44" t="s">
        <v>6855</v>
      </c>
      <c r="F1790" s="37">
        <v>1</v>
      </c>
      <c r="G1790" s="37" t="s">
        <v>6864</v>
      </c>
      <c r="H1790" s="63">
        <v>2845.7</v>
      </c>
    </row>
    <row r="1791" spans="1:8" ht="24.75" customHeight="1">
      <c r="A1791" s="44" t="s">
        <v>951</v>
      </c>
      <c r="B1791" s="45" t="s">
        <v>3482</v>
      </c>
      <c r="C1791" s="45" t="s">
        <v>6748</v>
      </c>
      <c r="D1791" s="45" t="s">
        <v>6710</v>
      </c>
      <c r="E1791" s="44" t="s">
        <v>6855</v>
      </c>
      <c r="F1791" s="37">
        <v>1</v>
      </c>
      <c r="G1791" s="37" t="s">
        <v>6864</v>
      </c>
      <c r="H1791" s="63">
        <v>3003</v>
      </c>
    </row>
    <row r="1792" spans="1:8" ht="24.75" customHeight="1">
      <c r="A1792" s="44" t="s">
        <v>399</v>
      </c>
      <c r="B1792" s="45" t="s">
        <v>3488</v>
      </c>
      <c r="C1792" s="45" t="s">
        <v>6748</v>
      </c>
      <c r="D1792" s="45" t="s">
        <v>6710</v>
      </c>
      <c r="E1792" s="44"/>
      <c r="F1792" s="37">
        <v>10</v>
      </c>
      <c r="G1792" s="37" t="s">
        <v>6864</v>
      </c>
      <c r="H1792" s="63">
        <v>500.5</v>
      </c>
    </row>
    <row r="1793" spans="1:8" ht="24.75" customHeight="1">
      <c r="A1793" s="44" t="s">
        <v>952</v>
      </c>
      <c r="B1793" s="45" t="s">
        <v>3486</v>
      </c>
      <c r="C1793" s="45" t="s">
        <v>6748</v>
      </c>
      <c r="D1793" s="45" t="s">
        <v>6710</v>
      </c>
      <c r="E1793" s="44" t="s">
        <v>6855</v>
      </c>
      <c r="F1793" s="37">
        <v>1</v>
      </c>
      <c r="G1793" s="37" t="s">
        <v>6864</v>
      </c>
      <c r="H1793" s="63">
        <v>2216.5</v>
      </c>
    </row>
    <row r="1794" spans="1:8" ht="24.75" customHeight="1">
      <c r="A1794" s="44" t="s">
        <v>947</v>
      </c>
      <c r="B1794" s="45" t="s">
        <v>3478</v>
      </c>
      <c r="C1794" s="45" t="s">
        <v>6748</v>
      </c>
      <c r="D1794" s="45" t="s">
        <v>6710</v>
      </c>
      <c r="E1794" s="44" t="s">
        <v>6855</v>
      </c>
      <c r="F1794" s="37">
        <v>1</v>
      </c>
      <c r="G1794" s="37" t="s">
        <v>6864</v>
      </c>
      <c r="H1794" s="63">
        <v>2902.9</v>
      </c>
    </row>
    <row r="1795" spans="1:8" ht="24.75" customHeight="1">
      <c r="A1795" s="44" t="s">
        <v>402</v>
      </c>
      <c r="B1795" s="45" t="s">
        <v>3492</v>
      </c>
      <c r="C1795" s="45" t="s">
        <v>6748</v>
      </c>
      <c r="D1795" s="45" t="s">
        <v>6710</v>
      </c>
      <c r="E1795" s="44" t="s">
        <v>6855</v>
      </c>
      <c r="F1795" s="37">
        <v>1</v>
      </c>
      <c r="G1795" s="37" t="s">
        <v>6864</v>
      </c>
      <c r="H1795" s="63">
        <v>3131.7</v>
      </c>
    </row>
    <row r="1796" spans="1:8" ht="24.75" customHeight="1">
      <c r="A1796" s="44" t="s">
        <v>401</v>
      </c>
      <c r="B1796" s="45" t="s">
        <v>3491</v>
      </c>
      <c r="C1796" s="45" t="s">
        <v>6748</v>
      </c>
      <c r="D1796" s="45" t="s">
        <v>6710</v>
      </c>
      <c r="E1796" s="44" t="s">
        <v>6855</v>
      </c>
      <c r="F1796" s="37">
        <v>1</v>
      </c>
      <c r="G1796" s="37" t="s">
        <v>6864</v>
      </c>
      <c r="H1796" s="63">
        <v>2945.8</v>
      </c>
    </row>
    <row r="1797" spans="1:8" ht="24.75" customHeight="1">
      <c r="A1797" s="44" t="s">
        <v>409</v>
      </c>
      <c r="B1797" s="45" t="s">
        <v>3499</v>
      </c>
      <c r="C1797" s="45" t="s">
        <v>6748</v>
      </c>
      <c r="D1797" s="45" t="s">
        <v>6710</v>
      </c>
      <c r="E1797" s="44" t="s">
        <v>6855</v>
      </c>
      <c r="F1797" s="37">
        <v>1</v>
      </c>
      <c r="G1797" s="37" t="s">
        <v>6864</v>
      </c>
      <c r="H1797" s="63">
        <v>3503.5</v>
      </c>
    </row>
    <row r="1798" spans="1:8" ht="24.75" customHeight="1">
      <c r="A1798" s="44" t="s">
        <v>950</v>
      </c>
      <c r="B1798" s="45" t="s">
        <v>3481</v>
      </c>
      <c r="C1798" s="45" t="s">
        <v>6748</v>
      </c>
      <c r="D1798" s="45" t="s">
        <v>6710</v>
      </c>
      <c r="E1798" s="44" t="s">
        <v>6855</v>
      </c>
      <c r="F1798" s="37">
        <v>1</v>
      </c>
      <c r="G1798" s="37" t="s">
        <v>6864</v>
      </c>
      <c r="H1798" s="63">
        <v>3446.3</v>
      </c>
    </row>
    <row r="1799" spans="1:8" ht="24.75" customHeight="1">
      <c r="A1799" s="44" t="s">
        <v>949</v>
      </c>
      <c r="B1799" s="45" t="s">
        <v>3480</v>
      </c>
      <c r="C1799" s="45" t="s">
        <v>6748</v>
      </c>
      <c r="D1799" s="45" t="s">
        <v>6710</v>
      </c>
      <c r="E1799" s="44" t="s">
        <v>6855</v>
      </c>
      <c r="F1799" s="37">
        <v>1</v>
      </c>
      <c r="G1799" s="37" t="s">
        <v>6864</v>
      </c>
      <c r="H1799" s="63">
        <v>3331.9</v>
      </c>
    </row>
    <row r="1800" spans="1:8" ht="24.75" customHeight="1">
      <c r="A1800" s="44" t="s">
        <v>396</v>
      </c>
      <c r="B1800" s="45" t="s">
        <v>3484</v>
      </c>
      <c r="C1800" s="45" t="s">
        <v>6748</v>
      </c>
      <c r="D1800" s="45" t="s">
        <v>6710</v>
      </c>
      <c r="E1800" s="44" t="s">
        <v>6855</v>
      </c>
      <c r="F1800" s="37">
        <v>1</v>
      </c>
      <c r="G1800" s="37" t="s">
        <v>6864</v>
      </c>
      <c r="H1800" s="63">
        <v>3131.7</v>
      </c>
    </row>
    <row r="1801" spans="1:8" ht="24.75" customHeight="1">
      <c r="A1801" s="44" t="s">
        <v>408</v>
      </c>
      <c r="B1801" s="45" t="s">
        <v>3498</v>
      </c>
      <c r="C1801" s="45" t="s">
        <v>6748</v>
      </c>
      <c r="D1801" s="45" t="s">
        <v>6710</v>
      </c>
      <c r="E1801" s="44" t="s">
        <v>6855</v>
      </c>
      <c r="F1801" s="37">
        <v>1</v>
      </c>
      <c r="G1801" s="37" t="s">
        <v>6864</v>
      </c>
      <c r="H1801" s="63">
        <v>3503.5</v>
      </c>
    </row>
    <row r="1802" spans="1:8" ht="24.75" customHeight="1">
      <c r="A1802" s="44" t="s">
        <v>412</v>
      </c>
      <c r="B1802" s="45" t="s">
        <v>3502</v>
      </c>
      <c r="C1802" s="45" t="s">
        <v>6748</v>
      </c>
      <c r="D1802" s="45" t="s">
        <v>6710</v>
      </c>
      <c r="E1802" s="44" t="s">
        <v>6855</v>
      </c>
      <c r="F1802" s="37">
        <v>1</v>
      </c>
      <c r="G1802" s="37" t="s">
        <v>6864</v>
      </c>
      <c r="H1802" s="63">
        <v>3188.9</v>
      </c>
    </row>
    <row r="1803" spans="1:8" ht="24.75" customHeight="1">
      <c r="A1803" s="44" t="s">
        <v>410</v>
      </c>
      <c r="B1803" s="45" t="s">
        <v>3500</v>
      </c>
      <c r="C1803" s="45" t="s">
        <v>6748</v>
      </c>
      <c r="D1803" s="45" t="s">
        <v>6710</v>
      </c>
      <c r="E1803" s="44" t="s">
        <v>6855</v>
      </c>
      <c r="F1803" s="37">
        <v>1</v>
      </c>
      <c r="G1803" s="37" t="s">
        <v>6864</v>
      </c>
      <c r="H1803" s="63">
        <v>3231.8</v>
      </c>
    </row>
    <row r="1804" spans="1:8" ht="24.75" customHeight="1">
      <c r="A1804" s="44" t="s">
        <v>411</v>
      </c>
      <c r="B1804" s="45" t="s">
        <v>3501</v>
      </c>
      <c r="C1804" s="45" t="s">
        <v>6748</v>
      </c>
      <c r="D1804" s="45" t="s">
        <v>6710</v>
      </c>
      <c r="E1804" s="44" t="s">
        <v>6855</v>
      </c>
      <c r="F1804" s="37">
        <v>1</v>
      </c>
      <c r="G1804" s="37" t="s">
        <v>6864</v>
      </c>
      <c r="H1804" s="63">
        <v>3003</v>
      </c>
    </row>
    <row r="1805" spans="1:8" ht="24.75" customHeight="1">
      <c r="A1805" s="44" t="s">
        <v>404</v>
      </c>
      <c r="B1805" s="45" t="s">
        <v>3494</v>
      </c>
      <c r="C1805" s="45" t="s">
        <v>6748</v>
      </c>
      <c r="D1805" s="45" t="s">
        <v>6710</v>
      </c>
      <c r="E1805" s="44" t="s">
        <v>6855</v>
      </c>
      <c r="F1805" s="37">
        <v>1</v>
      </c>
      <c r="G1805" s="37" t="s">
        <v>6864</v>
      </c>
      <c r="H1805" s="63">
        <v>3274.7</v>
      </c>
    </row>
    <row r="1806" spans="1:8" ht="24.75" customHeight="1">
      <c r="A1806" s="44" t="s">
        <v>2315</v>
      </c>
      <c r="B1806" s="45" t="s">
        <v>3490</v>
      </c>
      <c r="C1806" s="45" t="s">
        <v>6748</v>
      </c>
      <c r="D1806" s="45" t="s">
        <v>6710</v>
      </c>
      <c r="E1806" s="44" t="s">
        <v>6855</v>
      </c>
      <c r="F1806" s="37">
        <v>1</v>
      </c>
      <c r="G1806" s="37" t="s">
        <v>6864</v>
      </c>
      <c r="H1806" s="63">
        <v>2731.3</v>
      </c>
    </row>
    <row r="1807" spans="1:8" ht="24.75" customHeight="1">
      <c r="A1807" s="44" t="s">
        <v>948</v>
      </c>
      <c r="B1807" s="45" t="s">
        <v>3479</v>
      </c>
      <c r="C1807" s="45" t="s">
        <v>6748</v>
      </c>
      <c r="D1807" s="45" t="s">
        <v>6710</v>
      </c>
      <c r="E1807" s="44" t="s">
        <v>6855</v>
      </c>
      <c r="F1807" s="37">
        <v>1</v>
      </c>
      <c r="G1807" s="37" t="s">
        <v>6864</v>
      </c>
      <c r="H1807" s="63">
        <v>3003</v>
      </c>
    </row>
    <row r="1808" spans="1:8" ht="24.75" customHeight="1">
      <c r="A1808" s="44" t="s">
        <v>403</v>
      </c>
      <c r="B1808" s="45" t="s">
        <v>3493</v>
      </c>
      <c r="C1808" s="45" t="s">
        <v>6748</v>
      </c>
      <c r="D1808" s="45" t="s">
        <v>6710</v>
      </c>
      <c r="E1808" s="44" t="s">
        <v>6855</v>
      </c>
      <c r="F1808" s="37">
        <v>1</v>
      </c>
      <c r="G1808" s="37" t="s">
        <v>6864</v>
      </c>
      <c r="H1808" s="63">
        <v>3131.7</v>
      </c>
    </row>
    <row r="1809" spans="1:8" ht="24.75" customHeight="1">
      <c r="A1809" s="44" t="s">
        <v>946</v>
      </c>
      <c r="B1809" s="45" t="s">
        <v>3477</v>
      </c>
      <c r="C1809" s="45" t="s">
        <v>6748</v>
      </c>
      <c r="D1809" s="45" t="s">
        <v>6710</v>
      </c>
      <c r="E1809" s="44" t="s">
        <v>6855</v>
      </c>
      <c r="F1809" s="37">
        <v>1</v>
      </c>
      <c r="G1809" s="37" t="s">
        <v>6864</v>
      </c>
      <c r="H1809" s="63">
        <v>3389.1</v>
      </c>
    </row>
    <row r="1810" spans="1:8" ht="24.75" customHeight="1">
      <c r="A1810" s="44" t="s">
        <v>405</v>
      </c>
      <c r="B1810" s="45" t="s">
        <v>3495</v>
      </c>
      <c r="C1810" s="45" t="s">
        <v>6748</v>
      </c>
      <c r="D1810" s="45" t="s">
        <v>6710</v>
      </c>
      <c r="E1810" s="44" t="s">
        <v>6855</v>
      </c>
      <c r="F1810" s="37">
        <v>1</v>
      </c>
      <c r="G1810" s="37" t="s">
        <v>6864</v>
      </c>
      <c r="H1810" s="63">
        <v>3131.7</v>
      </c>
    </row>
    <row r="1811" spans="1:8" ht="24.75" customHeight="1">
      <c r="A1811" s="44" t="s">
        <v>406</v>
      </c>
      <c r="B1811" s="45" t="s">
        <v>3496</v>
      </c>
      <c r="C1811" s="45" t="s">
        <v>6748</v>
      </c>
      <c r="D1811" s="45" t="s">
        <v>6710</v>
      </c>
      <c r="E1811" s="44" t="s">
        <v>6855</v>
      </c>
      <c r="F1811" s="37">
        <v>1</v>
      </c>
      <c r="G1811" s="37" t="s">
        <v>6864</v>
      </c>
      <c r="H1811" s="63">
        <v>2802.8</v>
      </c>
    </row>
    <row r="1812" spans="1:8" ht="24.75" customHeight="1">
      <c r="A1812" s="44" t="s">
        <v>2598</v>
      </c>
      <c r="B1812" s="45" t="s">
        <v>3504</v>
      </c>
      <c r="C1812" s="45" t="s">
        <v>6748</v>
      </c>
      <c r="D1812" s="45" t="s">
        <v>6710</v>
      </c>
      <c r="E1812" s="44" t="s">
        <v>6855</v>
      </c>
      <c r="F1812" s="37">
        <v>1</v>
      </c>
      <c r="G1812" s="37" t="s">
        <v>6864</v>
      </c>
      <c r="H1812" s="63">
        <v>3188.9</v>
      </c>
    </row>
    <row r="1813" spans="1:8" ht="24.75" customHeight="1">
      <c r="A1813" s="44" t="s">
        <v>395</v>
      </c>
      <c r="B1813" s="45" t="s">
        <v>3483</v>
      </c>
      <c r="C1813" s="45" t="s">
        <v>6748</v>
      </c>
      <c r="D1813" s="45" t="s">
        <v>6710</v>
      </c>
      <c r="E1813" s="44" t="s">
        <v>6855</v>
      </c>
      <c r="F1813" s="37">
        <v>1</v>
      </c>
      <c r="G1813" s="37" t="s">
        <v>6864</v>
      </c>
      <c r="H1813" s="63">
        <v>3646.5</v>
      </c>
    </row>
    <row r="1814" spans="1:8" ht="24.75" customHeight="1">
      <c r="A1814" s="44" t="s">
        <v>400</v>
      </c>
      <c r="B1814" s="45" t="s">
        <v>3489</v>
      </c>
      <c r="C1814" s="45" t="s">
        <v>6748</v>
      </c>
      <c r="D1814" s="45" t="s">
        <v>6710</v>
      </c>
      <c r="E1814" s="44"/>
      <c r="F1814" s="37">
        <v>10</v>
      </c>
      <c r="G1814" s="37" t="s">
        <v>6864</v>
      </c>
      <c r="H1814" s="63">
        <v>543.4</v>
      </c>
    </row>
    <row r="1815" spans="1:8" ht="24.75" customHeight="1">
      <c r="A1815" s="44" t="s">
        <v>398</v>
      </c>
      <c r="B1815" s="45" t="s">
        <v>3487</v>
      </c>
      <c r="C1815" s="45" t="s">
        <v>6748</v>
      </c>
      <c r="D1815" s="45" t="s">
        <v>6710</v>
      </c>
      <c r="E1815" s="44" t="s">
        <v>6855</v>
      </c>
      <c r="F1815" s="37">
        <v>1</v>
      </c>
      <c r="G1815" s="37" t="s">
        <v>6864</v>
      </c>
      <c r="H1815" s="63">
        <v>2473.9</v>
      </c>
    </row>
    <row r="1816" spans="1:8" ht="24.75" customHeight="1">
      <c r="A1816" s="44" t="s">
        <v>397</v>
      </c>
      <c r="B1816" s="45" t="s">
        <v>3485</v>
      </c>
      <c r="C1816" s="45" t="s">
        <v>6748</v>
      </c>
      <c r="D1816" s="45" t="s">
        <v>6710</v>
      </c>
      <c r="E1816" s="44" t="s">
        <v>6855</v>
      </c>
      <c r="F1816" s="37">
        <v>1</v>
      </c>
      <c r="G1816" s="37" t="s">
        <v>6864</v>
      </c>
      <c r="H1816" s="63">
        <v>3560.7</v>
      </c>
    </row>
    <row r="1817" spans="1:8" ht="24.75" customHeight="1">
      <c r="A1817" s="44" t="s">
        <v>407</v>
      </c>
      <c r="B1817" s="45" t="s">
        <v>3497</v>
      </c>
      <c r="C1817" s="45" t="s">
        <v>6748</v>
      </c>
      <c r="D1817" s="45" t="s">
        <v>6710</v>
      </c>
      <c r="E1817" s="44" t="s">
        <v>6855</v>
      </c>
      <c r="F1817" s="37">
        <v>1</v>
      </c>
      <c r="G1817" s="37" t="s">
        <v>6864</v>
      </c>
      <c r="H1817" s="63">
        <v>3646.5</v>
      </c>
    </row>
    <row r="1818" spans="1:8" ht="24.75" customHeight="1">
      <c r="A1818" s="44" t="s">
        <v>23</v>
      </c>
      <c r="B1818" s="45" t="s">
        <v>3503</v>
      </c>
      <c r="C1818" s="45" t="s">
        <v>6748</v>
      </c>
      <c r="D1818" s="45" t="s">
        <v>6710</v>
      </c>
      <c r="E1818" s="44" t="s">
        <v>6855</v>
      </c>
      <c r="F1818" s="37">
        <v>1</v>
      </c>
      <c r="G1818" s="37" t="s">
        <v>6864</v>
      </c>
      <c r="H1818" s="63">
        <v>2845.7</v>
      </c>
    </row>
    <row r="1819" spans="1:8" ht="24.75" customHeight="1">
      <c r="A1819" s="44" t="s">
        <v>764</v>
      </c>
      <c r="B1819" s="45" t="s">
        <v>3505</v>
      </c>
      <c r="C1819" s="45" t="s">
        <v>6748</v>
      </c>
      <c r="D1819" s="45" t="s">
        <v>6710</v>
      </c>
      <c r="E1819" s="44" t="s">
        <v>6855</v>
      </c>
      <c r="F1819" s="37">
        <v>1</v>
      </c>
      <c r="G1819" s="37" t="s">
        <v>6864</v>
      </c>
      <c r="H1819" s="63">
        <v>3389.1</v>
      </c>
    </row>
    <row r="1820" spans="1:8" ht="24.75" customHeight="1">
      <c r="A1820" s="44" t="s">
        <v>1837</v>
      </c>
      <c r="B1820" s="45" t="s">
        <v>5255</v>
      </c>
      <c r="C1820" s="45" t="s">
        <v>6748</v>
      </c>
      <c r="D1820" s="45" t="s">
        <v>6710</v>
      </c>
      <c r="E1820" s="44" t="s">
        <v>6855</v>
      </c>
      <c r="F1820" s="37">
        <v>1</v>
      </c>
      <c r="G1820" s="37" t="s">
        <v>6864</v>
      </c>
      <c r="H1820" s="63">
        <v>11625.9</v>
      </c>
    </row>
    <row r="1821" spans="1:8" ht="24.75" customHeight="1">
      <c r="A1821" s="44" t="s">
        <v>1856</v>
      </c>
      <c r="B1821" s="45" t="s">
        <v>5272</v>
      </c>
      <c r="C1821" s="45" t="s">
        <v>6748</v>
      </c>
      <c r="D1821" s="45" t="s">
        <v>6710</v>
      </c>
      <c r="E1821" s="44" t="s">
        <v>6855</v>
      </c>
      <c r="F1821" s="37">
        <v>1</v>
      </c>
      <c r="G1821" s="37" t="s">
        <v>6864</v>
      </c>
      <c r="H1821" s="63">
        <v>10767.9</v>
      </c>
    </row>
    <row r="1822" spans="1:8" ht="24.75" customHeight="1">
      <c r="A1822" s="44" t="s">
        <v>658</v>
      </c>
      <c r="B1822" s="45" t="s">
        <v>3537</v>
      </c>
      <c r="C1822" s="45" t="s">
        <v>6748</v>
      </c>
      <c r="D1822" s="45" t="s">
        <v>6710</v>
      </c>
      <c r="E1822" s="44" t="s">
        <v>6855</v>
      </c>
      <c r="F1822" s="37">
        <v>1</v>
      </c>
      <c r="G1822" s="37" t="s">
        <v>6864</v>
      </c>
      <c r="H1822" s="63">
        <v>2902.9</v>
      </c>
    </row>
    <row r="1823" spans="1:8" ht="24.75" customHeight="1">
      <c r="A1823" s="44" t="s">
        <v>420</v>
      </c>
      <c r="B1823" s="45" t="s">
        <v>3513</v>
      </c>
      <c r="C1823" s="45" t="s">
        <v>6748</v>
      </c>
      <c r="D1823" s="45" t="s">
        <v>6710</v>
      </c>
      <c r="E1823" s="44" t="s">
        <v>6855</v>
      </c>
      <c r="F1823" s="37">
        <v>1</v>
      </c>
      <c r="G1823" s="37" t="s">
        <v>6864</v>
      </c>
      <c r="H1823" s="63">
        <v>3074.5</v>
      </c>
    </row>
    <row r="1824" spans="1:8" ht="24.75" customHeight="1">
      <c r="A1824" s="44" t="s">
        <v>2601</v>
      </c>
      <c r="B1824" s="45" t="s">
        <v>3521</v>
      </c>
      <c r="C1824" s="45" t="s">
        <v>6748</v>
      </c>
      <c r="D1824" s="45" t="s">
        <v>6710</v>
      </c>
      <c r="E1824" s="44" t="s">
        <v>6855</v>
      </c>
      <c r="F1824" s="37">
        <v>1</v>
      </c>
      <c r="G1824" s="37" t="s">
        <v>6864</v>
      </c>
      <c r="H1824" s="63">
        <v>3188.9</v>
      </c>
    </row>
    <row r="1825" spans="1:8" ht="24.75" customHeight="1">
      <c r="A1825" s="44" t="s">
        <v>414</v>
      </c>
      <c r="B1825" s="45" t="s">
        <v>3507</v>
      </c>
      <c r="C1825" s="45" t="s">
        <v>6748</v>
      </c>
      <c r="D1825" s="45" t="s">
        <v>6710</v>
      </c>
      <c r="E1825" s="44" t="s">
        <v>6855</v>
      </c>
      <c r="F1825" s="37">
        <v>1</v>
      </c>
      <c r="G1825" s="37" t="s">
        <v>6864</v>
      </c>
      <c r="H1825" s="63">
        <v>2902.9</v>
      </c>
    </row>
    <row r="1826" spans="1:8" ht="24.75" customHeight="1">
      <c r="A1826" s="44" t="s">
        <v>417</v>
      </c>
      <c r="B1826" s="45" t="s">
        <v>3510</v>
      </c>
      <c r="C1826" s="45" t="s">
        <v>6748</v>
      </c>
      <c r="D1826" s="45" t="s">
        <v>6710</v>
      </c>
      <c r="E1826" s="44" t="s">
        <v>6855</v>
      </c>
      <c r="F1826" s="37">
        <v>1</v>
      </c>
      <c r="G1826" s="37" t="s">
        <v>6864</v>
      </c>
      <c r="H1826" s="63">
        <v>2945.8</v>
      </c>
    </row>
    <row r="1827" spans="1:8" ht="24.75" customHeight="1">
      <c r="A1827" s="44" t="s">
        <v>421</v>
      </c>
      <c r="B1827" s="45" t="s">
        <v>3514</v>
      </c>
      <c r="C1827" s="45" t="s">
        <v>6748</v>
      </c>
      <c r="D1827" s="45" t="s">
        <v>6710</v>
      </c>
      <c r="E1827" s="44" t="s">
        <v>6855</v>
      </c>
      <c r="F1827" s="37">
        <v>1</v>
      </c>
      <c r="G1827" s="37" t="s">
        <v>6864</v>
      </c>
      <c r="H1827" s="63">
        <v>2902.9</v>
      </c>
    </row>
    <row r="1828" spans="1:8" ht="24.75" customHeight="1">
      <c r="A1828" s="44" t="s">
        <v>416</v>
      </c>
      <c r="B1828" s="45" t="s">
        <v>3509</v>
      </c>
      <c r="C1828" s="45" t="s">
        <v>6748</v>
      </c>
      <c r="D1828" s="45" t="s">
        <v>6710</v>
      </c>
      <c r="E1828" s="44" t="s">
        <v>6855</v>
      </c>
      <c r="F1828" s="37">
        <v>1</v>
      </c>
      <c r="G1828" s="37" t="s">
        <v>6864</v>
      </c>
      <c r="H1828" s="63">
        <v>2945.8</v>
      </c>
    </row>
    <row r="1829" spans="1:8" ht="24.75" customHeight="1">
      <c r="A1829" s="44" t="s">
        <v>1897</v>
      </c>
      <c r="B1829" s="45" t="s">
        <v>3520</v>
      </c>
      <c r="C1829" s="45" t="s">
        <v>6748</v>
      </c>
      <c r="D1829" s="45" t="s">
        <v>6710</v>
      </c>
      <c r="E1829" s="44" t="s">
        <v>6855</v>
      </c>
      <c r="F1829" s="37">
        <v>1</v>
      </c>
      <c r="G1829" s="37" t="s">
        <v>6864</v>
      </c>
      <c r="H1829" s="63">
        <v>2631.2</v>
      </c>
    </row>
    <row r="1830" spans="1:8" ht="24.75" customHeight="1">
      <c r="A1830" s="44" t="s">
        <v>211</v>
      </c>
      <c r="B1830" s="45" t="s">
        <v>3524</v>
      </c>
      <c r="C1830" s="45" t="s">
        <v>6748</v>
      </c>
      <c r="D1830" s="45" t="s">
        <v>6710</v>
      </c>
      <c r="E1830" s="44" t="s">
        <v>6855</v>
      </c>
      <c r="F1830" s="37">
        <v>1</v>
      </c>
      <c r="G1830" s="37" t="s">
        <v>6864</v>
      </c>
      <c r="H1830" s="63">
        <v>3074.5</v>
      </c>
    </row>
    <row r="1831" spans="1:8" ht="24.75" customHeight="1">
      <c r="A1831" s="44" t="s">
        <v>210</v>
      </c>
      <c r="B1831" s="45" t="s">
        <v>3523</v>
      </c>
      <c r="C1831" s="45" t="s">
        <v>6748</v>
      </c>
      <c r="D1831" s="45" t="s">
        <v>6710</v>
      </c>
      <c r="E1831" s="44" t="s">
        <v>6855</v>
      </c>
      <c r="F1831" s="37">
        <v>1</v>
      </c>
      <c r="G1831" s="37" t="s">
        <v>6864</v>
      </c>
      <c r="H1831" s="63">
        <v>2845.7</v>
      </c>
    </row>
    <row r="1832" spans="1:8" ht="24.75" customHeight="1">
      <c r="A1832" s="44" t="s">
        <v>209</v>
      </c>
      <c r="B1832" s="45" t="s">
        <v>3518</v>
      </c>
      <c r="C1832" s="45" t="s">
        <v>6748</v>
      </c>
      <c r="D1832" s="45" t="s">
        <v>6710</v>
      </c>
      <c r="E1832" s="44" t="s">
        <v>6855</v>
      </c>
      <c r="F1832" s="37">
        <v>1</v>
      </c>
      <c r="G1832" s="37" t="s">
        <v>6864</v>
      </c>
      <c r="H1832" s="63">
        <v>2845.7</v>
      </c>
    </row>
    <row r="1833" spans="1:8" ht="24.75" customHeight="1">
      <c r="A1833" s="44" t="s">
        <v>214</v>
      </c>
      <c r="B1833" s="45" t="s">
        <v>3527</v>
      </c>
      <c r="C1833" s="45" t="s">
        <v>6748</v>
      </c>
      <c r="D1833" s="45" t="s">
        <v>6710</v>
      </c>
      <c r="E1833" s="44" t="s">
        <v>6855</v>
      </c>
      <c r="F1833" s="37">
        <v>1</v>
      </c>
      <c r="G1833" s="37" t="s">
        <v>6864</v>
      </c>
      <c r="H1833" s="63">
        <v>2845.7</v>
      </c>
    </row>
    <row r="1834" spans="1:8" ht="24.75" customHeight="1">
      <c r="A1834" s="44" t="s">
        <v>415</v>
      </c>
      <c r="B1834" s="45" t="s">
        <v>3508</v>
      </c>
      <c r="C1834" s="45" t="s">
        <v>6748</v>
      </c>
      <c r="D1834" s="45" t="s">
        <v>6710</v>
      </c>
      <c r="E1834" s="44" t="s">
        <v>6855</v>
      </c>
      <c r="F1834" s="37">
        <v>1</v>
      </c>
      <c r="G1834" s="37" t="s">
        <v>6864</v>
      </c>
      <c r="H1834" s="63">
        <v>2902.9</v>
      </c>
    </row>
    <row r="1835" spans="1:8" ht="24.75" customHeight="1">
      <c r="A1835" s="44" t="s">
        <v>213</v>
      </c>
      <c r="B1835" s="45" t="s">
        <v>3526</v>
      </c>
      <c r="C1835" s="45" t="s">
        <v>6748</v>
      </c>
      <c r="D1835" s="45" t="s">
        <v>6710</v>
      </c>
      <c r="E1835" s="44" t="s">
        <v>6855</v>
      </c>
      <c r="F1835" s="37">
        <v>1</v>
      </c>
      <c r="G1835" s="37" t="s">
        <v>6864</v>
      </c>
      <c r="H1835" s="63">
        <v>2945.8</v>
      </c>
    </row>
    <row r="1836" spans="1:8" ht="24.75" customHeight="1">
      <c r="A1836" s="44" t="s">
        <v>212</v>
      </c>
      <c r="B1836" s="45" t="s">
        <v>3525</v>
      </c>
      <c r="C1836" s="45" t="s">
        <v>6748</v>
      </c>
      <c r="D1836" s="45" t="s">
        <v>6710</v>
      </c>
      <c r="E1836" s="44" t="s">
        <v>6855</v>
      </c>
      <c r="F1836" s="37">
        <v>1</v>
      </c>
      <c r="G1836" s="37" t="s">
        <v>6864</v>
      </c>
      <c r="H1836" s="63">
        <v>3003</v>
      </c>
    </row>
    <row r="1837" spans="1:8" ht="24.75" customHeight="1">
      <c r="A1837" s="44" t="s">
        <v>206</v>
      </c>
      <c r="B1837" s="45" t="s">
        <v>3515</v>
      </c>
      <c r="C1837" s="45" t="s">
        <v>6748</v>
      </c>
      <c r="D1837" s="45" t="s">
        <v>6710</v>
      </c>
      <c r="E1837" s="44" t="s">
        <v>6855</v>
      </c>
      <c r="F1837" s="37">
        <v>1</v>
      </c>
      <c r="G1837" s="37" t="s">
        <v>6864</v>
      </c>
      <c r="H1837" s="63">
        <v>2574</v>
      </c>
    </row>
    <row r="1838" spans="1:8" ht="24.75" customHeight="1">
      <c r="A1838" s="44" t="s">
        <v>207</v>
      </c>
      <c r="B1838" s="45" t="s">
        <v>3516</v>
      </c>
      <c r="C1838" s="45" t="s">
        <v>6748</v>
      </c>
      <c r="D1838" s="45" t="s">
        <v>6710</v>
      </c>
      <c r="E1838" s="44" t="s">
        <v>6855</v>
      </c>
      <c r="F1838" s="37">
        <v>1</v>
      </c>
      <c r="G1838" s="37" t="s">
        <v>6864</v>
      </c>
      <c r="H1838" s="63">
        <v>2974.4</v>
      </c>
    </row>
    <row r="1839" spans="1:8" ht="24.75" customHeight="1">
      <c r="A1839" s="44" t="s">
        <v>208</v>
      </c>
      <c r="B1839" s="45" t="s">
        <v>3517</v>
      </c>
      <c r="C1839" s="45" t="s">
        <v>6748</v>
      </c>
      <c r="D1839" s="45" t="s">
        <v>6710</v>
      </c>
      <c r="E1839" s="44" t="s">
        <v>6855</v>
      </c>
      <c r="F1839" s="37">
        <v>1</v>
      </c>
      <c r="G1839" s="37" t="s">
        <v>6864</v>
      </c>
      <c r="H1839" s="63">
        <v>3003</v>
      </c>
    </row>
    <row r="1840" spans="1:8" ht="24.75" customHeight="1">
      <c r="A1840" s="44" t="s">
        <v>413</v>
      </c>
      <c r="B1840" s="45" t="s">
        <v>3506</v>
      </c>
      <c r="C1840" s="45" t="s">
        <v>6748</v>
      </c>
      <c r="D1840" s="45" t="s">
        <v>6710</v>
      </c>
      <c r="E1840" s="44" t="s">
        <v>6855</v>
      </c>
      <c r="F1840" s="37">
        <v>1</v>
      </c>
      <c r="G1840" s="37" t="s">
        <v>6864</v>
      </c>
      <c r="H1840" s="63">
        <v>2845.7</v>
      </c>
    </row>
    <row r="1841" spans="1:8" ht="24.75" customHeight="1">
      <c r="A1841" s="44" t="s">
        <v>2602</v>
      </c>
      <c r="B1841" s="45" t="s">
        <v>3522</v>
      </c>
      <c r="C1841" s="45" t="s">
        <v>6748</v>
      </c>
      <c r="D1841" s="45" t="s">
        <v>6710</v>
      </c>
      <c r="E1841" s="44" t="s">
        <v>6855</v>
      </c>
      <c r="F1841" s="37">
        <v>1</v>
      </c>
      <c r="G1841" s="37" t="s">
        <v>6864</v>
      </c>
      <c r="H1841" s="63">
        <v>3274.7</v>
      </c>
    </row>
    <row r="1842" spans="1:8" ht="24.75" customHeight="1">
      <c r="A1842" s="44" t="s">
        <v>418</v>
      </c>
      <c r="B1842" s="45" t="s">
        <v>3511</v>
      </c>
      <c r="C1842" s="45" t="s">
        <v>6748</v>
      </c>
      <c r="D1842" s="45" t="s">
        <v>6710</v>
      </c>
      <c r="E1842" s="44" t="s">
        <v>6855</v>
      </c>
      <c r="F1842" s="37">
        <v>1</v>
      </c>
      <c r="G1842" s="37" t="s">
        <v>6864</v>
      </c>
      <c r="H1842" s="63">
        <v>2802.8</v>
      </c>
    </row>
    <row r="1843" spans="1:8" ht="24.75" customHeight="1">
      <c r="A1843" s="44" t="s">
        <v>419</v>
      </c>
      <c r="B1843" s="45" t="s">
        <v>3512</v>
      </c>
      <c r="C1843" s="45" t="s">
        <v>6748</v>
      </c>
      <c r="D1843" s="45" t="s">
        <v>6710</v>
      </c>
      <c r="E1843" s="44" t="s">
        <v>6855</v>
      </c>
      <c r="F1843" s="37">
        <v>1</v>
      </c>
      <c r="G1843" s="37" t="s">
        <v>6864</v>
      </c>
      <c r="H1843" s="63">
        <v>2902.9</v>
      </c>
    </row>
    <row r="1844" spans="1:8" ht="24.75" customHeight="1">
      <c r="A1844" s="44" t="s">
        <v>654</v>
      </c>
      <c r="B1844" s="45" t="s">
        <v>3528</v>
      </c>
      <c r="C1844" s="45" t="s">
        <v>6748</v>
      </c>
      <c r="D1844" s="45" t="s">
        <v>6710</v>
      </c>
      <c r="E1844" s="44" t="s">
        <v>6855</v>
      </c>
      <c r="F1844" s="37">
        <v>1</v>
      </c>
      <c r="G1844" s="37" t="s">
        <v>6864</v>
      </c>
      <c r="H1844" s="63">
        <v>3003</v>
      </c>
    </row>
    <row r="1845" spans="1:8" ht="24.75" customHeight="1">
      <c r="A1845" s="44" t="s">
        <v>2599</v>
      </c>
      <c r="B1845" s="45" t="s">
        <v>3534</v>
      </c>
      <c r="C1845" s="45" t="s">
        <v>6748</v>
      </c>
      <c r="D1845" s="45" t="s">
        <v>6710</v>
      </c>
      <c r="E1845" s="44" t="s">
        <v>6855</v>
      </c>
      <c r="F1845" s="37">
        <v>1</v>
      </c>
      <c r="G1845" s="37" t="s">
        <v>6864</v>
      </c>
      <c r="H1845" s="63">
        <v>3003</v>
      </c>
    </row>
    <row r="1846" spans="1:8" ht="24.75" customHeight="1">
      <c r="A1846" s="44" t="s">
        <v>655</v>
      </c>
      <c r="B1846" s="45" t="s">
        <v>3529</v>
      </c>
      <c r="C1846" s="45" t="s">
        <v>6748</v>
      </c>
      <c r="D1846" s="45" t="s">
        <v>6710</v>
      </c>
      <c r="E1846" s="44" t="s">
        <v>6855</v>
      </c>
      <c r="F1846" s="37">
        <v>1</v>
      </c>
      <c r="G1846" s="37" t="s">
        <v>6864</v>
      </c>
      <c r="H1846" s="63">
        <v>2473.9</v>
      </c>
    </row>
    <row r="1847" spans="1:8" ht="24.75" customHeight="1">
      <c r="A1847" s="44" t="s">
        <v>656</v>
      </c>
      <c r="B1847" s="45" t="s">
        <v>3530</v>
      </c>
      <c r="C1847" s="45" t="s">
        <v>6748</v>
      </c>
      <c r="D1847" s="45" t="s">
        <v>6710</v>
      </c>
      <c r="E1847" s="44" t="s">
        <v>6855</v>
      </c>
      <c r="F1847" s="37">
        <v>1</v>
      </c>
      <c r="G1847" s="37" t="s">
        <v>6864</v>
      </c>
      <c r="H1847" s="63">
        <v>3074.5</v>
      </c>
    </row>
    <row r="1848" spans="1:8" ht="24.75" customHeight="1">
      <c r="A1848" s="44" t="s">
        <v>564</v>
      </c>
      <c r="B1848" s="45" t="s">
        <v>3538</v>
      </c>
      <c r="C1848" s="45" t="s">
        <v>6748</v>
      </c>
      <c r="D1848" s="45" t="s">
        <v>6710</v>
      </c>
      <c r="E1848" s="44" t="s">
        <v>6839</v>
      </c>
      <c r="F1848" s="37">
        <v>1</v>
      </c>
      <c r="G1848" s="37" t="s">
        <v>6864</v>
      </c>
      <c r="H1848" s="63">
        <v>2931.5</v>
      </c>
    </row>
    <row r="1849" spans="1:8" ht="24.75" customHeight="1">
      <c r="A1849" s="44" t="s">
        <v>2888</v>
      </c>
      <c r="B1849" s="45" t="s">
        <v>3533</v>
      </c>
      <c r="C1849" s="45" t="s">
        <v>6748</v>
      </c>
      <c r="D1849" s="45" t="s">
        <v>6710</v>
      </c>
      <c r="E1849" s="44" t="s">
        <v>6855</v>
      </c>
      <c r="F1849" s="37">
        <v>1</v>
      </c>
      <c r="G1849" s="37" t="s">
        <v>6864</v>
      </c>
      <c r="H1849" s="63">
        <v>3131.7</v>
      </c>
    </row>
    <row r="1850" spans="1:8" ht="24.75" customHeight="1">
      <c r="A1850" s="44" t="s">
        <v>2162</v>
      </c>
      <c r="B1850" s="45" t="s">
        <v>5893</v>
      </c>
      <c r="C1850" s="45" t="s">
        <v>6748</v>
      </c>
      <c r="D1850" s="45" t="s">
        <v>6710</v>
      </c>
      <c r="E1850" s="44" t="s">
        <v>6855</v>
      </c>
      <c r="F1850" s="37">
        <v>1</v>
      </c>
      <c r="G1850" s="37" t="s">
        <v>6864</v>
      </c>
      <c r="H1850" s="63">
        <v>3374.8</v>
      </c>
    </row>
    <row r="1851" spans="1:8" ht="24.75" customHeight="1">
      <c r="A1851" s="44" t="s">
        <v>27</v>
      </c>
      <c r="B1851" s="45" t="s">
        <v>3532</v>
      </c>
      <c r="C1851" s="45" t="s">
        <v>6748</v>
      </c>
      <c r="D1851" s="45" t="s">
        <v>6710</v>
      </c>
      <c r="E1851" s="44" t="s">
        <v>6855</v>
      </c>
      <c r="F1851" s="37">
        <v>1</v>
      </c>
      <c r="G1851" s="37" t="s">
        <v>6864</v>
      </c>
      <c r="H1851" s="63">
        <v>3274.7</v>
      </c>
    </row>
    <row r="1852" spans="1:8" ht="24.75" customHeight="1">
      <c r="A1852" s="44" t="s">
        <v>1896</v>
      </c>
      <c r="B1852" s="45" t="s">
        <v>3519</v>
      </c>
      <c r="C1852" s="45" t="s">
        <v>6748</v>
      </c>
      <c r="D1852" s="45" t="s">
        <v>6710</v>
      </c>
      <c r="E1852" s="44" t="s">
        <v>6855</v>
      </c>
      <c r="F1852" s="37">
        <v>1</v>
      </c>
      <c r="G1852" s="37" t="s">
        <v>6864</v>
      </c>
      <c r="H1852" s="63">
        <v>3274.7</v>
      </c>
    </row>
    <row r="1853" spans="1:8" ht="24.75" customHeight="1">
      <c r="A1853" s="44" t="s">
        <v>2600</v>
      </c>
      <c r="B1853" s="45" t="s">
        <v>3535</v>
      </c>
      <c r="C1853" s="45" t="s">
        <v>6748</v>
      </c>
      <c r="D1853" s="45" t="s">
        <v>6710</v>
      </c>
      <c r="E1853" s="44" t="s">
        <v>6855</v>
      </c>
      <c r="F1853" s="37">
        <v>1</v>
      </c>
      <c r="G1853" s="37" t="s">
        <v>6864</v>
      </c>
      <c r="H1853" s="63">
        <v>3231.8</v>
      </c>
    </row>
    <row r="1854" spans="1:8" ht="24.75" customHeight="1">
      <c r="A1854" s="44" t="s">
        <v>1068</v>
      </c>
      <c r="B1854" s="45" t="s">
        <v>3536</v>
      </c>
      <c r="C1854" s="45" t="s">
        <v>6748</v>
      </c>
      <c r="D1854" s="45" t="s">
        <v>6710</v>
      </c>
      <c r="E1854" s="44" t="s">
        <v>6855</v>
      </c>
      <c r="F1854" s="37">
        <v>1</v>
      </c>
      <c r="G1854" s="37" t="s">
        <v>6864</v>
      </c>
      <c r="H1854" s="63">
        <v>2902.9</v>
      </c>
    </row>
    <row r="1855" spans="1:8" ht="24.75" customHeight="1">
      <c r="A1855" s="44" t="s">
        <v>657</v>
      </c>
      <c r="B1855" s="45" t="s">
        <v>3531</v>
      </c>
      <c r="C1855" s="45" t="s">
        <v>6748</v>
      </c>
      <c r="D1855" s="45" t="s">
        <v>6710</v>
      </c>
      <c r="E1855" s="44" t="s">
        <v>6855</v>
      </c>
      <c r="F1855" s="37">
        <v>1</v>
      </c>
      <c r="G1855" s="37" t="s">
        <v>6864</v>
      </c>
      <c r="H1855" s="63">
        <v>3131.7</v>
      </c>
    </row>
    <row r="1856" spans="1:8" ht="24.75" customHeight="1">
      <c r="A1856" s="44" t="s">
        <v>1063</v>
      </c>
      <c r="B1856" s="45" t="s">
        <v>5193</v>
      </c>
      <c r="C1856" s="45" t="s">
        <v>6748</v>
      </c>
      <c r="D1856" s="45" t="s">
        <v>6710</v>
      </c>
      <c r="E1856" s="44" t="s">
        <v>6839</v>
      </c>
      <c r="F1856" s="37">
        <v>10</v>
      </c>
      <c r="G1856" s="37" t="s">
        <v>2568</v>
      </c>
      <c r="H1856" s="63">
        <v>2516.8000000000002</v>
      </c>
    </row>
    <row r="1857" spans="1:8" ht="24.75" customHeight="1">
      <c r="A1857" s="44" t="s">
        <v>767</v>
      </c>
      <c r="B1857" s="45" t="s">
        <v>6039</v>
      </c>
      <c r="C1857" s="45" t="s">
        <v>6748</v>
      </c>
      <c r="D1857" s="45" t="s">
        <v>6710</v>
      </c>
      <c r="E1857" s="44"/>
      <c r="F1857" s="37">
        <v>10</v>
      </c>
      <c r="G1857" s="37" t="s">
        <v>6864</v>
      </c>
      <c r="H1857" s="63">
        <v>1501.5</v>
      </c>
    </row>
    <row r="1858" spans="1:8" ht="24.75" customHeight="1">
      <c r="A1858" s="44" t="s">
        <v>1169</v>
      </c>
      <c r="B1858" s="45" t="s">
        <v>5145</v>
      </c>
      <c r="C1858" s="45" t="s">
        <v>6748</v>
      </c>
      <c r="D1858" s="45" t="s">
        <v>6753</v>
      </c>
      <c r="E1858" s="44"/>
      <c r="F1858" s="37">
        <v>1</v>
      </c>
      <c r="G1858" s="37" t="s">
        <v>6864</v>
      </c>
      <c r="H1858" s="63">
        <v>6563.7</v>
      </c>
    </row>
    <row r="1859" spans="1:8" ht="24.75" customHeight="1">
      <c r="A1859" s="44" t="s">
        <v>1139</v>
      </c>
      <c r="B1859" s="45" t="s">
        <v>5610</v>
      </c>
      <c r="C1859" s="45" t="s">
        <v>6748</v>
      </c>
      <c r="D1859" s="45" t="s">
        <v>6753</v>
      </c>
      <c r="E1859" s="44"/>
      <c r="F1859" s="37">
        <v>1</v>
      </c>
      <c r="G1859" s="37" t="s">
        <v>6864</v>
      </c>
      <c r="H1859" s="63">
        <v>9180.6</v>
      </c>
    </row>
    <row r="1860" spans="1:8" ht="24.75" customHeight="1">
      <c r="A1860" s="44" t="s">
        <v>2813</v>
      </c>
      <c r="B1860" s="45" t="s">
        <v>5812</v>
      </c>
      <c r="C1860" s="45" t="s">
        <v>6748</v>
      </c>
      <c r="D1860" s="45" t="s">
        <v>6753</v>
      </c>
      <c r="E1860" s="44"/>
      <c r="F1860" s="37">
        <v>1</v>
      </c>
      <c r="G1860" s="37" t="s">
        <v>6864</v>
      </c>
      <c r="H1860" s="63">
        <v>14929.2</v>
      </c>
    </row>
    <row r="1861" spans="1:8" ht="24.75" customHeight="1">
      <c r="A1861" s="44" t="s">
        <v>2180</v>
      </c>
      <c r="B1861" s="45" t="s">
        <v>5574</v>
      </c>
      <c r="C1861" s="45" t="s">
        <v>6748</v>
      </c>
      <c r="D1861" s="45" t="s">
        <v>6753</v>
      </c>
      <c r="E1861" s="44"/>
      <c r="F1861" s="37">
        <v>1</v>
      </c>
      <c r="G1861" s="37" t="s">
        <v>6864</v>
      </c>
      <c r="H1861" s="63">
        <v>35978.800000000003</v>
      </c>
    </row>
    <row r="1862" spans="1:8" ht="24.75" customHeight="1">
      <c r="A1862" s="44" t="s">
        <v>2457</v>
      </c>
      <c r="B1862" s="45" t="s">
        <v>4839</v>
      </c>
      <c r="C1862" s="45" t="s">
        <v>6748</v>
      </c>
      <c r="D1862" s="45" t="s">
        <v>6753</v>
      </c>
      <c r="E1862" s="44"/>
      <c r="F1862" s="37">
        <v>1</v>
      </c>
      <c r="G1862" s="37" t="s">
        <v>6864</v>
      </c>
      <c r="H1862" s="63">
        <v>10667.8</v>
      </c>
    </row>
    <row r="1863" spans="1:8" ht="24.75" customHeight="1">
      <c r="A1863" s="44" t="s">
        <v>1473</v>
      </c>
      <c r="B1863" s="45" t="s">
        <v>5041</v>
      </c>
      <c r="C1863" s="45" t="s">
        <v>6748</v>
      </c>
      <c r="D1863" s="45" t="s">
        <v>6753</v>
      </c>
      <c r="E1863" s="44"/>
      <c r="F1863" s="37">
        <v>1</v>
      </c>
      <c r="G1863" s="37" t="s">
        <v>6864</v>
      </c>
      <c r="H1863" s="63">
        <v>31088.2</v>
      </c>
    </row>
    <row r="1864" spans="1:8" ht="24.75" customHeight="1">
      <c r="A1864" s="44" t="s">
        <v>1483</v>
      </c>
      <c r="B1864" s="45" t="s">
        <v>6026</v>
      </c>
      <c r="C1864" s="45" t="s">
        <v>6748</v>
      </c>
      <c r="D1864" s="45" t="s">
        <v>6753</v>
      </c>
      <c r="E1864" s="44"/>
      <c r="F1864" s="37">
        <v>1</v>
      </c>
      <c r="G1864" s="37" t="s">
        <v>6864</v>
      </c>
      <c r="H1864" s="63">
        <v>12655.5</v>
      </c>
    </row>
    <row r="1865" spans="1:8" ht="24.75" customHeight="1">
      <c r="A1865" s="44" t="s">
        <v>424</v>
      </c>
      <c r="B1865" s="45" t="s">
        <v>5203</v>
      </c>
      <c r="C1865" s="45" t="s">
        <v>6748</v>
      </c>
      <c r="D1865" s="45" t="s">
        <v>6753</v>
      </c>
      <c r="E1865" s="44"/>
      <c r="F1865" s="37">
        <v>5</v>
      </c>
      <c r="G1865" s="37" t="s">
        <v>6864</v>
      </c>
      <c r="H1865" s="63">
        <v>1158.3</v>
      </c>
    </row>
    <row r="1866" spans="1:8" ht="24.75" customHeight="1">
      <c r="A1866" s="44" t="s">
        <v>2349</v>
      </c>
      <c r="B1866" s="45" t="s">
        <v>4805</v>
      </c>
      <c r="C1866" s="45" t="s">
        <v>6748</v>
      </c>
      <c r="D1866" s="45" t="s">
        <v>6753</v>
      </c>
      <c r="E1866" s="44"/>
      <c r="F1866" s="37">
        <v>1</v>
      </c>
      <c r="G1866" s="37" t="s">
        <v>6864</v>
      </c>
      <c r="H1866" s="63">
        <v>3074.5</v>
      </c>
    </row>
    <row r="1867" spans="1:8" ht="24.75" customHeight="1">
      <c r="A1867" s="44" t="s">
        <v>2268</v>
      </c>
      <c r="B1867" s="45" t="s">
        <v>5588</v>
      </c>
      <c r="C1867" s="45" t="s">
        <v>6748</v>
      </c>
      <c r="D1867" s="45" t="s">
        <v>6753</v>
      </c>
      <c r="E1867" s="44"/>
      <c r="F1867" s="37">
        <v>5</v>
      </c>
      <c r="G1867" s="37" t="s">
        <v>6864</v>
      </c>
      <c r="H1867" s="63">
        <v>6091.8</v>
      </c>
    </row>
    <row r="1868" spans="1:8" ht="24.75" customHeight="1">
      <c r="A1868" s="44" t="s">
        <v>2347</v>
      </c>
      <c r="B1868" s="45" t="s">
        <v>4804</v>
      </c>
      <c r="C1868" s="45" t="s">
        <v>6748</v>
      </c>
      <c r="D1868" s="45" t="s">
        <v>6754</v>
      </c>
      <c r="E1868" s="44"/>
      <c r="F1868" s="37">
        <v>1</v>
      </c>
      <c r="G1868" s="37" t="s">
        <v>6864</v>
      </c>
      <c r="H1868" s="63">
        <v>6063.2</v>
      </c>
    </row>
    <row r="1869" spans="1:8" ht="24.75" customHeight="1">
      <c r="A1869" s="44" t="s">
        <v>1844</v>
      </c>
      <c r="B1869" s="45" t="s">
        <v>5262</v>
      </c>
      <c r="C1869" s="45" t="s">
        <v>6748</v>
      </c>
      <c r="D1869" s="45" t="s">
        <v>6754</v>
      </c>
      <c r="E1869" s="44"/>
      <c r="F1869" s="37">
        <v>1</v>
      </c>
      <c r="G1869" s="37" t="s">
        <v>6864</v>
      </c>
      <c r="H1869" s="63">
        <v>6921.2</v>
      </c>
    </row>
    <row r="1870" spans="1:8" ht="24.75" customHeight="1">
      <c r="A1870" s="44" t="s">
        <v>1862</v>
      </c>
      <c r="B1870" s="45" t="s">
        <v>5279</v>
      </c>
      <c r="C1870" s="45" t="s">
        <v>6748</v>
      </c>
      <c r="D1870" s="45" t="s">
        <v>6754</v>
      </c>
      <c r="E1870" s="44"/>
      <c r="F1870" s="37">
        <v>1</v>
      </c>
      <c r="G1870" s="37" t="s">
        <v>6864</v>
      </c>
      <c r="H1870" s="63">
        <v>7493.2</v>
      </c>
    </row>
    <row r="1871" spans="1:8" ht="24.75" customHeight="1">
      <c r="A1871" s="44" t="s">
        <v>1630</v>
      </c>
      <c r="B1871" s="45" t="s">
        <v>5526</v>
      </c>
      <c r="C1871" s="45" t="s">
        <v>6748</v>
      </c>
      <c r="D1871" s="45" t="s">
        <v>6754</v>
      </c>
      <c r="E1871" s="44" t="s">
        <v>6839</v>
      </c>
      <c r="F1871" s="37">
        <v>1</v>
      </c>
      <c r="G1871" s="37" t="s">
        <v>6864</v>
      </c>
      <c r="H1871" s="63">
        <v>3203.2</v>
      </c>
    </row>
    <row r="1872" spans="1:8" ht="24.75" customHeight="1">
      <c r="A1872" s="44" t="s">
        <v>2507</v>
      </c>
      <c r="B1872" s="45" t="s">
        <v>5547</v>
      </c>
      <c r="C1872" s="45" t="s">
        <v>6748</v>
      </c>
      <c r="D1872" s="45" t="s">
        <v>6754</v>
      </c>
      <c r="E1872" s="44"/>
      <c r="F1872" s="37">
        <v>1</v>
      </c>
      <c r="G1872" s="37" t="s">
        <v>6864</v>
      </c>
      <c r="H1872" s="63">
        <v>8708.7000000000007</v>
      </c>
    </row>
    <row r="1873" spans="1:8" ht="24.75" customHeight="1">
      <c r="A1873" s="44" t="s">
        <v>2032</v>
      </c>
      <c r="B1873" s="45" t="s">
        <v>4944</v>
      </c>
      <c r="C1873" s="45" t="s">
        <v>6748</v>
      </c>
      <c r="D1873" s="45" t="s">
        <v>6754</v>
      </c>
      <c r="E1873" s="44"/>
      <c r="F1873" s="37">
        <v>1</v>
      </c>
      <c r="G1873" s="37" t="s">
        <v>6864</v>
      </c>
      <c r="H1873" s="63">
        <v>4318.6000000000004</v>
      </c>
    </row>
    <row r="1874" spans="1:8" ht="24.75" customHeight="1">
      <c r="A1874" s="44" t="s">
        <v>2031</v>
      </c>
      <c r="B1874" s="45" t="s">
        <v>4943</v>
      </c>
      <c r="C1874" s="45" t="s">
        <v>6748</v>
      </c>
      <c r="D1874" s="45" t="s">
        <v>6754</v>
      </c>
      <c r="E1874" s="44"/>
      <c r="F1874" s="37">
        <v>1</v>
      </c>
      <c r="G1874" s="37" t="s">
        <v>6864</v>
      </c>
      <c r="H1874" s="63">
        <v>7493.2</v>
      </c>
    </row>
    <row r="1875" spans="1:8" ht="24.75" customHeight="1">
      <c r="A1875" s="44" t="s">
        <v>1421</v>
      </c>
      <c r="B1875" s="45" t="s">
        <v>4975</v>
      </c>
      <c r="C1875" s="45" t="s">
        <v>6748</v>
      </c>
      <c r="D1875" s="45" t="s">
        <v>6754</v>
      </c>
      <c r="E1875" s="44"/>
      <c r="F1875" s="37">
        <v>1</v>
      </c>
      <c r="G1875" s="37" t="s">
        <v>6864</v>
      </c>
      <c r="H1875" s="63">
        <v>8494.2000000000007</v>
      </c>
    </row>
    <row r="1876" spans="1:8" ht="24.75" customHeight="1">
      <c r="A1876" s="44" t="s">
        <v>791</v>
      </c>
      <c r="B1876" s="45" t="s">
        <v>6012</v>
      </c>
      <c r="C1876" s="45" t="s">
        <v>6748</v>
      </c>
      <c r="D1876" s="45" t="s">
        <v>6754</v>
      </c>
      <c r="E1876" s="44" t="s">
        <v>6839</v>
      </c>
      <c r="F1876" s="37">
        <v>1</v>
      </c>
      <c r="G1876" s="37" t="s">
        <v>6864</v>
      </c>
      <c r="H1876" s="63">
        <v>3088.8</v>
      </c>
    </row>
    <row r="1877" spans="1:8" ht="24.75" customHeight="1">
      <c r="A1877" s="44" t="s">
        <v>2235</v>
      </c>
      <c r="B1877" s="45" t="s">
        <v>5551</v>
      </c>
      <c r="C1877" s="45" t="s">
        <v>6748</v>
      </c>
      <c r="D1877" s="45" t="s">
        <v>6755</v>
      </c>
      <c r="E1877" s="44"/>
      <c r="F1877" s="37">
        <v>1</v>
      </c>
      <c r="G1877" s="37" t="s">
        <v>6864</v>
      </c>
      <c r="H1877" s="63">
        <v>4147</v>
      </c>
    </row>
    <row r="1878" spans="1:8" ht="24.75" customHeight="1">
      <c r="A1878" s="44" t="s">
        <v>3116</v>
      </c>
      <c r="B1878" s="45" t="s">
        <v>5361</v>
      </c>
      <c r="C1878" s="45" t="s">
        <v>6748</v>
      </c>
      <c r="D1878" s="45" t="s">
        <v>6755</v>
      </c>
      <c r="E1878" s="44"/>
      <c r="F1878" s="37">
        <v>1</v>
      </c>
      <c r="G1878" s="37" t="s">
        <v>6864</v>
      </c>
      <c r="H1878" s="63">
        <v>4161.3</v>
      </c>
    </row>
    <row r="1879" spans="1:8" ht="24.75" customHeight="1">
      <c r="A1879" s="44" t="s">
        <v>981</v>
      </c>
      <c r="B1879" s="45" t="s">
        <v>5695</v>
      </c>
      <c r="C1879" s="45" t="s">
        <v>6748</v>
      </c>
      <c r="D1879" s="45" t="s">
        <v>6755</v>
      </c>
      <c r="E1879" s="44" t="s">
        <v>6839</v>
      </c>
      <c r="F1879" s="37">
        <v>1</v>
      </c>
      <c r="G1879" s="37" t="s">
        <v>6864</v>
      </c>
      <c r="H1879" s="63">
        <v>3188.9</v>
      </c>
    </row>
    <row r="1880" spans="1:8" ht="24.75" customHeight="1">
      <c r="A1880" s="44" t="s">
        <v>1580</v>
      </c>
      <c r="B1880" s="45" t="s">
        <v>5460</v>
      </c>
      <c r="C1880" s="45" t="s">
        <v>6748</v>
      </c>
      <c r="D1880" s="45" t="s">
        <v>6755</v>
      </c>
      <c r="E1880" s="44" t="s">
        <v>6839</v>
      </c>
      <c r="F1880" s="37">
        <v>1</v>
      </c>
      <c r="G1880" s="37" t="s">
        <v>6864</v>
      </c>
      <c r="H1880" s="63">
        <v>2974.4</v>
      </c>
    </row>
    <row r="1881" spans="1:8" ht="24.75" customHeight="1">
      <c r="A1881" s="44" t="s">
        <v>1419</v>
      </c>
      <c r="B1881" s="45" t="s">
        <v>4971</v>
      </c>
      <c r="C1881" s="45" t="s">
        <v>6748</v>
      </c>
      <c r="D1881" s="45" t="s">
        <v>6755</v>
      </c>
      <c r="E1881" s="44"/>
      <c r="F1881" s="37">
        <v>5</v>
      </c>
      <c r="G1881" s="37" t="s">
        <v>6864</v>
      </c>
      <c r="H1881" s="63">
        <v>3703.7</v>
      </c>
    </row>
    <row r="1882" spans="1:8" ht="24.75" customHeight="1">
      <c r="A1882" s="44" t="s">
        <v>1380</v>
      </c>
      <c r="B1882" s="45" t="s">
        <v>6038</v>
      </c>
      <c r="C1882" s="45" t="s">
        <v>6748</v>
      </c>
      <c r="D1882" s="45" t="s">
        <v>6755</v>
      </c>
      <c r="E1882" s="44"/>
      <c r="F1882" s="37">
        <v>1</v>
      </c>
      <c r="G1882" s="37" t="s">
        <v>2568</v>
      </c>
      <c r="H1882" s="63">
        <v>4061.2</v>
      </c>
    </row>
    <row r="1883" spans="1:8" ht="24.75" customHeight="1">
      <c r="A1883" s="44" t="s">
        <v>896</v>
      </c>
      <c r="B1883" s="45" t="s">
        <v>5135</v>
      </c>
      <c r="C1883" s="45" t="s">
        <v>6748</v>
      </c>
      <c r="D1883" s="45" t="s">
        <v>6755</v>
      </c>
      <c r="E1883" s="44" t="s">
        <v>6839</v>
      </c>
      <c r="F1883" s="37">
        <v>1</v>
      </c>
      <c r="G1883" s="37" t="s">
        <v>6864</v>
      </c>
      <c r="H1883" s="63">
        <v>2974.4</v>
      </c>
    </row>
    <row r="1884" spans="1:8" ht="24.75" customHeight="1">
      <c r="A1884" s="44" t="s">
        <v>2807</v>
      </c>
      <c r="B1884" s="45" t="s">
        <v>5806</v>
      </c>
      <c r="C1884" s="45" t="s">
        <v>6748</v>
      </c>
      <c r="D1884" s="45" t="s">
        <v>6755</v>
      </c>
      <c r="E1884" s="44"/>
      <c r="F1884" s="37">
        <v>1</v>
      </c>
      <c r="G1884" s="37" t="s">
        <v>6864</v>
      </c>
      <c r="H1884" s="63">
        <v>4533.1000000000004</v>
      </c>
    </row>
    <row r="1885" spans="1:8" ht="24.75" customHeight="1">
      <c r="A1885" s="44" t="s">
        <v>184</v>
      </c>
      <c r="B1885" s="45" t="s">
        <v>3730</v>
      </c>
      <c r="C1885" s="45" t="s">
        <v>6748</v>
      </c>
      <c r="D1885" s="45" t="s">
        <v>6756</v>
      </c>
      <c r="E1885" s="44" t="s">
        <v>6839</v>
      </c>
      <c r="F1885" s="37">
        <v>1</v>
      </c>
      <c r="G1885" s="37" t="s">
        <v>6865</v>
      </c>
      <c r="H1885" s="63">
        <v>4576</v>
      </c>
    </row>
    <row r="1886" spans="1:8" ht="24.75" customHeight="1">
      <c r="A1886" s="44" t="s">
        <v>930</v>
      </c>
      <c r="B1886" s="45" t="s">
        <v>3729</v>
      </c>
      <c r="C1886" s="45" t="s">
        <v>6748</v>
      </c>
      <c r="D1886" s="45" t="s">
        <v>6756</v>
      </c>
      <c r="E1886" s="44" t="s">
        <v>6839</v>
      </c>
      <c r="F1886" s="37">
        <v>1</v>
      </c>
      <c r="G1886" s="37" t="s">
        <v>6865</v>
      </c>
      <c r="H1886" s="63">
        <v>4618.8999999999996</v>
      </c>
    </row>
    <row r="1887" spans="1:8" ht="24.75" customHeight="1">
      <c r="A1887" s="44" t="s">
        <v>107</v>
      </c>
      <c r="B1887" s="45" t="s">
        <v>3737</v>
      </c>
      <c r="C1887" s="45" t="s">
        <v>6748</v>
      </c>
      <c r="D1887" s="45" t="s">
        <v>6756</v>
      </c>
      <c r="E1887" s="44" t="s">
        <v>6839</v>
      </c>
      <c r="F1887" s="37">
        <v>1</v>
      </c>
      <c r="G1887" s="37" t="s">
        <v>6865</v>
      </c>
      <c r="H1887" s="63">
        <v>11897.6</v>
      </c>
    </row>
    <row r="1888" spans="1:8" ht="24.75" customHeight="1">
      <c r="A1888" s="44" t="s">
        <v>187</v>
      </c>
      <c r="B1888" s="45" t="s">
        <v>3733</v>
      </c>
      <c r="C1888" s="45" t="s">
        <v>6748</v>
      </c>
      <c r="D1888" s="45" t="s">
        <v>6756</v>
      </c>
      <c r="E1888" s="44" t="s">
        <v>6839</v>
      </c>
      <c r="F1888" s="37">
        <v>1</v>
      </c>
      <c r="G1888" s="37" t="s">
        <v>6865</v>
      </c>
      <c r="H1888" s="63">
        <v>5291</v>
      </c>
    </row>
    <row r="1889" spans="1:8" ht="24.75" customHeight="1">
      <c r="A1889" s="44" t="s">
        <v>189</v>
      </c>
      <c r="B1889" s="45" t="s">
        <v>3735</v>
      </c>
      <c r="C1889" s="45" t="s">
        <v>6748</v>
      </c>
      <c r="D1889" s="45" t="s">
        <v>6756</v>
      </c>
      <c r="E1889" s="44" t="s">
        <v>6839</v>
      </c>
      <c r="F1889" s="37">
        <v>1</v>
      </c>
      <c r="G1889" s="37" t="s">
        <v>6865</v>
      </c>
      <c r="H1889" s="63">
        <v>4962.1000000000004</v>
      </c>
    </row>
    <row r="1890" spans="1:8" ht="24.75" customHeight="1">
      <c r="A1890" s="44" t="s">
        <v>112</v>
      </c>
      <c r="B1890" s="45" t="s">
        <v>3742</v>
      </c>
      <c r="C1890" s="45" t="s">
        <v>6748</v>
      </c>
      <c r="D1890" s="45" t="s">
        <v>6756</v>
      </c>
      <c r="E1890" s="44" t="s">
        <v>6839</v>
      </c>
      <c r="F1890" s="37">
        <v>1</v>
      </c>
      <c r="G1890" s="37" t="s">
        <v>6865</v>
      </c>
      <c r="H1890" s="63">
        <v>5305.3</v>
      </c>
    </row>
    <row r="1891" spans="1:8" ht="24.75" customHeight="1">
      <c r="A1891" s="44" t="s">
        <v>111</v>
      </c>
      <c r="B1891" s="45" t="s">
        <v>3741</v>
      </c>
      <c r="C1891" s="45" t="s">
        <v>6748</v>
      </c>
      <c r="D1891" s="45" t="s">
        <v>6756</v>
      </c>
      <c r="E1891" s="44" t="s">
        <v>6839</v>
      </c>
      <c r="F1891" s="37">
        <v>1</v>
      </c>
      <c r="G1891" s="37" t="s">
        <v>6865</v>
      </c>
      <c r="H1891" s="63">
        <v>5491.2</v>
      </c>
    </row>
    <row r="1892" spans="1:8" ht="24.75" customHeight="1">
      <c r="A1892" s="44" t="s">
        <v>115</v>
      </c>
      <c r="B1892" s="45" t="s">
        <v>3752</v>
      </c>
      <c r="C1892" s="45" t="s">
        <v>6748</v>
      </c>
      <c r="D1892" s="45" t="s">
        <v>6756</v>
      </c>
      <c r="E1892" s="44" t="s">
        <v>6839</v>
      </c>
      <c r="F1892" s="37">
        <v>1</v>
      </c>
      <c r="G1892" s="37" t="s">
        <v>6865</v>
      </c>
      <c r="H1892" s="63">
        <v>4862</v>
      </c>
    </row>
    <row r="1893" spans="1:8" ht="24.75" customHeight="1">
      <c r="A1893" s="44" t="s">
        <v>113</v>
      </c>
      <c r="B1893" s="45" t="s">
        <v>3750</v>
      </c>
      <c r="C1893" s="45" t="s">
        <v>6748</v>
      </c>
      <c r="D1893" s="45" t="s">
        <v>6756</v>
      </c>
      <c r="E1893" s="44" t="s">
        <v>6839</v>
      </c>
      <c r="F1893" s="37">
        <v>1</v>
      </c>
      <c r="G1893" s="37" t="s">
        <v>6865</v>
      </c>
      <c r="H1893" s="63">
        <v>4690.3999999999996</v>
      </c>
    </row>
    <row r="1894" spans="1:8" ht="24.75" customHeight="1">
      <c r="A1894" s="44" t="s">
        <v>185</v>
      </c>
      <c r="B1894" s="45" t="s">
        <v>3731</v>
      </c>
      <c r="C1894" s="45" t="s">
        <v>6748</v>
      </c>
      <c r="D1894" s="45" t="s">
        <v>6756</v>
      </c>
      <c r="E1894" s="44" t="s">
        <v>6839</v>
      </c>
      <c r="F1894" s="37">
        <v>1</v>
      </c>
      <c r="G1894" s="37" t="s">
        <v>6865</v>
      </c>
      <c r="H1894" s="63">
        <v>4189.8999999999996</v>
      </c>
    </row>
    <row r="1895" spans="1:8" ht="24.75" customHeight="1">
      <c r="A1895" s="44" t="s">
        <v>2666</v>
      </c>
      <c r="B1895" s="45" t="s">
        <v>3749</v>
      </c>
      <c r="C1895" s="45" t="s">
        <v>6748</v>
      </c>
      <c r="D1895" s="45" t="s">
        <v>6756</v>
      </c>
      <c r="E1895" s="44" t="s">
        <v>6839</v>
      </c>
      <c r="F1895" s="37">
        <v>1</v>
      </c>
      <c r="G1895" s="37" t="s">
        <v>6865</v>
      </c>
      <c r="H1895" s="63">
        <v>8136.7</v>
      </c>
    </row>
    <row r="1896" spans="1:8" ht="24.75" customHeight="1">
      <c r="A1896" s="44" t="s">
        <v>109</v>
      </c>
      <c r="B1896" s="45" t="s">
        <v>3739</v>
      </c>
      <c r="C1896" s="45" t="s">
        <v>6748</v>
      </c>
      <c r="D1896" s="45" t="s">
        <v>6756</v>
      </c>
      <c r="E1896" s="44" t="s">
        <v>6839</v>
      </c>
      <c r="F1896" s="37">
        <v>1</v>
      </c>
      <c r="G1896" s="37" t="s">
        <v>6865</v>
      </c>
      <c r="H1896" s="63">
        <v>4862</v>
      </c>
    </row>
    <row r="1897" spans="1:8" ht="24.75" customHeight="1">
      <c r="A1897" s="44" t="s">
        <v>106</v>
      </c>
      <c r="B1897" s="45" t="s">
        <v>3736</v>
      </c>
      <c r="C1897" s="45" t="s">
        <v>6748</v>
      </c>
      <c r="D1897" s="45" t="s">
        <v>6756</v>
      </c>
      <c r="E1897" s="44" t="s">
        <v>6839</v>
      </c>
      <c r="F1897" s="37">
        <v>1</v>
      </c>
      <c r="G1897" s="37" t="s">
        <v>6865</v>
      </c>
      <c r="H1897" s="63">
        <v>11954.8</v>
      </c>
    </row>
    <row r="1898" spans="1:8" ht="24.75" customHeight="1">
      <c r="A1898" s="44" t="s">
        <v>108</v>
      </c>
      <c r="B1898" s="45" t="s">
        <v>3738</v>
      </c>
      <c r="C1898" s="45" t="s">
        <v>6748</v>
      </c>
      <c r="D1898" s="45" t="s">
        <v>6756</v>
      </c>
      <c r="E1898" s="44" t="s">
        <v>6839</v>
      </c>
      <c r="F1898" s="37">
        <v>1</v>
      </c>
      <c r="G1898" s="37" t="s">
        <v>6865</v>
      </c>
      <c r="H1898" s="63">
        <v>9023.2999999999993</v>
      </c>
    </row>
    <row r="1899" spans="1:8" ht="24.75" customHeight="1">
      <c r="A1899" s="44" t="s">
        <v>1623</v>
      </c>
      <c r="B1899" s="45" t="s">
        <v>3740</v>
      </c>
      <c r="C1899" s="45" t="s">
        <v>6748</v>
      </c>
      <c r="D1899" s="45" t="s">
        <v>6756</v>
      </c>
      <c r="E1899" s="44" t="s">
        <v>6839</v>
      </c>
      <c r="F1899" s="37">
        <v>1</v>
      </c>
      <c r="G1899" s="37" t="s">
        <v>6865</v>
      </c>
      <c r="H1899" s="63">
        <v>5305.3</v>
      </c>
    </row>
    <row r="1900" spans="1:8" ht="24.75" customHeight="1">
      <c r="A1900" s="44" t="s">
        <v>110</v>
      </c>
      <c r="B1900" s="45" t="s">
        <v>3740</v>
      </c>
      <c r="C1900" s="45" t="s">
        <v>6748</v>
      </c>
      <c r="D1900" s="45" t="s">
        <v>6756</v>
      </c>
      <c r="E1900" s="44" t="s">
        <v>6839</v>
      </c>
      <c r="F1900" s="37">
        <v>1</v>
      </c>
      <c r="G1900" s="37" t="s">
        <v>6865</v>
      </c>
      <c r="H1900" s="63">
        <v>5305.3</v>
      </c>
    </row>
    <row r="1901" spans="1:8" ht="24.75" customHeight="1">
      <c r="A1901" s="44" t="s">
        <v>1502</v>
      </c>
      <c r="B1901" s="45" t="s">
        <v>3753</v>
      </c>
      <c r="C1901" s="45" t="s">
        <v>6748</v>
      </c>
      <c r="D1901" s="45" t="s">
        <v>6756</v>
      </c>
      <c r="E1901" s="44" t="s">
        <v>6839</v>
      </c>
      <c r="F1901" s="37">
        <v>1</v>
      </c>
      <c r="G1901" s="37" t="s">
        <v>6865</v>
      </c>
      <c r="H1901" s="63">
        <v>4776.2</v>
      </c>
    </row>
    <row r="1902" spans="1:8" ht="24.75" customHeight="1">
      <c r="A1902" s="44" t="s">
        <v>186</v>
      </c>
      <c r="B1902" s="45" t="s">
        <v>3732</v>
      </c>
      <c r="C1902" s="45" t="s">
        <v>6748</v>
      </c>
      <c r="D1902" s="45" t="s">
        <v>6756</v>
      </c>
      <c r="E1902" s="44" t="s">
        <v>6839</v>
      </c>
      <c r="F1902" s="37">
        <v>1</v>
      </c>
      <c r="G1902" s="37" t="s">
        <v>6865</v>
      </c>
      <c r="H1902" s="63">
        <v>9023.2999999999993</v>
      </c>
    </row>
    <row r="1903" spans="1:8" ht="24.75" customHeight="1">
      <c r="A1903" s="44" t="s">
        <v>964</v>
      </c>
      <c r="B1903" s="45" t="s">
        <v>6069</v>
      </c>
      <c r="C1903" s="45" t="s">
        <v>6748</v>
      </c>
      <c r="D1903" s="45" t="s">
        <v>6756</v>
      </c>
      <c r="E1903" s="44" t="s">
        <v>6839</v>
      </c>
      <c r="F1903" s="37">
        <v>1</v>
      </c>
      <c r="G1903" s="37" t="s">
        <v>6865</v>
      </c>
      <c r="H1903" s="63">
        <v>5047.8999999999996</v>
      </c>
    </row>
    <row r="1904" spans="1:8" ht="24.75" customHeight="1">
      <c r="A1904" s="44" t="s">
        <v>114</v>
      </c>
      <c r="B1904" s="45" t="s">
        <v>3751</v>
      </c>
      <c r="C1904" s="45" t="s">
        <v>6748</v>
      </c>
      <c r="D1904" s="45" t="s">
        <v>6756</v>
      </c>
      <c r="E1904" s="44" t="s">
        <v>6839</v>
      </c>
      <c r="F1904" s="37">
        <v>1</v>
      </c>
      <c r="G1904" s="37" t="s">
        <v>6865</v>
      </c>
      <c r="H1904" s="63">
        <v>4433</v>
      </c>
    </row>
    <row r="1905" spans="1:8" ht="24.75" customHeight="1">
      <c r="A1905" s="44" t="s">
        <v>188</v>
      </c>
      <c r="B1905" s="45" t="s">
        <v>3734</v>
      </c>
      <c r="C1905" s="45" t="s">
        <v>6748</v>
      </c>
      <c r="D1905" s="45" t="s">
        <v>6756</v>
      </c>
      <c r="E1905" s="44" t="s">
        <v>6839</v>
      </c>
      <c r="F1905" s="37">
        <v>1</v>
      </c>
      <c r="G1905" s="37" t="s">
        <v>6865</v>
      </c>
      <c r="H1905" s="63">
        <v>4604.6000000000004</v>
      </c>
    </row>
    <row r="1906" spans="1:8" ht="24.75" customHeight="1">
      <c r="A1906" s="44" t="s">
        <v>1841</v>
      </c>
      <c r="B1906" s="45" t="s">
        <v>5259</v>
      </c>
      <c r="C1906" s="45" t="s">
        <v>6748</v>
      </c>
      <c r="D1906" s="45" t="s">
        <v>6756</v>
      </c>
      <c r="E1906" s="44" t="s">
        <v>956</v>
      </c>
      <c r="F1906" s="37">
        <v>1</v>
      </c>
      <c r="G1906" s="37" t="s">
        <v>6865</v>
      </c>
      <c r="H1906" s="63">
        <v>8923.2000000000007</v>
      </c>
    </row>
    <row r="1907" spans="1:8" ht="24.75" customHeight="1">
      <c r="A1907" s="44" t="s">
        <v>2056</v>
      </c>
      <c r="B1907" s="45" t="s">
        <v>5295</v>
      </c>
      <c r="C1907" s="45" t="s">
        <v>6748</v>
      </c>
      <c r="D1907" s="45" t="s">
        <v>6756</v>
      </c>
      <c r="E1907" s="44" t="s">
        <v>956</v>
      </c>
      <c r="F1907" s="37">
        <v>1</v>
      </c>
      <c r="G1907" s="37" t="s">
        <v>6865</v>
      </c>
      <c r="H1907" s="63">
        <v>9094.7999999999993</v>
      </c>
    </row>
    <row r="1908" spans="1:8" ht="24.75" customHeight="1">
      <c r="A1908" s="44" t="s">
        <v>2901</v>
      </c>
      <c r="B1908" s="45" t="s">
        <v>5275</v>
      </c>
      <c r="C1908" s="45" t="s">
        <v>6748</v>
      </c>
      <c r="D1908" s="45" t="s">
        <v>6756</v>
      </c>
      <c r="E1908" s="44" t="s">
        <v>956</v>
      </c>
      <c r="F1908" s="37">
        <v>1</v>
      </c>
      <c r="G1908" s="37" t="s">
        <v>6865</v>
      </c>
      <c r="H1908" s="63">
        <v>22536.799999999999</v>
      </c>
    </row>
    <row r="1909" spans="1:8" ht="24.75" customHeight="1">
      <c r="A1909" s="44" t="s">
        <v>62</v>
      </c>
      <c r="B1909" s="45" t="s">
        <v>3743</v>
      </c>
      <c r="C1909" s="45" t="s">
        <v>6748</v>
      </c>
      <c r="D1909" s="45" t="s">
        <v>6756</v>
      </c>
      <c r="E1909" s="44" t="s">
        <v>956</v>
      </c>
      <c r="F1909" s="37">
        <v>1</v>
      </c>
      <c r="G1909" s="37" t="s">
        <v>6865</v>
      </c>
      <c r="H1909" s="63">
        <v>6949.8</v>
      </c>
    </row>
    <row r="1910" spans="1:8" ht="24.75" customHeight="1">
      <c r="A1910" s="44" t="s">
        <v>63</v>
      </c>
      <c r="B1910" s="45" t="s">
        <v>3744</v>
      </c>
      <c r="C1910" s="45" t="s">
        <v>6748</v>
      </c>
      <c r="D1910" s="45" t="s">
        <v>6756</v>
      </c>
      <c r="E1910" s="44" t="s">
        <v>956</v>
      </c>
      <c r="F1910" s="37">
        <v>1</v>
      </c>
      <c r="G1910" s="37" t="s">
        <v>6865</v>
      </c>
      <c r="H1910" s="63">
        <v>6721</v>
      </c>
    </row>
    <row r="1911" spans="1:8" ht="24.75" customHeight="1">
      <c r="A1911" s="44" t="s">
        <v>1916</v>
      </c>
      <c r="B1911" s="45" t="s">
        <v>3747</v>
      </c>
      <c r="C1911" s="45" t="s">
        <v>6748</v>
      </c>
      <c r="D1911" s="45" t="s">
        <v>6756</v>
      </c>
      <c r="E1911" s="44" t="s">
        <v>956</v>
      </c>
      <c r="F1911" s="37">
        <v>1</v>
      </c>
      <c r="G1911" s="37" t="s">
        <v>6865</v>
      </c>
      <c r="H1911" s="63">
        <v>7664.8</v>
      </c>
    </row>
    <row r="1912" spans="1:8" ht="24.75" customHeight="1">
      <c r="A1912" s="44" t="s">
        <v>1917</v>
      </c>
      <c r="B1912" s="45" t="s">
        <v>3748</v>
      </c>
      <c r="C1912" s="45" t="s">
        <v>6748</v>
      </c>
      <c r="D1912" s="45" t="s">
        <v>6756</v>
      </c>
      <c r="E1912" s="44" t="s">
        <v>956</v>
      </c>
      <c r="F1912" s="37">
        <v>1</v>
      </c>
      <c r="G1912" s="37" t="s">
        <v>6865</v>
      </c>
      <c r="H1912" s="63">
        <v>7664.8</v>
      </c>
    </row>
    <row r="1913" spans="1:8" ht="24.75" customHeight="1">
      <c r="A1913" s="44" t="s">
        <v>65</v>
      </c>
      <c r="B1913" s="45" t="s">
        <v>3746</v>
      </c>
      <c r="C1913" s="45" t="s">
        <v>6748</v>
      </c>
      <c r="D1913" s="45" t="s">
        <v>6756</v>
      </c>
      <c r="E1913" s="44" t="s">
        <v>956</v>
      </c>
      <c r="F1913" s="37">
        <v>1</v>
      </c>
      <c r="G1913" s="37" t="s">
        <v>6865</v>
      </c>
      <c r="H1913" s="63">
        <v>6949.8</v>
      </c>
    </row>
    <row r="1914" spans="1:8" ht="24.75" customHeight="1">
      <c r="A1914" s="44" t="s">
        <v>1355</v>
      </c>
      <c r="B1914" s="45" t="s">
        <v>3724</v>
      </c>
      <c r="C1914" s="45" t="s">
        <v>6748</v>
      </c>
      <c r="D1914" s="45" t="s">
        <v>6756</v>
      </c>
      <c r="E1914" s="44" t="s">
        <v>956</v>
      </c>
      <c r="F1914" s="37">
        <v>1</v>
      </c>
      <c r="G1914" s="37" t="s">
        <v>6865</v>
      </c>
      <c r="H1914" s="63">
        <v>6892.6</v>
      </c>
    </row>
    <row r="1915" spans="1:8" ht="24.75" customHeight="1">
      <c r="A1915" s="44" t="s">
        <v>1356</v>
      </c>
      <c r="B1915" s="45" t="s">
        <v>3725</v>
      </c>
      <c r="C1915" s="45" t="s">
        <v>6748</v>
      </c>
      <c r="D1915" s="45" t="s">
        <v>6756</v>
      </c>
      <c r="E1915" s="44" t="s">
        <v>956</v>
      </c>
      <c r="F1915" s="37">
        <v>1</v>
      </c>
      <c r="G1915" s="37" t="s">
        <v>6865</v>
      </c>
      <c r="H1915" s="63">
        <v>8680.1</v>
      </c>
    </row>
    <row r="1916" spans="1:8" ht="24.75" customHeight="1">
      <c r="A1916" s="44" t="s">
        <v>928</v>
      </c>
      <c r="B1916" s="45" t="s">
        <v>3727</v>
      </c>
      <c r="C1916" s="45" t="s">
        <v>6748</v>
      </c>
      <c r="D1916" s="45" t="s">
        <v>6756</v>
      </c>
      <c r="E1916" s="44" t="s">
        <v>956</v>
      </c>
      <c r="F1916" s="37">
        <v>1</v>
      </c>
      <c r="G1916" s="37" t="s">
        <v>6865</v>
      </c>
      <c r="H1916" s="63">
        <v>7436</v>
      </c>
    </row>
    <row r="1917" spans="1:8" ht="24.75" customHeight="1">
      <c r="A1917" s="44" t="s">
        <v>929</v>
      </c>
      <c r="B1917" s="45" t="s">
        <v>3728</v>
      </c>
      <c r="C1917" s="45" t="s">
        <v>6748</v>
      </c>
      <c r="D1917" s="45" t="s">
        <v>6756</v>
      </c>
      <c r="E1917" s="44" t="s">
        <v>956</v>
      </c>
      <c r="F1917" s="37">
        <v>1</v>
      </c>
      <c r="G1917" s="37" t="s">
        <v>6865</v>
      </c>
      <c r="H1917" s="63">
        <v>7436</v>
      </c>
    </row>
    <row r="1918" spans="1:8" ht="24.75" customHeight="1">
      <c r="A1918" s="44" t="s">
        <v>927</v>
      </c>
      <c r="B1918" s="45" t="s">
        <v>3726</v>
      </c>
      <c r="C1918" s="45" t="s">
        <v>6748</v>
      </c>
      <c r="D1918" s="45" t="s">
        <v>6756</v>
      </c>
      <c r="E1918" s="44" t="s">
        <v>956</v>
      </c>
      <c r="F1918" s="37">
        <v>1</v>
      </c>
      <c r="G1918" s="37" t="s">
        <v>6865</v>
      </c>
      <c r="H1918" s="63">
        <v>8379.7999999999993</v>
      </c>
    </row>
    <row r="1919" spans="1:8" ht="24.75" customHeight="1">
      <c r="A1919" s="44" t="s">
        <v>64</v>
      </c>
      <c r="B1919" s="45" t="s">
        <v>3745</v>
      </c>
      <c r="C1919" s="45" t="s">
        <v>6748</v>
      </c>
      <c r="D1919" s="45" t="s">
        <v>6756</v>
      </c>
      <c r="E1919" s="44" t="s">
        <v>956</v>
      </c>
      <c r="F1919" s="37">
        <v>1</v>
      </c>
      <c r="G1919" s="37" t="s">
        <v>6865</v>
      </c>
      <c r="H1919" s="63">
        <v>6721</v>
      </c>
    </row>
    <row r="1920" spans="1:8" ht="24.75" customHeight="1">
      <c r="A1920" s="44" t="s">
        <v>2427</v>
      </c>
      <c r="B1920" s="45" t="s">
        <v>3723</v>
      </c>
      <c r="C1920" s="45" t="s">
        <v>6748</v>
      </c>
      <c r="D1920" s="45" t="s">
        <v>6756</v>
      </c>
      <c r="E1920" s="44" t="s">
        <v>956</v>
      </c>
      <c r="F1920" s="37">
        <v>1</v>
      </c>
      <c r="G1920" s="37" t="s">
        <v>6865</v>
      </c>
      <c r="H1920" s="63">
        <v>6721</v>
      </c>
    </row>
    <row r="1921" spans="1:8" ht="24.75" customHeight="1">
      <c r="A1921" s="44" t="s">
        <v>549</v>
      </c>
      <c r="B1921" s="45" t="s">
        <v>3767</v>
      </c>
      <c r="C1921" s="45" t="s">
        <v>6748</v>
      </c>
      <c r="D1921" s="45" t="s">
        <v>6757</v>
      </c>
      <c r="E1921" s="44"/>
      <c r="F1921" s="37">
        <v>10</v>
      </c>
      <c r="G1921" s="37" t="s">
        <v>6864</v>
      </c>
      <c r="H1921" s="63">
        <v>557.70000000000005</v>
      </c>
    </row>
    <row r="1922" spans="1:8" ht="24.75" customHeight="1">
      <c r="A1922" s="44" t="s">
        <v>2062</v>
      </c>
      <c r="B1922" s="45" t="s">
        <v>5302</v>
      </c>
      <c r="C1922" s="45" t="s">
        <v>6748</v>
      </c>
      <c r="D1922" s="45" t="s">
        <v>6757</v>
      </c>
      <c r="E1922" s="44" t="s">
        <v>956</v>
      </c>
      <c r="F1922" s="37">
        <v>1</v>
      </c>
      <c r="G1922" s="37" t="s">
        <v>2568</v>
      </c>
      <c r="H1922" s="63">
        <v>3360.5</v>
      </c>
    </row>
    <row r="1923" spans="1:8" ht="24.75" customHeight="1">
      <c r="A1923" s="44" t="s">
        <v>1863</v>
      </c>
      <c r="B1923" s="45" t="s">
        <v>5280</v>
      </c>
      <c r="C1923" s="45" t="s">
        <v>6748</v>
      </c>
      <c r="D1923" s="45" t="s">
        <v>6757</v>
      </c>
      <c r="E1923" s="44" t="s">
        <v>956</v>
      </c>
      <c r="F1923" s="37">
        <v>1</v>
      </c>
      <c r="G1923" s="37" t="s">
        <v>6864</v>
      </c>
      <c r="H1923" s="63">
        <v>5948.8</v>
      </c>
    </row>
    <row r="1924" spans="1:8" ht="24.75" customHeight="1">
      <c r="A1924" s="44" t="s">
        <v>1057</v>
      </c>
      <c r="B1924" s="45" t="s">
        <v>5187</v>
      </c>
      <c r="C1924" s="45" t="s">
        <v>6748</v>
      </c>
      <c r="D1924" s="45" t="s">
        <v>6757</v>
      </c>
      <c r="E1924" s="44"/>
      <c r="F1924" s="37">
        <v>20</v>
      </c>
      <c r="G1924" s="37" t="s">
        <v>6864</v>
      </c>
      <c r="H1924" s="63">
        <v>543.4</v>
      </c>
    </row>
    <row r="1925" spans="1:8" ht="24.75" customHeight="1">
      <c r="A1925" s="44" t="s">
        <v>1006</v>
      </c>
      <c r="B1925" s="45" t="s">
        <v>5689</v>
      </c>
      <c r="C1925" s="45" t="s">
        <v>6748</v>
      </c>
      <c r="D1925" s="45" t="s">
        <v>6757</v>
      </c>
      <c r="E1925" s="44" t="s">
        <v>6839</v>
      </c>
      <c r="F1925" s="37">
        <v>10</v>
      </c>
      <c r="G1925" s="37" t="s">
        <v>2568</v>
      </c>
      <c r="H1925" s="63">
        <v>1186.9000000000001</v>
      </c>
    </row>
    <row r="1926" spans="1:8" ht="24.75" customHeight="1">
      <c r="A1926" s="44" t="s">
        <v>3112</v>
      </c>
      <c r="B1926" s="45" t="s">
        <v>3779</v>
      </c>
      <c r="C1926" s="45" t="s">
        <v>6748</v>
      </c>
      <c r="D1926" s="45" t="s">
        <v>6757</v>
      </c>
      <c r="E1926" s="44"/>
      <c r="F1926" s="37">
        <v>10</v>
      </c>
      <c r="G1926" s="37" t="s">
        <v>6864</v>
      </c>
      <c r="H1926" s="63">
        <v>1258.4000000000001</v>
      </c>
    </row>
    <row r="1927" spans="1:8" ht="24.75" customHeight="1">
      <c r="A1927" s="44" t="s">
        <v>553</v>
      </c>
      <c r="B1927" s="45" t="s">
        <v>3771</v>
      </c>
      <c r="C1927" s="45" t="s">
        <v>6748</v>
      </c>
      <c r="D1927" s="45" t="s">
        <v>6757</v>
      </c>
      <c r="E1927" s="44" t="s">
        <v>956</v>
      </c>
      <c r="F1927" s="37">
        <v>1</v>
      </c>
      <c r="G1927" s="37" t="s">
        <v>6864</v>
      </c>
      <c r="H1927" s="63">
        <v>2044.9</v>
      </c>
    </row>
    <row r="1928" spans="1:8" ht="24.75" customHeight="1">
      <c r="A1928" s="44" t="s">
        <v>548</v>
      </c>
      <c r="B1928" s="45" t="s">
        <v>3766</v>
      </c>
      <c r="C1928" s="45" t="s">
        <v>6748</v>
      </c>
      <c r="D1928" s="45" t="s">
        <v>6757</v>
      </c>
      <c r="E1928" s="44"/>
      <c r="F1928" s="37">
        <v>10</v>
      </c>
      <c r="G1928" s="37" t="s">
        <v>6864</v>
      </c>
      <c r="H1928" s="63">
        <v>514.79999999999995</v>
      </c>
    </row>
    <row r="1929" spans="1:8" ht="24.75" customHeight="1">
      <c r="A1929" s="44" t="s">
        <v>552</v>
      </c>
      <c r="B1929" s="45" t="s">
        <v>3770</v>
      </c>
      <c r="C1929" s="45" t="s">
        <v>6748</v>
      </c>
      <c r="D1929" s="45" t="s">
        <v>6757</v>
      </c>
      <c r="E1929" s="44"/>
      <c r="F1929" s="37">
        <v>10</v>
      </c>
      <c r="G1929" s="37" t="s">
        <v>6864</v>
      </c>
      <c r="H1929" s="63">
        <v>586.29999999999995</v>
      </c>
    </row>
    <row r="1930" spans="1:8" ht="24.75" customHeight="1">
      <c r="A1930" s="44" t="s">
        <v>51</v>
      </c>
      <c r="B1930" s="45" t="s">
        <v>3774</v>
      </c>
      <c r="C1930" s="45" t="s">
        <v>6748</v>
      </c>
      <c r="D1930" s="45" t="s">
        <v>6757</v>
      </c>
      <c r="E1930" s="44" t="s">
        <v>956</v>
      </c>
      <c r="F1930" s="37">
        <v>1</v>
      </c>
      <c r="G1930" s="37" t="s">
        <v>6864</v>
      </c>
      <c r="H1930" s="63">
        <v>3060.2</v>
      </c>
    </row>
    <row r="1931" spans="1:8" ht="24.75" customHeight="1">
      <c r="A1931" s="44" t="s">
        <v>1879</v>
      </c>
      <c r="B1931" s="45" t="s">
        <v>3776</v>
      </c>
      <c r="C1931" s="45" t="s">
        <v>6748</v>
      </c>
      <c r="D1931" s="45" t="s">
        <v>6757</v>
      </c>
      <c r="E1931" s="44" t="s">
        <v>956</v>
      </c>
      <c r="F1931" s="37">
        <v>1</v>
      </c>
      <c r="G1931" s="37" t="s">
        <v>6864</v>
      </c>
      <c r="H1931" s="63">
        <v>3603.6</v>
      </c>
    </row>
    <row r="1932" spans="1:8" ht="24.75" customHeight="1">
      <c r="A1932" s="44" t="s">
        <v>1852</v>
      </c>
      <c r="B1932" s="45" t="s">
        <v>5269</v>
      </c>
      <c r="C1932" s="45" t="s">
        <v>6748</v>
      </c>
      <c r="D1932" s="45" t="s">
        <v>6757</v>
      </c>
      <c r="E1932" s="44" t="s">
        <v>956</v>
      </c>
      <c r="F1932" s="37">
        <v>1</v>
      </c>
      <c r="G1932" s="37" t="s">
        <v>6864</v>
      </c>
      <c r="H1932" s="63">
        <v>3432</v>
      </c>
    </row>
    <row r="1933" spans="1:8" ht="24.75" customHeight="1">
      <c r="A1933" s="44" t="s">
        <v>848</v>
      </c>
      <c r="B1933" s="45" t="s">
        <v>5345</v>
      </c>
      <c r="C1933" s="45" t="s">
        <v>6748</v>
      </c>
      <c r="D1933" s="45" t="s">
        <v>6757</v>
      </c>
      <c r="E1933" s="44" t="s">
        <v>6839</v>
      </c>
      <c r="F1933" s="37">
        <v>10</v>
      </c>
      <c r="G1933" s="37" t="s">
        <v>6865</v>
      </c>
      <c r="H1933" s="63">
        <v>4261.3999999999996</v>
      </c>
    </row>
    <row r="1934" spans="1:8" ht="24.75" customHeight="1">
      <c r="A1934" s="44" t="s">
        <v>52</v>
      </c>
      <c r="B1934" s="45" t="s">
        <v>3775</v>
      </c>
      <c r="C1934" s="45" t="s">
        <v>6748</v>
      </c>
      <c r="D1934" s="45" t="s">
        <v>6757</v>
      </c>
      <c r="E1934" s="44" t="s">
        <v>956</v>
      </c>
      <c r="F1934" s="37">
        <v>1</v>
      </c>
      <c r="G1934" s="37" t="s">
        <v>6864</v>
      </c>
      <c r="H1934" s="63">
        <v>3360.5</v>
      </c>
    </row>
    <row r="1935" spans="1:8" ht="24.75" customHeight="1">
      <c r="A1935" s="44" t="s">
        <v>2200</v>
      </c>
      <c r="B1935" s="45" t="s">
        <v>5584</v>
      </c>
      <c r="C1935" s="45" t="s">
        <v>6748</v>
      </c>
      <c r="D1935" s="45" t="s">
        <v>6757</v>
      </c>
      <c r="E1935" s="44" t="s">
        <v>956</v>
      </c>
      <c r="F1935" s="37">
        <v>1</v>
      </c>
      <c r="G1935" s="37" t="s">
        <v>2568</v>
      </c>
      <c r="H1935" s="63">
        <v>5262.4</v>
      </c>
    </row>
    <row r="1936" spans="1:8" ht="24.75" customHeight="1">
      <c r="A1936" s="44" t="s">
        <v>1845</v>
      </c>
      <c r="B1936" s="45" t="s">
        <v>5263</v>
      </c>
      <c r="C1936" s="45" t="s">
        <v>6748</v>
      </c>
      <c r="D1936" s="45" t="s">
        <v>6757</v>
      </c>
      <c r="E1936" s="44" t="s">
        <v>956</v>
      </c>
      <c r="F1936" s="37">
        <v>1</v>
      </c>
      <c r="G1936" s="37" t="s">
        <v>6864</v>
      </c>
      <c r="H1936" s="63">
        <v>3103.1</v>
      </c>
    </row>
    <row r="1937" spans="1:8" ht="24.75" customHeight="1">
      <c r="A1937" s="44" t="s">
        <v>1668</v>
      </c>
      <c r="B1937" s="45" t="s">
        <v>5525</v>
      </c>
      <c r="C1937" s="45" t="s">
        <v>6748</v>
      </c>
      <c r="D1937" s="45" t="s">
        <v>6757</v>
      </c>
      <c r="E1937" s="44" t="s">
        <v>6839</v>
      </c>
      <c r="F1937" s="37">
        <v>5</v>
      </c>
      <c r="G1937" s="37" t="s">
        <v>6865</v>
      </c>
      <c r="H1937" s="63">
        <v>1101.0999999999999</v>
      </c>
    </row>
    <row r="1938" spans="1:8" ht="24.75" customHeight="1">
      <c r="A1938" s="44" t="s">
        <v>916</v>
      </c>
      <c r="B1938" s="45" t="s">
        <v>4876</v>
      </c>
      <c r="C1938" s="45" t="s">
        <v>6748</v>
      </c>
      <c r="D1938" s="45" t="s">
        <v>6757</v>
      </c>
      <c r="E1938" s="44" t="s">
        <v>956</v>
      </c>
      <c r="F1938" s="37">
        <v>10</v>
      </c>
      <c r="G1938" s="37" t="s">
        <v>2568</v>
      </c>
      <c r="H1938" s="63">
        <v>1129.7</v>
      </c>
    </row>
    <row r="1939" spans="1:8" ht="24.75" customHeight="1">
      <c r="A1939" s="44" t="s">
        <v>554</v>
      </c>
      <c r="B1939" s="45" t="s">
        <v>3772</v>
      </c>
      <c r="C1939" s="45" t="s">
        <v>6748</v>
      </c>
      <c r="D1939" s="45" t="s">
        <v>6757</v>
      </c>
      <c r="E1939" s="44"/>
      <c r="F1939" s="37">
        <v>2</v>
      </c>
      <c r="G1939" s="37" t="s">
        <v>6864</v>
      </c>
      <c r="H1939" s="63">
        <v>1372.8</v>
      </c>
    </row>
    <row r="1940" spans="1:8" ht="24.75" customHeight="1">
      <c r="A1940" s="44" t="s">
        <v>1880</v>
      </c>
      <c r="B1940" s="45" t="s">
        <v>3777</v>
      </c>
      <c r="C1940" s="45" t="s">
        <v>6748</v>
      </c>
      <c r="D1940" s="45" t="s">
        <v>6757</v>
      </c>
      <c r="E1940" s="44" t="s">
        <v>956</v>
      </c>
      <c r="F1940" s="37">
        <v>1</v>
      </c>
      <c r="G1940" s="37" t="s">
        <v>6864</v>
      </c>
      <c r="H1940" s="63">
        <v>2831.4</v>
      </c>
    </row>
    <row r="1941" spans="1:8" ht="24.75" customHeight="1">
      <c r="A1941" s="44" t="s">
        <v>551</v>
      </c>
      <c r="B1941" s="45" t="s">
        <v>3769</v>
      </c>
      <c r="C1941" s="45" t="s">
        <v>6748</v>
      </c>
      <c r="D1941" s="45" t="s">
        <v>6757</v>
      </c>
      <c r="E1941" s="44"/>
      <c r="F1941" s="37">
        <v>2</v>
      </c>
      <c r="G1941" s="37" t="s">
        <v>6864</v>
      </c>
      <c r="H1941" s="63">
        <v>1287</v>
      </c>
    </row>
    <row r="1942" spans="1:8" ht="24.75" customHeight="1">
      <c r="A1942" s="44" t="s">
        <v>177</v>
      </c>
      <c r="B1942" s="45" t="s">
        <v>6011</v>
      </c>
      <c r="C1942" s="45" t="s">
        <v>6748</v>
      </c>
      <c r="D1942" s="45" t="s">
        <v>6757</v>
      </c>
      <c r="E1942" s="44" t="s">
        <v>6839</v>
      </c>
      <c r="F1942" s="37">
        <v>1</v>
      </c>
      <c r="G1942" s="37" t="s">
        <v>2568</v>
      </c>
      <c r="H1942" s="63">
        <v>3703.7</v>
      </c>
    </row>
    <row r="1943" spans="1:8" ht="24.75" customHeight="1">
      <c r="A1943" s="44" t="s">
        <v>1881</v>
      </c>
      <c r="B1943" s="45" t="s">
        <v>3778</v>
      </c>
      <c r="C1943" s="45" t="s">
        <v>6748</v>
      </c>
      <c r="D1943" s="45" t="s">
        <v>6757</v>
      </c>
      <c r="E1943" s="44" t="s">
        <v>956</v>
      </c>
      <c r="F1943" s="37">
        <v>1</v>
      </c>
      <c r="G1943" s="37" t="s">
        <v>2568</v>
      </c>
      <c r="H1943" s="63">
        <v>3775.2</v>
      </c>
    </row>
    <row r="1944" spans="1:8" ht="24.75" customHeight="1">
      <c r="A1944" s="44" t="s">
        <v>550</v>
      </c>
      <c r="B1944" s="45" t="s">
        <v>3768</v>
      </c>
      <c r="C1944" s="45" t="s">
        <v>6748</v>
      </c>
      <c r="D1944" s="45" t="s">
        <v>6757</v>
      </c>
      <c r="E1944" s="44"/>
      <c r="F1944" s="37">
        <v>10</v>
      </c>
      <c r="G1944" s="37" t="s">
        <v>6864</v>
      </c>
      <c r="H1944" s="63">
        <v>557.70000000000005</v>
      </c>
    </row>
    <row r="1945" spans="1:8" ht="24.75" customHeight="1">
      <c r="A1945" s="44" t="s">
        <v>695</v>
      </c>
      <c r="B1945" s="45" t="s">
        <v>5104</v>
      </c>
      <c r="C1945" s="45" t="s">
        <v>6748</v>
      </c>
      <c r="D1945" s="45" t="s">
        <v>6757</v>
      </c>
      <c r="E1945" s="44"/>
      <c r="F1945" s="37">
        <v>10</v>
      </c>
      <c r="G1945" s="37" t="s">
        <v>6864</v>
      </c>
      <c r="H1945" s="63">
        <v>514.79999999999995</v>
      </c>
    </row>
    <row r="1946" spans="1:8" ht="24.75" customHeight="1">
      <c r="A1946" s="44" t="s">
        <v>920</v>
      </c>
      <c r="B1946" s="45" t="s">
        <v>4880</v>
      </c>
      <c r="C1946" s="45" t="s">
        <v>6748</v>
      </c>
      <c r="D1946" s="45" t="s">
        <v>6758</v>
      </c>
      <c r="E1946" s="44"/>
      <c r="F1946" s="37">
        <v>100</v>
      </c>
      <c r="G1946" s="37" t="s">
        <v>6864</v>
      </c>
      <c r="H1946" s="63">
        <v>314.60000000000002</v>
      </c>
    </row>
    <row r="1947" spans="1:8" ht="24.75" customHeight="1">
      <c r="A1947" s="44" t="s">
        <v>919</v>
      </c>
      <c r="B1947" s="45" t="s">
        <v>4879</v>
      </c>
      <c r="C1947" s="45" t="s">
        <v>6748</v>
      </c>
      <c r="D1947" s="45" t="s">
        <v>6758</v>
      </c>
      <c r="E1947" s="44"/>
      <c r="F1947" s="37">
        <v>100</v>
      </c>
      <c r="G1947" s="37" t="s">
        <v>6864</v>
      </c>
      <c r="H1947" s="63">
        <v>314.60000000000002</v>
      </c>
    </row>
    <row r="1948" spans="1:8" ht="24.75" customHeight="1">
      <c r="A1948" s="44" t="s">
        <v>918</v>
      </c>
      <c r="B1948" s="45" t="s">
        <v>4878</v>
      </c>
      <c r="C1948" s="45" t="s">
        <v>6748</v>
      </c>
      <c r="D1948" s="45" t="s">
        <v>6758</v>
      </c>
      <c r="E1948" s="44"/>
      <c r="F1948" s="37">
        <v>100</v>
      </c>
      <c r="G1948" s="37" t="s">
        <v>6864</v>
      </c>
      <c r="H1948" s="63">
        <v>314.60000000000002</v>
      </c>
    </row>
    <row r="1949" spans="1:8" ht="24.75" customHeight="1">
      <c r="A1949" s="44" t="s">
        <v>6875</v>
      </c>
      <c r="B1949" s="45" t="s">
        <v>6897</v>
      </c>
      <c r="C1949" s="45" t="s">
        <v>6748</v>
      </c>
      <c r="D1949" s="45" t="s">
        <v>6759</v>
      </c>
      <c r="E1949" s="44"/>
      <c r="F1949" s="37">
        <v>1</v>
      </c>
      <c r="G1949" s="60" t="s">
        <v>6898</v>
      </c>
      <c r="H1949" s="63">
        <v>2431</v>
      </c>
    </row>
    <row r="1950" spans="1:8" ht="24.75" customHeight="1">
      <c r="A1950" s="44" t="s">
        <v>1190</v>
      </c>
      <c r="B1950" s="45" t="s">
        <v>3279</v>
      </c>
      <c r="C1950" s="45" t="s">
        <v>6748</v>
      </c>
      <c r="D1950" s="45" t="s">
        <v>6759</v>
      </c>
      <c r="E1950" s="44"/>
      <c r="F1950" s="37">
        <v>1</v>
      </c>
      <c r="G1950" s="37" t="s">
        <v>6864</v>
      </c>
      <c r="H1950" s="63">
        <v>3803.8</v>
      </c>
    </row>
    <row r="1951" spans="1:8" ht="24.75" customHeight="1">
      <c r="A1951" s="44" t="s">
        <v>1191</v>
      </c>
      <c r="B1951" s="45" t="s">
        <v>3280</v>
      </c>
      <c r="C1951" s="45" t="s">
        <v>6748</v>
      </c>
      <c r="D1951" s="45" t="s">
        <v>6759</v>
      </c>
      <c r="E1951" s="44"/>
      <c r="F1951" s="37">
        <v>1</v>
      </c>
      <c r="G1951" s="37" t="s">
        <v>6864</v>
      </c>
      <c r="H1951" s="63">
        <v>2559.6999999999998</v>
      </c>
    </row>
    <row r="1952" spans="1:8" ht="24.75" customHeight="1">
      <c r="A1952" s="44" t="s">
        <v>143</v>
      </c>
      <c r="B1952" s="45" t="s">
        <v>3810</v>
      </c>
      <c r="C1952" s="45" t="s">
        <v>6748</v>
      </c>
      <c r="D1952" s="45" t="s">
        <v>6759</v>
      </c>
      <c r="E1952" s="44" t="s">
        <v>6839</v>
      </c>
      <c r="F1952" s="37">
        <v>1</v>
      </c>
      <c r="G1952" s="37" t="s">
        <v>6864</v>
      </c>
      <c r="H1952" s="63">
        <v>4204.2</v>
      </c>
    </row>
    <row r="1953" spans="1:8" ht="24.75" customHeight="1">
      <c r="A1953" s="44" t="s">
        <v>1268</v>
      </c>
      <c r="B1953" s="45" t="s">
        <v>3813</v>
      </c>
      <c r="C1953" s="45" t="s">
        <v>6748</v>
      </c>
      <c r="D1953" s="45" t="s">
        <v>6759</v>
      </c>
      <c r="E1953" s="44"/>
      <c r="F1953" s="37">
        <v>1</v>
      </c>
      <c r="G1953" s="37" t="s">
        <v>6864</v>
      </c>
      <c r="H1953" s="63">
        <v>4204.2</v>
      </c>
    </row>
    <row r="1954" spans="1:8" ht="24.75" customHeight="1">
      <c r="A1954" s="44" t="s">
        <v>1267</v>
      </c>
      <c r="B1954" s="45" t="s">
        <v>3812</v>
      </c>
      <c r="C1954" s="45" t="s">
        <v>6748</v>
      </c>
      <c r="D1954" s="45" t="s">
        <v>6759</v>
      </c>
      <c r="E1954" s="44"/>
      <c r="F1954" s="37">
        <v>1</v>
      </c>
      <c r="G1954" s="37" t="s">
        <v>6864</v>
      </c>
      <c r="H1954" s="63">
        <v>4204.2</v>
      </c>
    </row>
    <row r="1955" spans="1:8" ht="24.75" customHeight="1">
      <c r="A1955" s="44" t="s">
        <v>942</v>
      </c>
      <c r="B1955" s="45" t="s">
        <v>3819</v>
      </c>
      <c r="C1955" s="45" t="s">
        <v>6748</v>
      </c>
      <c r="D1955" s="45" t="s">
        <v>6759</v>
      </c>
      <c r="E1955" s="44" t="s">
        <v>6839</v>
      </c>
      <c r="F1955" s="37">
        <v>1</v>
      </c>
      <c r="G1955" s="37" t="s">
        <v>6864</v>
      </c>
      <c r="H1955" s="63">
        <v>3718</v>
      </c>
    </row>
    <row r="1956" spans="1:8" ht="24.75" customHeight="1">
      <c r="A1956" s="44" t="s">
        <v>726</v>
      </c>
      <c r="B1956" s="45" t="s">
        <v>3811</v>
      </c>
      <c r="C1956" s="45" t="s">
        <v>6748</v>
      </c>
      <c r="D1956" s="45" t="s">
        <v>6759</v>
      </c>
      <c r="E1956" s="44" t="s">
        <v>6839</v>
      </c>
      <c r="F1956" s="37">
        <v>1</v>
      </c>
      <c r="G1956" s="37" t="s">
        <v>6864</v>
      </c>
      <c r="H1956" s="63">
        <v>3346.2</v>
      </c>
    </row>
    <row r="1957" spans="1:8" ht="24.75" customHeight="1">
      <c r="A1957" s="44" t="s">
        <v>1269</v>
      </c>
      <c r="B1957" s="45" t="s">
        <v>3814</v>
      </c>
      <c r="C1957" s="45" t="s">
        <v>6748</v>
      </c>
      <c r="D1957" s="45" t="s">
        <v>6759</v>
      </c>
      <c r="E1957" s="44" t="s">
        <v>6839</v>
      </c>
      <c r="F1957" s="37">
        <v>1</v>
      </c>
      <c r="G1957" s="37" t="s">
        <v>6864</v>
      </c>
      <c r="H1957" s="63">
        <v>5105.1000000000004</v>
      </c>
    </row>
    <row r="1958" spans="1:8" ht="24.75" customHeight="1">
      <c r="A1958" s="44" t="s">
        <v>1270</v>
      </c>
      <c r="B1958" s="45" t="s">
        <v>3815</v>
      </c>
      <c r="C1958" s="45" t="s">
        <v>6748</v>
      </c>
      <c r="D1958" s="45" t="s">
        <v>6759</v>
      </c>
      <c r="E1958" s="44"/>
      <c r="F1958" s="37">
        <v>1</v>
      </c>
      <c r="G1958" s="37" t="s">
        <v>6864</v>
      </c>
      <c r="H1958" s="63">
        <v>4204.2</v>
      </c>
    </row>
    <row r="1959" spans="1:8" ht="24.75" customHeight="1">
      <c r="A1959" s="44" t="s">
        <v>1272</v>
      </c>
      <c r="B1959" s="45" t="s">
        <v>3817</v>
      </c>
      <c r="C1959" s="45" t="s">
        <v>6748</v>
      </c>
      <c r="D1959" s="45" t="s">
        <v>6759</v>
      </c>
      <c r="E1959" s="44" t="s">
        <v>6839</v>
      </c>
      <c r="F1959" s="37">
        <v>1</v>
      </c>
      <c r="G1959" s="37" t="s">
        <v>6864</v>
      </c>
      <c r="H1959" s="63">
        <v>3732.3</v>
      </c>
    </row>
    <row r="1960" spans="1:8" ht="24.75" customHeight="1">
      <c r="A1960" s="44" t="s">
        <v>1273</v>
      </c>
      <c r="B1960" s="45" t="s">
        <v>3818</v>
      </c>
      <c r="C1960" s="45" t="s">
        <v>6748</v>
      </c>
      <c r="D1960" s="45" t="s">
        <v>6759</v>
      </c>
      <c r="E1960" s="44" t="s">
        <v>6839</v>
      </c>
      <c r="F1960" s="37">
        <v>1</v>
      </c>
      <c r="G1960" s="37" t="s">
        <v>6864</v>
      </c>
      <c r="H1960" s="63">
        <v>3074.5</v>
      </c>
    </row>
    <row r="1961" spans="1:8" ht="24.75" customHeight="1">
      <c r="A1961" s="44" t="s">
        <v>493</v>
      </c>
      <c r="B1961" s="45" t="s">
        <v>5605</v>
      </c>
      <c r="C1961" s="45" t="s">
        <v>6748</v>
      </c>
      <c r="D1961" s="45" t="s">
        <v>6759</v>
      </c>
      <c r="E1961" s="44" t="s">
        <v>6839</v>
      </c>
      <c r="F1961" s="37">
        <v>1</v>
      </c>
      <c r="G1961" s="37" t="s">
        <v>6864</v>
      </c>
      <c r="H1961" s="63">
        <v>3703.7</v>
      </c>
    </row>
    <row r="1962" spans="1:8" ht="24.75" customHeight="1">
      <c r="A1962" s="44" t="s">
        <v>444</v>
      </c>
      <c r="B1962" s="45" t="s">
        <v>3278</v>
      </c>
      <c r="C1962" s="45" t="s">
        <v>6748</v>
      </c>
      <c r="D1962" s="45" t="s">
        <v>6759</v>
      </c>
      <c r="E1962" s="44" t="s">
        <v>6839</v>
      </c>
      <c r="F1962" s="37">
        <v>1</v>
      </c>
      <c r="G1962" s="37" t="s">
        <v>6864</v>
      </c>
      <c r="H1962" s="63">
        <v>3389.1</v>
      </c>
    </row>
    <row r="1963" spans="1:8" ht="24.75" customHeight="1">
      <c r="A1963" s="44" t="s">
        <v>1849</v>
      </c>
      <c r="B1963" s="45" t="s">
        <v>6352</v>
      </c>
      <c r="C1963" s="45" t="s">
        <v>6748</v>
      </c>
      <c r="D1963" s="45" t="s">
        <v>6759</v>
      </c>
      <c r="E1963" s="44"/>
      <c r="F1963" s="37">
        <v>1</v>
      </c>
      <c r="G1963" s="37" t="s">
        <v>6864</v>
      </c>
      <c r="H1963" s="63">
        <v>34777.599999999999</v>
      </c>
    </row>
    <row r="1964" spans="1:8" ht="24.75" customHeight="1">
      <c r="A1964" s="44" t="s">
        <v>1868</v>
      </c>
      <c r="B1964" s="45" t="s">
        <v>5285</v>
      </c>
      <c r="C1964" s="45" t="s">
        <v>6748</v>
      </c>
      <c r="D1964" s="45" t="s">
        <v>6759</v>
      </c>
      <c r="E1964" s="44"/>
      <c r="F1964" s="37">
        <v>1</v>
      </c>
      <c r="G1964" s="37" t="s">
        <v>6864</v>
      </c>
      <c r="H1964" s="63">
        <v>39782.6</v>
      </c>
    </row>
    <row r="1965" spans="1:8" ht="24.75" customHeight="1">
      <c r="A1965" s="44" t="s">
        <v>2067</v>
      </c>
      <c r="B1965" s="45" t="s">
        <v>5307</v>
      </c>
      <c r="C1965" s="45" t="s">
        <v>6748</v>
      </c>
      <c r="D1965" s="45" t="s">
        <v>6759</v>
      </c>
      <c r="E1965" s="44"/>
      <c r="F1965" s="37">
        <v>1</v>
      </c>
      <c r="G1965" s="37" t="s">
        <v>6864</v>
      </c>
      <c r="H1965" s="63">
        <v>50479</v>
      </c>
    </row>
    <row r="1966" spans="1:8" ht="24.75" customHeight="1">
      <c r="A1966" s="44" t="s">
        <v>1866</v>
      </c>
      <c r="B1966" s="45" t="s">
        <v>5283</v>
      </c>
      <c r="C1966" s="45" t="s">
        <v>6748</v>
      </c>
      <c r="D1966" s="45" t="s">
        <v>6759</v>
      </c>
      <c r="E1966" s="44"/>
      <c r="F1966" s="37">
        <v>1</v>
      </c>
      <c r="G1966" s="37" t="s">
        <v>6864</v>
      </c>
      <c r="H1966" s="63">
        <v>89117.6</v>
      </c>
    </row>
    <row r="1967" spans="1:8" ht="24.75" customHeight="1">
      <c r="A1967" s="44" t="s">
        <v>1175</v>
      </c>
      <c r="B1967" s="45" t="s">
        <v>5149</v>
      </c>
      <c r="C1967" s="45" t="s">
        <v>6748</v>
      </c>
      <c r="D1967" s="45" t="s">
        <v>6759</v>
      </c>
      <c r="E1967" s="44" t="s">
        <v>6839</v>
      </c>
      <c r="F1967" s="37">
        <v>1</v>
      </c>
      <c r="G1967" s="37" t="s">
        <v>6864</v>
      </c>
      <c r="H1967" s="63">
        <v>24252.799999999999</v>
      </c>
    </row>
    <row r="1968" spans="1:8" ht="24.75" customHeight="1">
      <c r="A1968" s="44" t="s">
        <v>139</v>
      </c>
      <c r="B1968" s="45" t="s">
        <v>3796</v>
      </c>
      <c r="C1968" s="45" t="s">
        <v>6748</v>
      </c>
      <c r="D1968" s="45" t="s">
        <v>6759</v>
      </c>
      <c r="E1968" s="44" t="s">
        <v>6839</v>
      </c>
      <c r="F1968" s="37">
        <v>1</v>
      </c>
      <c r="G1968" s="37" t="s">
        <v>6864</v>
      </c>
      <c r="H1968" s="63">
        <v>17245.8</v>
      </c>
    </row>
    <row r="1969" spans="1:8" ht="24.75" customHeight="1">
      <c r="A1969" s="44" t="s">
        <v>559</v>
      </c>
      <c r="B1969" s="45" t="s">
        <v>3787</v>
      </c>
      <c r="C1969" s="45" t="s">
        <v>6748</v>
      </c>
      <c r="D1969" s="45" t="s">
        <v>6759</v>
      </c>
      <c r="E1969" s="44" t="s">
        <v>956</v>
      </c>
      <c r="F1969" s="37">
        <v>1</v>
      </c>
      <c r="G1969" s="37" t="s">
        <v>6864</v>
      </c>
      <c r="H1969" s="63">
        <v>15158</v>
      </c>
    </row>
    <row r="1970" spans="1:8" ht="24.75" customHeight="1">
      <c r="A1970" s="44" t="s">
        <v>558</v>
      </c>
      <c r="B1970" s="45" t="s">
        <v>3786</v>
      </c>
      <c r="C1970" s="45" t="s">
        <v>6748</v>
      </c>
      <c r="D1970" s="45" t="s">
        <v>6759</v>
      </c>
      <c r="E1970" s="44" t="s">
        <v>956</v>
      </c>
      <c r="F1970" s="37">
        <v>1</v>
      </c>
      <c r="G1970" s="37" t="s">
        <v>6864</v>
      </c>
      <c r="H1970" s="63">
        <v>18432.7</v>
      </c>
    </row>
    <row r="1971" spans="1:8" ht="24.75" customHeight="1">
      <c r="A1971" s="44" t="s">
        <v>1121</v>
      </c>
      <c r="B1971" s="45" t="s">
        <v>5681</v>
      </c>
      <c r="C1971" s="45" t="s">
        <v>6748</v>
      </c>
      <c r="D1971" s="45" t="s">
        <v>6759</v>
      </c>
      <c r="E1971" s="44" t="s">
        <v>6839</v>
      </c>
      <c r="F1971" s="37">
        <v>1</v>
      </c>
      <c r="G1971" s="37" t="s">
        <v>6864</v>
      </c>
      <c r="H1971" s="63">
        <v>23738</v>
      </c>
    </row>
    <row r="1972" spans="1:8" ht="24.75" customHeight="1">
      <c r="A1972" s="44" t="s">
        <v>560</v>
      </c>
      <c r="B1972" s="45" t="s">
        <v>3795</v>
      </c>
      <c r="C1972" s="45" t="s">
        <v>6748</v>
      </c>
      <c r="D1972" s="45" t="s">
        <v>6759</v>
      </c>
      <c r="E1972" s="44" t="s">
        <v>6839</v>
      </c>
      <c r="F1972" s="37">
        <v>1</v>
      </c>
      <c r="G1972" s="37" t="s">
        <v>6864</v>
      </c>
      <c r="H1972" s="63">
        <v>17245.8</v>
      </c>
    </row>
    <row r="1973" spans="1:8" ht="24.75" customHeight="1">
      <c r="A1973" s="44" t="s">
        <v>1218</v>
      </c>
      <c r="B1973" s="45" t="s">
        <v>5988</v>
      </c>
      <c r="C1973" s="45" t="s">
        <v>6748</v>
      </c>
      <c r="D1973" s="45" t="s">
        <v>6759</v>
      </c>
      <c r="E1973" s="44" t="s">
        <v>6839</v>
      </c>
      <c r="F1973" s="37">
        <v>1</v>
      </c>
      <c r="G1973" s="37" t="s">
        <v>6864</v>
      </c>
      <c r="H1973" s="63">
        <v>38509.9</v>
      </c>
    </row>
    <row r="1974" spans="1:8" ht="24.75" customHeight="1">
      <c r="A1974" s="44" t="s">
        <v>2019</v>
      </c>
      <c r="B1974" s="45" t="s">
        <v>3791</v>
      </c>
      <c r="C1974" s="45" t="s">
        <v>6748</v>
      </c>
      <c r="D1974" s="45" t="s">
        <v>6759</v>
      </c>
      <c r="E1974" s="44" t="s">
        <v>956</v>
      </c>
      <c r="F1974" s="37">
        <v>1</v>
      </c>
      <c r="G1974" s="37" t="s">
        <v>6864</v>
      </c>
      <c r="H1974" s="63">
        <v>19319.3</v>
      </c>
    </row>
    <row r="1975" spans="1:8" ht="24.75" customHeight="1">
      <c r="A1975" s="44" t="s">
        <v>1621</v>
      </c>
      <c r="B1975" s="45" t="s">
        <v>5516</v>
      </c>
      <c r="C1975" s="45" t="s">
        <v>6748</v>
      </c>
      <c r="D1975" s="45" t="s">
        <v>6759</v>
      </c>
      <c r="E1975" s="44" t="s">
        <v>6839</v>
      </c>
      <c r="F1975" s="37">
        <v>1</v>
      </c>
      <c r="G1975" s="37" t="s">
        <v>6864</v>
      </c>
      <c r="H1975" s="63">
        <v>14142.7</v>
      </c>
    </row>
    <row r="1976" spans="1:8" ht="24.75" customHeight="1">
      <c r="A1976" s="44" t="s">
        <v>3200</v>
      </c>
      <c r="B1976" s="45" t="s">
        <v>5377</v>
      </c>
      <c r="C1976" s="45" t="s">
        <v>6748</v>
      </c>
      <c r="D1976" s="45" t="s">
        <v>6759</v>
      </c>
      <c r="E1976" s="44" t="s">
        <v>956</v>
      </c>
      <c r="F1976" s="37">
        <v>1</v>
      </c>
      <c r="G1976" s="37" t="s">
        <v>6864</v>
      </c>
      <c r="H1976" s="63">
        <v>37823.5</v>
      </c>
    </row>
    <row r="1977" spans="1:8" ht="24.75" customHeight="1">
      <c r="A1977" s="44" t="s">
        <v>2788</v>
      </c>
      <c r="B1977" s="45" t="s">
        <v>5785</v>
      </c>
      <c r="C1977" s="45" t="s">
        <v>6748</v>
      </c>
      <c r="D1977" s="45" t="s">
        <v>6759</v>
      </c>
      <c r="E1977" s="44"/>
      <c r="F1977" s="37">
        <v>1</v>
      </c>
      <c r="G1977" s="37" t="s">
        <v>6864</v>
      </c>
      <c r="H1977" s="63">
        <v>24453</v>
      </c>
    </row>
    <row r="1978" spans="1:8" ht="24.75" customHeight="1">
      <c r="A1978" s="44" t="s">
        <v>2021</v>
      </c>
      <c r="B1978" s="45" t="s">
        <v>3792</v>
      </c>
      <c r="C1978" s="45" t="s">
        <v>6748</v>
      </c>
      <c r="D1978" s="45" t="s">
        <v>6759</v>
      </c>
      <c r="E1978" s="44" t="s">
        <v>956</v>
      </c>
      <c r="F1978" s="37">
        <v>1</v>
      </c>
      <c r="G1978" s="37" t="s">
        <v>6864</v>
      </c>
      <c r="H1978" s="63">
        <v>17117.099999999999</v>
      </c>
    </row>
    <row r="1979" spans="1:8" ht="24.75" customHeight="1">
      <c r="A1979" s="44" t="s">
        <v>2566</v>
      </c>
      <c r="B1979" s="45" t="s">
        <v>3794</v>
      </c>
      <c r="C1979" s="45" t="s">
        <v>6748</v>
      </c>
      <c r="D1979" s="45" t="s">
        <v>6759</v>
      </c>
      <c r="E1979" s="44" t="s">
        <v>956</v>
      </c>
      <c r="F1979" s="37">
        <v>1</v>
      </c>
      <c r="G1979" s="37" t="s">
        <v>6864</v>
      </c>
      <c r="H1979" s="63">
        <v>29486.6</v>
      </c>
    </row>
    <row r="1980" spans="1:8" ht="24.75" customHeight="1">
      <c r="A1980" s="44" t="s">
        <v>2016</v>
      </c>
      <c r="B1980" s="45" t="s">
        <v>3789</v>
      </c>
      <c r="C1980" s="45" t="s">
        <v>6748</v>
      </c>
      <c r="D1980" s="45" t="s">
        <v>6759</v>
      </c>
      <c r="E1980" s="44" t="s">
        <v>956</v>
      </c>
      <c r="F1980" s="37">
        <v>1</v>
      </c>
      <c r="G1980" s="37" t="s">
        <v>6864</v>
      </c>
      <c r="H1980" s="63">
        <v>17117.099999999999</v>
      </c>
    </row>
    <row r="1981" spans="1:8" ht="24.75" customHeight="1">
      <c r="A1981" s="44" t="s">
        <v>2201</v>
      </c>
      <c r="B1981" s="45" t="s">
        <v>5550</v>
      </c>
      <c r="C1981" s="45" t="s">
        <v>6748</v>
      </c>
      <c r="D1981" s="45" t="s">
        <v>6759</v>
      </c>
      <c r="E1981" s="44" t="s">
        <v>956</v>
      </c>
      <c r="F1981" s="37">
        <v>1</v>
      </c>
      <c r="G1981" s="37" t="s">
        <v>6864</v>
      </c>
      <c r="H1981" s="63">
        <v>21407.1</v>
      </c>
    </row>
    <row r="1982" spans="1:8" ht="24.75" customHeight="1">
      <c r="A1982" s="44" t="s">
        <v>2018</v>
      </c>
      <c r="B1982" s="45" t="s">
        <v>3790</v>
      </c>
      <c r="C1982" s="45" t="s">
        <v>6748</v>
      </c>
      <c r="D1982" s="45" t="s">
        <v>6759</v>
      </c>
      <c r="E1982" s="44" t="s">
        <v>956</v>
      </c>
      <c r="F1982" s="37">
        <v>1</v>
      </c>
      <c r="G1982" s="37" t="s">
        <v>6864</v>
      </c>
      <c r="H1982" s="63">
        <v>21278.400000000001</v>
      </c>
    </row>
    <row r="1983" spans="1:8" ht="24.75" customHeight="1">
      <c r="A1983" s="44" t="s">
        <v>50</v>
      </c>
      <c r="B1983" s="45" t="s">
        <v>3788</v>
      </c>
      <c r="C1983" s="45" t="s">
        <v>6748</v>
      </c>
      <c r="D1983" s="45" t="s">
        <v>6759</v>
      </c>
      <c r="E1983" s="44" t="s">
        <v>956</v>
      </c>
      <c r="F1983" s="37">
        <v>1</v>
      </c>
      <c r="G1983" s="37" t="s">
        <v>6864</v>
      </c>
      <c r="H1983" s="63">
        <v>13370.5</v>
      </c>
    </row>
    <row r="1984" spans="1:8" ht="24.75" customHeight="1">
      <c r="A1984" s="44" t="s">
        <v>2024</v>
      </c>
      <c r="B1984" s="45" t="s">
        <v>3793</v>
      </c>
      <c r="C1984" s="45" t="s">
        <v>6748</v>
      </c>
      <c r="D1984" s="45" t="s">
        <v>6759</v>
      </c>
      <c r="E1984" s="44"/>
      <c r="F1984" s="37">
        <v>1</v>
      </c>
      <c r="G1984" s="37" t="s">
        <v>6864</v>
      </c>
      <c r="H1984" s="63">
        <v>32346.6</v>
      </c>
    </row>
    <row r="1985" spans="1:8" ht="24.75" customHeight="1">
      <c r="A1985" s="44" t="s">
        <v>141</v>
      </c>
      <c r="B1985" s="45" t="s">
        <v>3798</v>
      </c>
      <c r="C1985" s="45" t="s">
        <v>6748</v>
      </c>
      <c r="D1985" s="45" t="s">
        <v>6759</v>
      </c>
      <c r="E1985" s="44"/>
      <c r="F1985" s="37">
        <v>1</v>
      </c>
      <c r="G1985" s="37" t="s">
        <v>6864</v>
      </c>
      <c r="H1985" s="63">
        <v>30316</v>
      </c>
    </row>
    <row r="1986" spans="1:8" ht="24.75" customHeight="1">
      <c r="A1986" s="44" t="s">
        <v>364</v>
      </c>
      <c r="B1986" s="45" t="s">
        <v>4945</v>
      </c>
      <c r="C1986" s="45" t="s">
        <v>6748</v>
      </c>
      <c r="D1986" s="45" t="s">
        <v>6759</v>
      </c>
      <c r="E1986" s="44" t="s">
        <v>956</v>
      </c>
      <c r="F1986" s="37">
        <v>1</v>
      </c>
      <c r="G1986" s="37" t="s">
        <v>6864</v>
      </c>
      <c r="H1986" s="63">
        <v>30173</v>
      </c>
    </row>
    <row r="1987" spans="1:8" ht="24.75" customHeight="1">
      <c r="A1987" s="44" t="s">
        <v>2795</v>
      </c>
      <c r="B1987" s="45" t="s">
        <v>5793</v>
      </c>
      <c r="C1987" s="45" t="s">
        <v>6748</v>
      </c>
      <c r="D1987" s="45" t="s">
        <v>6759</v>
      </c>
      <c r="E1987" s="44"/>
      <c r="F1987" s="37">
        <v>5</v>
      </c>
      <c r="G1987" s="37" t="s">
        <v>6864</v>
      </c>
      <c r="H1987" s="63">
        <v>5577</v>
      </c>
    </row>
    <row r="1988" spans="1:8" ht="24.75" customHeight="1">
      <c r="A1988" s="44" t="s">
        <v>1850</v>
      </c>
      <c r="B1988" s="45" t="s">
        <v>5267</v>
      </c>
      <c r="C1988" s="45" t="s">
        <v>6748</v>
      </c>
      <c r="D1988" s="45" t="s">
        <v>6759</v>
      </c>
      <c r="E1988" s="44"/>
      <c r="F1988" s="37">
        <v>1</v>
      </c>
      <c r="G1988" s="37" t="s">
        <v>6864</v>
      </c>
      <c r="H1988" s="63">
        <v>21106.799999999999</v>
      </c>
    </row>
    <row r="1989" spans="1:8" ht="24.75" customHeight="1">
      <c r="A1989" s="44" t="s">
        <v>2068</v>
      </c>
      <c r="B1989" s="45" t="s">
        <v>5308</v>
      </c>
      <c r="C1989" s="45" t="s">
        <v>6748</v>
      </c>
      <c r="D1989" s="45" t="s">
        <v>6759</v>
      </c>
      <c r="E1989" s="44"/>
      <c r="F1989" s="37">
        <v>1</v>
      </c>
      <c r="G1989" s="37" t="s">
        <v>6864</v>
      </c>
      <c r="H1989" s="63">
        <v>15401.1</v>
      </c>
    </row>
    <row r="1990" spans="1:8" ht="24.75" customHeight="1">
      <c r="A1990" s="44" t="s">
        <v>19</v>
      </c>
      <c r="B1990" s="45" t="s">
        <v>5217</v>
      </c>
      <c r="C1990" s="45" t="s">
        <v>6748</v>
      </c>
      <c r="D1990" s="45" t="s">
        <v>6759</v>
      </c>
      <c r="E1990" s="44" t="s">
        <v>6839</v>
      </c>
      <c r="F1990" s="37">
        <v>1</v>
      </c>
      <c r="G1990" s="37" t="s">
        <v>6864</v>
      </c>
      <c r="H1990" s="63">
        <v>20520.5</v>
      </c>
    </row>
    <row r="1991" spans="1:8" ht="24.75" customHeight="1">
      <c r="A1991" s="44" t="s">
        <v>20</v>
      </c>
      <c r="B1991" s="45" t="s">
        <v>5626</v>
      </c>
      <c r="C1991" s="45" t="s">
        <v>6748</v>
      </c>
      <c r="D1991" s="45" t="s">
        <v>6759</v>
      </c>
      <c r="E1991" s="44" t="s">
        <v>6839</v>
      </c>
      <c r="F1991" s="37">
        <v>1</v>
      </c>
      <c r="G1991" s="37" t="s">
        <v>6864</v>
      </c>
      <c r="H1991" s="63">
        <v>16902.599999999999</v>
      </c>
    </row>
    <row r="1992" spans="1:8" ht="24.75" customHeight="1">
      <c r="A1992" s="44" t="s">
        <v>21</v>
      </c>
      <c r="B1992" s="45" t="s">
        <v>6073</v>
      </c>
      <c r="C1992" s="45" t="s">
        <v>6748</v>
      </c>
      <c r="D1992" s="45" t="s">
        <v>6759</v>
      </c>
      <c r="E1992" s="44" t="s">
        <v>6839</v>
      </c>
      <c r="F1992" s="37">
        <v>1</v>
      </c>
      <c r="G1992" s="37" t="s">
        <v>6864</v>
      </c>
      <c r="H1992" s="63">
        <v>18561.400000000001</v>
      </c>
    </row>
    <row r="1993" spans="1:8" ht="24.75" customHeight="1">
      <c r="A1993" s="44" t="s">
        <v>1174</v>
      </c>
      <c r="B1993" s="45" t="s">
        <v>5148</v>
      </c>
      <c r="C1993" s="45" t="s">
        <v>6748</v>
      </c>
      <c r="D1993" s="45" t="s">
        <v>6759</v>
      </c>
      <c r="E1993" s="44" t="s">
        <v>6839</v>
      </c>
      <c r="F1993" s="37">
        <v>1</v>
      </c>
      <c r="G1993" s="37" t="s">
        <v>6864</v>
      </c>
      <c r="H1993" s="63">
        <v>15115.1</v>
      </c>
    </row>
    <row r="1994" spans="1:8" ht="24.75" customHeight="1">
      <c r="A1994" s="44" t="s">
        <v>925</v>
      </c>
      <c r="B1994" s="45" t="s">
        <v>4885</v>
      </c>
      <c r="C1994" s="45" t="s">
        <v>6748</v>
      </c>
      <c r="D1994" s="45" t="s">
        <v>6759</v>
      </c>
      <c r="E1994" s="44" t="s">
        <v>6839</v>
      </c>
      <c r="F1994" s="37">
        <v>1</v>
      </c>
      <c r="G1994" s="37" t="s">
        <v>6864</v>
      </c>
      <c r="H1994" s="63">
        <v>13284.7</v>
      </c>
    </row>
    <row r="1995" spans="1:8" ht="24.75" customHeight="1">
      <c r="A1995" s="44" t="s">
        <v>140</v>
      </c>
      <c r="B1995" s="45" t="s">
        <v>3797</v>
      </c>
      <c r="C1995" s="45" t="s">
        <v>6748</v>
      </c>
      <c r="D1995" s="45" t="s">
        <v>6759</v>
      </c>
      <c r="E1995" s="44" t="s">
        <v>956</v>
      </c>
      <c r="F1995" s="37">
        <v>1</v>
      </c>
      <c r="G1995" s="37" t="s">
        <v>6864</v>
      </c>
      <c r="H1995" s="63">
        <v>10410.4</v>
      </c>
    </row>
    <row r="1996" spans="1:8" ht="24.75" customHeight="1">
      <c r="A1996" s="44" t="s">
        <v>1271</v>
      </c>
      <c r="B1996" s="45" t="s">
        <v>3816</v>
      </c>
      <c r="C1996" s="45" t="s">
        <v>6748</v>
      </c>
      <c r="D1996" s="45" t="s">
        <v>6759</v>
      </c>
      <c r="E1996" s="44"/>
      <c r="F1996" s="37">
        <v>1</v>
      </c>
      <c r="G1996" s="37" t="s">
        <v>6864</v>
      </c>
      <c r="H1996" s="63">
        <v>12526.8</v>
      </c>
    </row>
    <row r="1997" spans="1:8" ht="24.75" customHeight="1">
      <c r="A1997" s="44" t="s">
        <v>142</v>
      </c>
      <c r="B1997" s="45" t="s">
        <v>3809</v>
      </c>
      <c r="C1997" s="45" t="s">
        <v>6748</v>
      </c>
      <c r="D1997" s="45" t="s">
        <v>6759</v>
      </c>
      <c r="E1997" s="44" t="s">
        <v>956</v>
      </c>
      <c r="F1997" s="37">
        <v>1</v>
      </c>
      <c r="G1997" s="37" t="s">
        <v>6864</v>
      </c>
      <c r="H1997" s="63">
        <v>6120.4</v>
      </c>
    </row>
    <row r="1998" spans="1:8" ht="24.75" customHeight="1">
      <c r="A1998" s="44" t="s">
        <v>603</v>
      </c>
      <c r="B1998" s="45" t="s">
        <v>5649</v>
      </c>
      <c r="C1998" s="45" t="s">
        <v>6748</v>
      </c>
      <c r="D1998" s="45" t="s">
        <v>6759</v>
      </c>
      <c r="E1998" s="44" t="s">
        <v>6839</v>
      </c>
      <c r="F1998" s="37">
        <v>1</v>
      </c>
      <c r="G1998" s="37" t="s">
        <v>6864</v>
      </c>
      <c r="H1998" s="63">
        <v>15172.3</v>
      </c>
    </row>
    <row r="1999" spans="1:8" ht="24.75" customHeight="1">
      <c r="A1999" s="44" t="s">
        <v>1508</v>
      </c>
      <c r="B1999" s="45" t="s">
        <v>5056</v>
      </c>
      <c r="C1999" s="45" t="s">
        <v>6748</v>
      </c>
      <c r="D1999" s="45" t="s">
        <v>6759</v>
      </c>
      <c r="E1999" s="44" t="s">
        <v>956</v>
      </c>
      <c r="F1999" s="37">
        <v>1</v>
      </c>
      <c r="G1999" s="37" t="s">
        <v>6864</v>
      </c>
      <c r="H1999" s="63">
        <v>11797.5</v>
      </c>
    </row>
    <row r="2000" spans="1:8" ht="24.75" customHeight="1">
      <c r="A2000" s="44" t="s">
        <v>2020</v>
      </c>
      <c r="B2000" s="45" t="s">
        <v>3801</v>
      </c>
      <c r="C2000" s="45" t="s">
        <v>6748</v>
      </c>
      <c r="D2000" s="45" t="s">
        <v>6759</v>
      </c>
      <c r="E2000" s="44" t="s">
        <v>956</v>
      </c>
      <c r="F2000" s="37">
        <v>1</v>
      </c>
      <c r="G2000" s="37" t="s">
        <v>6864</v>
      </c>
      <c r="H2000" s="63">
        <v>16588</v>
      </c>
    </row>
    <row r="2001" spans="1:8" ht="24.75" customHeight="1">
      <c r="A2001" s="44" t="s">
        <v>1636</v>
      </c>
      <c r="B2001" s="45" t="s">
        <v>5532</v>
      </c>
      <c r="C2001" s="45" t="s">
        <v>6748</v>
      </c>
      <c r="D2001" s="45" t="s">
        <v>6759</v>
      </c>
      <c r="E2001" s="44" t="s">
        <v>6839</v>
      </c>
      <c r="F2001" s="37">
        <v>1</v>
      </c>
      <c r="G2001" s="37" t="s">
        <v>6864</v>
      </c>
      <c r="H2001" s="63">
        <v>11482.9</v>
      </c>
    </row>
    <row r="2002" spans="1:8" ht="24.75" customHeight="1">
      <c r="A2002" s="44" t="s">
        <v>3201</v>
      </c>
      <c r="B2002" s="45" t="s">
        <v>5376</v>
      </c>
      <c r="C2002" s="45" t="s">
        <v>6748</v>
      </c>
      <c r="D2002" s="45" t="s">
        <v>6759</v>
      </c>
      <c r="E2002" s="44" t="s">
        <v>956</v>
      </c>
      <c r="F2002" s="37">
        <v>1</v>
      </c>
      <c r="G2002" s="37" t="s">
        <v>6864</v>
      </c>
      <c r="H2002" s="63">
        <v>19762.599999999999</v>
      </c>
    </row>
    <row r="2003" spans="1:8" ht="24.75" customHeight="1">
      <c r="A2003" s="44" t="s">
        <v>2789</v>
      </c>
      <c r="B2003" s="45" t="s">
        <v>5786</v>
      </c>
      <c r="C2003" s="45" t="s">
        <v>6748</v>
      </c>
      <c r="D2003" s="45" t="s">
        <v>6759</v>
      </c>
      <c r="E2003" s="44"/>
      <c r="F2003" s="37">
        <v>1</v>
      </c>
      <c r="G2003" s="37" t="s">
        <v>6864</v>
      </c>
      <c r="H2003" s="63">
        <v>18561.400000000001</v>
      </c>
    </row>
    <row r="2004" spans="1:8" ht="24.75" customHeight="1">
      <c r="A2004" s="44" t="s">
        <v>2022</v>
      </c>
      <c r="B2004" s="45" t="s">
        <v>3802</v>
      </c>
      <c r="C2004" s="45" t="s">
        <v>6748</v>
      </c>
      <c r="D2004" s="45" t="s">
        <v>6759</v>
      </c>
      <c r="E2004" s="44" t="s">
        <v>956</v>
      </c>
      <c r="F2004" s="37">
        <v>1</v>
      </c>
      <c r="G2004" s="37" t="s">
        <v>6864</v>
      </c>
      <c r="H2004" s="63">
        <v>11768.9</v>
      </c>
    </row>
    <row r="2005" spans="1:8" ht="24.75" customHeight="1">
      <c r="A2005" s="44" t="s">
        <v>2015</v>
      </c>
      <c r="B2005" s="45" t="s">
        <v>3799</v>
      </c>
      <c r="C2005" s="45" t="s">
        <v>6748</v>
      </c>
      <c r="D2005" s="45" t="s">
        <v>6759</v>
      </c>
      <c r="E2005" s="44" t="s">
        <v>956</v>
      </c>
      <c r="F2005" s="37">
        <v>1</v>
      </c>
      <c r="G2005" s="37" t="s">
        <v>6864</v>
      </c>
      <c r="H2005" s="63">
        <v>9209.2000000000007</v>
      </c>
    </row>
    <row r="2006" spans="1:8" ht="24.75" customHeight="1">
      <c r="A2006" s="44" t="s">
        <v>2202</v>
      </c>
      <c r="B2006" s="45" t="s">
        <v>5879</v>
      </c>
      <c r="C2006" s="45" t="s">
        <v>6748</v>
      </c>
      <c r="D2006" s="45" t="s">
        <v>6759</v>
      </c>
      <c r="E2006" s="44" t="s">
        <v>956</v>
      </c>
      <c r="F2006" s="37">
        <v>1</v>
      </c>
      <c r="G2006" s="37" t="s">
        <v>6864</v>
      </c>
      <c r="H2006" s="63">
        <v>8923.2000000000007</v>
      </c>
    </row>
    <row r="2007" spans="1:8" ht="24.75" customHeight="1">
      <c r="A2007" s="44" t="s">
        <v>2017</v>
      </c>
      <c r="B2007" s="45" t="s">
        <v>3800</v>
      </c>
      <c r="C2007" s="45" t="s">
        <v>6748</v>
      </c>
      <c r="D2007" s="45" t="s">
        <v>6759</v>
      </c>
      <c r="E2007" s="44" t="s">
        <v>956</v>
      </c>
      <c r="F2007" s="37">
        <v>1</v>
      </c>
      <c r="G2007" s="37" t="s">
        <v>6864</v>
      </c>
      <c r="H2007" s="63">
        <v>9209.2000000000007</v>
      </c>
    </row>
    <row r="2008" spans="1:8" ht="24.75" customHeight="1">
      <c r="A2008" s="44" t="s">
        <v>2025</v>
      </c>
      <c r="B2008" s="45" t="s">
        <v>3804</v>
      </c>
      <c r="C2008" s="45" t="s">
        <v>6748</v>
      </c>
      <c r="D2008" s="45" t="s">
        <v>6759</v>
      </c>
      <c r="E2008" s="44" t="s">
        <v>956</v>
      </c>
      <c r="F2008" s="37">
        <v>1</v>
      </c>
      <c r="G2008" s="37" t="s">
        <v>6864</v>
      </c>
      <c r="H2008" s="63">
        <v>7664.8</v>
      </c>
    </row>
    <row r="2009" spans="1:8" ht="24.75" customHeight="1">
      <c r="A2009" s="44" t="s">
        <v>2468</v>
      </c>
      <c r="B2009" s="45" t="s">
        <v>3808</v>
      </c>
      <c r="C2009" s="45" t="s">
        <v>6748</v>
      </c>
      <c r="D2009" s="45" t="s">
        <v>6759</v>
      </c>
      <c r="E2009" s="44"/>
      <c r="F2009" s="37">
        <v>1</v>
      </c>
      <c r="G2009" s="37" t="s">
        <v>6864</v>
      </c>
      <c r="H2009" s="63">
        <v>8208.2000000000007</v>
      </c>
    </row>
    <row r="2010" spans="1:8" ht="24.75" customHeight="1">
      <c r="A2010" s="44" t="s">
        <v>2023</v>
      </c>
      <c r="B2010" s="45" t="s">
        <v>3803</v>
      </c>
      <c r="C2010" s="45" t="s">
        <v>6748</v>
      </c>
      <c r="D2010" s="45" t="s">
        <v>6759</v>
      </c>
      <c r="E2010" s="44" t="s">
        <v>956</v>
      </c>
      <c r="F2010" s="37">
        <v>1</v>
      </c>
      <c r="G2010" s="37" t="s">
        <v>6864</v>
      </c>
      <c r="H2010" s="63">
        <v>21278.400000000001</v>
      </c>
    </row>
    <row r="2011" spans="1:8" ht="24.75" customHeight="1">
      <c r="A2011" s="44" t="s">
        <v>2351</v>
      </c>
      <c r="B2011" s="45" t="s">
        <v>3807</v>
      </c>
      <c r="C2011" s="45" t="s">
        <v>6748</v>
      </c>
      <c r="D2011" s="45" t="s">
        <v>6759</v>
      </c>
      <c r="E2011" s="44" t="s">
        <v>956</v>
      </c>
      <c r="F2011" s="37">
        <v>1</v>
      </c>
      <c r="G2011" s="37" t="s">
        <v>6864</v>
      </c>
      <c r="H2011" s="63">
        <v>16588</v>
      </c>
    </row>
    <row r="2012" spans="1:8" ht="24.75" customHeight="1">
      <c r="A2012" s="44" t="s">
        <v>2845</v>
      </c>
      <c r="B2012" s="45" t="s">
        <v>3806</v>
      </c>
      <c r="C2012" s="45" t="s">
        <v>6748</v>
      </c>
      <c r="D2012" s="45" t="s">
        <v>6759</v>
      </c>
      <c r="E2012" s="44" t="s">
        <v>6839</v>
      </c>
      <c r="F2012" s="37">
        <v>1</v>
      </c>
      <c r="G2012" s="37" t="s">
        <v>6864</v>
      </c>
      <c r="H2012" s="63">
        <v>24781.9</v>
      </c>
    </row>
    <row r="2013" spans="1:8" ht="24.75" customHeight="1">
      <c r="A2013" s="44" t="s">
        <v>943</v>
      </c>
      <c r="B2013" s="45" t="s">
        <v>6353</v>
      </c>
      <c r="C2013" s="45" t="s">
        <v>6748</v>
      </c>
      <c r="D2013" s="45" t="s">
        <v>6712</v>
      </c>
      <c r="E2013" s="44"/>
      <c r="F2013" s="37">
        <v>20</v>
      </c>
      <c r="G2013" s="37" t="s">
        <v>6864</v>
      </c>
      <c r="H2013" s="63">
        <v>529.1</v>
      </c>
    </row>
    <row r="2014" spans="1:8" ht="24.75" customHeight="1">
      <c r="A2014" s="44" t="s">
        <v>2048</v>
      </c>
      <c r="B2014" s="45" t="s">
        <v>5287</v>
      </c>
      <c r="C2014" s="45" t="s">
        <v>6748</v>
      </c>
      <c r="D2014" s="45" t="s">
        <v>6712</v>
      </c>
      <c r="E2014" s="44" t="s">
        <v>956</v>
      </c>
      <c r="F2014" s="37">
        <v>1</v>
      </c>
      <c r="G2014" s="37" t="s">
        <v>6864</v>
      </c>
      <c r="H2014" s="63">
        <v>2831.4</v>
      </c>
    </row>
    <row r="2015" spans="1:8" ht="24.75" customHeight="1">
      <c r="A2015" s="44" t="s">
        <v>1183</v>
      </c>
      <c r="B2015" s="45" t="s">
        <v>5157</v>
      </c>
      <c r="C2015" s="45" t="s">
        <v>6748</v>
      </c>
      <c r="D2015" s="45" t="s">
        <v>6712</v>
      </c>
      <c r="E2015" s="44"/>
      <c r="F2015" s="37">
        <v>20</v>
      </c>
      <c r="G2015" s="37" t="s">
        <v>6864</v>
      </c>
      <c r="H2015" s="63">
        <v>271.7</v>
      </c>
    </row>
    <row r="2016" spans="1:8" ht="24.75" customHeight="1">
      <c r="A2016" s="44" t="s">
        <v>321</v>
      </c>
      <c r="B2016" s="45" t="s">
        <v>3825</v>
      </c>
      <c r="C2016" s="45" t="s">
        <v>6748</v>
      </c>
      <c r="D2016" s="45" t="s">
        <v>6712</v>
      </c>
      <c r="E2016" s="44" t="s">
        <v>6839</v>
      </c>
      <c r="F2016" s="37">
        <v>1</v>
      </c>
      <c r="G2016" s="37" t="s">
        <v>6864</v>
      </c>
      <c r="H2016" s="63">
        <v>4475.8999999999996</v>
      </c>
    </row>
    <row r="2017" spans="1:8" ht="24.75" customHeight="1">
      <c r="A2017" s="44" t="s">
        <v>1957</v>
      </c>
      <c r="B2017" s="45" t="s">
        <v>3821</v>
      </c>
      <c r="C2017" s="45" t="s">
        <v>6748</v>
      </c>
      <c r="D2017" s="45" t="s">
        <v>6712</v>
      </c>
      <c r="E2017" s="44"/>
      <c r="F2017" s="37">
        <v>20</v>
      </c>
      <c r="G2017" s="37" t="s">
        <v>6864</v>
      </c>
      <c r="H2017" s="63">
        <v>443.3</v>
      </c>
    </row>
    <row r="2018" spans="1:8" ht="24.75" customHeight="1">
      <c r="A2018" s="44" t="s">
        <v>323</v>
      </c>
      <c r="B2018" s="45" t="s">
        <v>3827</v>
      </c>
      <c r="C2018" s="45" t="s">
        <v>6748</v>
      </c>
      <c r="D2018" s="45" t="s">
        <v>6712</v>
      </c>
      <c r="E2018" s="44" t="s">
        <v>6839</v>
      </c>
      <c r="F2018" s="37">
        <v>1</v>
      </c>
      <c r="G2018" s="37" t="s">
        <v>6864</v>
      </c>
      <c r="H2018" s="63">
        <v>1329.9</v>
      </c>
    </row>
    <row r="2019" spans="1:8" ht="24.75" customHeight="1">
      <c r="A2019" s="44" t="s">
        <v>138</v>
      </c>
      <c r="B2019" s="45" t="s">
        <v>3824</v>
      </c>
      <c r="C2019" s="45" t="s">
        <v>6748</v>
      </c>
      <c r="D2019" s="45" t="s">
        <v>6712</v>
      </c>
      <c r="E2019" s="44" t="s">
        <v>6839</v>
      </c>
      <c r="F2019" s="37">
        <v>1</v>
      </c>
      <c r="G2019" s="37" t="s">
        <v>6864</v>
      </c>
      <c r="H2019" s="63">
        <v>3632.2</v>
      </c>
    </row>
    <row r="2020" spans="1:8" ht="24.75" customHeight="1">
      <c r="A2020" s="44" t="s">
        <v>495</v>
      </c>
      <c r="B2020" s="45" t="s">
        <v>3823</v>
      </c>
      <c r="C2020" s="45" t="s">
        <v>6748</v>
      </c>
      <c r="D2020" s="45" t="s">
        <v>6712</v>
      </c>
      <c r="E2020" s="44" t="s">
        <v>6839</v>
      </c>
      <c r="F2020" s="37">
        <v>1</v>
      </c>
      <c r="G2020" s="37" t="s">
        <v>6864</v>
      </c>
      <c r="H2020" s="63">
        <v>1272.7</v>
      </c>
    </row>
    <row r="2021" spans="1:8" ht="24.75" customHeight="1">
      <c r="A2021" s="44" t="s">
        <v>944</v>
      </c>
      <c r="B2021" s="45" t="s">
        <v>3822</v>
      </c>
      <c r="C2021" s="45" t="s">
        <v>6748</v>
      </c>
      <c r="D2021" s="45" t="s">
        <v>6712</v>
      </c>
      <c r="E2021" s="44" t="s">
        <v>6839</v>
      </c>
      <c r="F2021" s="37">
        <v>1</v>
      </c>
      <c r="G2021" s="37" t="s">
        <v>6864</v>
      </c>
      <c r="H2021" s="63">
        <v>3003</v>
      </c>
    </row>
    <row r="2022" spans="1:8" ht="24.75" customHeight="1">
      <c r="A2022" s="44" t="s">
        <v>1956</v>
      </c>
      <c r="B2022" s="45" t="s">
        <v>3820</v>
      </c>
      <c r="C2022" s="45" t="s">
        <v>6748</v>
      </c>
      <c r="D2022" s="45" t="s">
        <v>6712</v>
      </c>
      <c r="E2022" s="44" t="s">
        <v>956</v>
      </c>
      <c r="F2022" s="37">
        <v>1</v>
      </c>
      <c r="G2022" s="37" t="s">
        <v>6864</v>
      </c>
      <c r="H2022" s="63">
        <v>1787.5</v>
      </c>
    </row>
    <row r="2023" spans="1:8" ht="24.75" customHeight="1">
      <c r="A2023" s="44" t="s">
        <v>322</v>
      </c>
      <c r="B2023" s="45" t="s">
        <v>3826</v>
      </c>
      <c r="C2023" s="45" t="s">
        <v>6748</v>
      </c>
      <c r="D2023" s="45" t="s">
        <v>6712</v>
      </c>
      <c r="E2023" s="44" t="s">
        <v>6839</v>
      </c>
      <c r="F2023" s="37">
        <v>1</v>
      </c>
      <c r="G2023" s="37" t="s">
        <v>6864</v>
      </c>
      <c r="H2023" s="63">
        <v>3131.7</v>
      </c>
    </row>
    <row r="2024" spans="1:8" ht="24.75" customHeight="1">
      <c r="A2024" s="44" t="s">
        <v>1201</v>
      </c>
      <c r="B2024" s="45" t="s">
        <v>5022</v>
      </c>
      <c r="C2024" s="45" t="s">
        <v>6748</v>
      </c>
      <c r="D2024" s="45" t="s">
        <v>6712</v>
      </c>
      <c r="E2024" s="44"/>
      <c r="F2024" s="37">
        <v>10</v>
      </c>
      <c r="G2024" s="37" t="s">
        <v>6864</v>
      </c>
      <c r="H2024" s="63">
        <v>629.20000000000005</v>
      </c>
    </row>
    <row r="2025" spans="1:8" ht="24.75" customHeight="1">
      <c r="A2025" s="44" t="s">
        <v>2047</v>
      </c>
      <c r="B2025" s="45" t="s">
        <v>5286</v>
      </c>
      <c r="C2025" s="45" t="s">
        <v>6748</v>
      </c>
      <c r="D2025" s="45" t="s">
        <v>6712</v>
      </c>
      <c r="E2025" s="44" t="s">
        <v>956</v>
      </c>
      <c r="F2025" s="37">
        <v>1</v>
      </c>
      <c r="G2025" s="37" t="s">
        <v>6864</v>
      </c>
      <c r="H2025" s="63">
        <v>6106.1</v>
      </c>
    </row>
    <row r="2026" spans="1:8" ht="24.75" customHeight="1">
      <c r="A2026" s="44" t="s">
        <v>326</v>
      </c>
      <c r="B2026" s="45" t="s">
        <v>3831</v>
      </c>
      <c r="C2026" s="45" t="s">
        <v>6748</v>
      </c>
      <c r="D2026" s="45" t="s">
        <v>6712</v>
      </c>
      <c r="E2026" s="44" t="s">
        <v>956</v>
      </c>
      <c r="F2026" s="37">
        <v>1</v>
      </c>
      <c r="G2026" s="37" t="s">
        <v>6864</v>
      </c>
      <c r="H2026" s="63">
        <v>2674.1</v>
      </c>
    </row>
    <row r="2027" spans="1:8" ht="24.75" customHeight="1">
      <c r="A2027" s="44" t="s">
        <v>327</v>
      </c>
      <c r="B2027" s="45" t="s">
        <v>3832</v>
      </c>
      <c r="C2027" s="45" t="s">
        <v>6748</v>
      </c>
      <c r="D2027" s="45" t="s">
        <v>6712</v>
      </c>
      <c r="E2027" s="44" t="s">
        <v>956</v>
      </c>
      <c r="F2027" s="37">
        <v>1</v>
      </c>
      <c r="G2027" s="37" t="s">
        <v>6864</v>
      </c>
      <c r="H2027" s="63">
        <v>3389.1</v>
      </c>
    </row>
    <row r="2028" spans="1:8" ht="24.75" customHeight="1">
      <c r="A2028" s="44" t="s">
        <v>815</v>
      </c>
      <c r="B2028" s="45" t="s">
        <v>3833</v>
      </c>
      <c r="C2028" s="45" t="s">
        <v>6748</v>
      </c>
      <c r="D2028" s="45" t="s">
        <v>6712</v>
      </c>
      <c r="E2028" s="44" t="s">
        <v>956</v>
      </c>
      <c r="F2028" s="37">
        <v>1</v>
      </c>
      <c r="G2028" s="37" t="s">
        <v>6864</v>
      </c>
      <c r="H2028" s="63">
        <v>4876.3</v>
      </c>
    </row>
    <row r="2029" spans="1:8" ht="24.75" customHeight="1">
      <c r="A2029" s="44" t="s">
        <v>828</v>
      </c>
      <c r="B2029" s="45" t="s">
        <v>3854</v>
      </c>
      <c r="C2029" s="45" t="s">
        <v>6748</v>
      </c>
      <c r="D2029" s="45" t="s">
        <v>6712</v>
      </c>
      <c r="E2029" s="44" t="s">
        <v>956</v>
      </c>
      <c r="F2029" s="37">
        <v>1</v>
      </c>
      <c r="G2029" s="37" t="s">
        <v>6864</v>
      </c>
      <c r="H2029" s="63">
        <v>5276.7</v>
      </c>
    </row>
    <row r="2030" spans="1:8" ht="24.75" customHeight="1">
      <c r="A2030" s="44" t="s">
        <v>221</v>
      </c>
      <c r="B2030" s="45" t="s">
        <v>3859</v>
      </c>
      <c r="C2030" s="45" t="s">
        <v>6748</v>
      </c>
      <c r="D2030" s="45" t="s">
        <v>6712</v>
      </c>
      <c r="E2030" s="44" t="s">
        <v>956</v>
      </c>
      <c r="F2030" s="37">
        <v>1</v>
      </c>
      <c r="G2030" s="37" t="s">
        <v>6864</v>
      </c>
      <c r="H2030" s="63">
        <v>5276.7</v>
      </c>
    </row>
    <row r="2031" spans="1:8" ht="24.75" customHeight="1">
      <c r="A2031" s="44" t="s">
        <v>1524</v>
      </c>
      <c r="B2031" s="45" t="s">
        <v>3860</v>
      </c>
      <c r="C2031" s="45" t="s">
        <v>6748</v>
      </c>
      <c r="D2031" s="45" t="s">
        <v>6712</v>
      </c>
      <c r="E2031" s="44" t="s">
        <v>956</v>
      </c>
      <c r="F2031" s="37">
        <v>1</v>
      </c>
      <c r="G2031" s="37" t="s">
        <v>6864</v>
      </c>
      <c r="H2031" s="63">
        <v>5276.7</v>
      </c>
    </row>
    <row r="2032" spans="1:8" ht="24.75" customHeight="1">
      <c r="A2032" s="44" t="s">
        <v>220</v>
      </c>
      <c r="B2032" s="45" t="s">
        <v>3858</v>
      </c>
      <c r="C2032" s="45" t="s">
        <v>6748</v>
      </c>
      <c r="D2032" s="45" t="s">
        <v>6712</v>
      </c>
      <c r="E2032" s="44" t="s">
        <v>956</v>
      </c>
      <c r="F2032" s="37">
        <v>1</v>
      </c>
      <c r="G2032" s="37" t="s">
        <v>6864</v>
      </c>
      <c r="H2032" s="63">
        <v>5090.8</v>
      </c>
    </row>
    <row r="2033" spans="1:8" ht="24.75" customHeight="1">
      <c r="A2033" s="44" t="s">
        <v>225</v>
      </c>
      <c r="B2033" s="45" t="s">
        <v>3868</v>
      </c>
      <c r="C2033" s="45" t="s">
        <v>6748</v>
      </c>
      <c r="D2033" s="45" t="s">
        <v>6712</v>
      </c>
      <c r="E2033" s="44" t="s">
        <v>956</v>
      </c>
      <c r="F2033" s="37">
        <v>1</v>
      </c>
      <c r="G2033" s="37" t="s">
        <v>6864</v>
      </c>
      <c r="H2033" s="63">
        <v>5276.7</v>
      </c>
    </row>
    <row r="2034" spans="1:8" ht="24.75" customHeight="1">
      <c r="A2034" s="44" t="s">
        <v>1528</v>
      </c>
      <c r="B2034" s="45" t="s">
        <v>3864</v>
      </c>
      <c r="C2034" s="45" t="s">
        <v>6748</v>
      </c>
      <c r="D2034" s="45" t="s">
        <v>6712</v>
      </c>
      <c r="E2034" s="44" t="s">
        <v>956</v>
      </c>
      <c r="F2034" s="37">
        <v>1</v>
      </c>
      <c r="G2034" s="37" t="s">
        <v>6864</v>
      </c>
      <c r="H2034" s="63">
        <v>5333.9</v>
      </c>
    </row>
    <row r="2035" spans="1:8" ht="24.75" customHeight="1">
      <c r="A2035" s="44" t="s">
        <v>217</v>
      </c>
      <c r="B2035" s="45" t="s">
        <v>3855</v>
      </c>
      <c r="C2035" s="45" t="s">
        <v>6748</v>
      </c>
      <c r="D2035" s="45" t="s">
        <v>6712</v>
      </c>
      <c r="E2035" s="44" t="s">
        <v>956</v>
      </c>
      <c r="F2035" s="37">
        <v>1</v>
      </c>
      <c r="G2035" s="37" t="s">
        <v>6864</v>
      </c>
      <c r="H2035" s="63">
        <v>5090.8</v>
      </c>
    </row>
    <row r="2036" spans="1:8" ht="24.75" customHeight="1">
      <c r="A2036" s="44" t="s">
        <v>222</v>
      </c>
      <c r="B2036" s="45" t="s">
        <v>3865</v>
      </c>
      <c r="C2036" s="45" t="s">
        <v>6748</v>
      </c>
      <c r="D2036" s="45" t="s">
        <v>6712</v>
      </c>
      <c r="E2036" s="44" t="s">
        <v>956</v>
      </c>
      <c r="F2036" s="37">
        <v>1</v>
      </c>
      <c r="G2036" s="37" t="s">
        <v>6864</v>
      </c>
      <c r="H2036" s="63">
        <v>5276.7</v>
      </c>
    </row>
    <row r="2037" spans="1:8" ht="24.75" customHeight="1">
      <c r="A2037" s="44" t="s">
        <v>1525</v>
      </c>
      <c r="B2037" s="45" t="s">
        <v>3861</v>
      </c>
      <c r="C2037" s="45" t="s">
        <v>6748</v>
      </c>
      <c r="D2037" s="45" t="s">
        <v>6712</v>
      </c>
      <c r="E2037" s="44" t="s">
        <v>956</v>
      </c>
      <c r="F2037" s="37">
        <v>1</v>
      </c>
      <c r="G2037" s="37" t="s">
        <v>6864</v>
      </c>
      <c r="H2037" s="63">
        <v>5276.7</v>
      </c>
    </row>
    <row r="2038" spans="1:8" ht="24.75" customHeight="1">
      <c r="A2038" s="44" t="s">
        <v>218</v>
      </c>
      <c r="B2038" s="45" t="s">
        <v>3856</v>
      </c>
      <c r="C2038" s="45" t="s">
        <v>6748</v>
      </c>
      <c r="D2038" s="45" t="s">
        <v>6712</v>
      </c>
      <c r="E2038" s="44" t="s">
        <v>956</v>
      </c>
      <c r="F2038" s="37">
        <v>1</v>
      </c>
      <c r="G2038" s="37" t="s">
        <v>6864</v>
      </c>
      <c r="H2038" s="63">
        <v>5276.7</v>
      </c>
    </row>
    <row r="2039" spans="1:8" ht="24.75" customHeight="1">
      <c r="A2039" s="44" t="s">
        <v>223</v>
      </c>
      <c r="B2039" s="45" t="s">
        <v>3866</v>
      </c>
      <c r="C2039" s="45" t="s">
        <v>6748</v>
      </c>
      <c r="D2039" s="45" t="s">
        <v>6712</v>
      </c>
      <c r="E2039" s="44" t="s">
        <v>956</v>
      </c>
      <c r="F2039" s="37">
        <v>1</v>
      </c>
      <c r="G2039" s="37" t="s">
        <v>6864</v>
      </c>
      <c r="H2039" s="63">
        <v>5276.7</v>
      </c>
    </row>
    <row r="2040" spans="1:8" ht="24.75" customHeight="1">
      <c r="A2040" s="44" t="s">
        <v>1526</v>
      </c>
      <c r="B2040" s="45" t="s">
        <v>3862</v>
      </c>
      <c r="C2040" s="45" t="s">
        <v>6748</v>
      </c>
      <c r="D2040" s="45" t="s">
        <v>6712</v>
      </c>
      <c r="E2040" s="44" t="s">
        <v>956</v>
      </c>
      <c r="F2040" s="37">
        <v>1</v>
      </c>
      <c r="G2040" s="37" t="s">
        <v>6864</v>
      </c>
      <c r="H2040" s="63">
        <v>5276.7</v>
      </c>
    </row>
    <row r="2041" spans="1:8" ht="24.75" customHeight="1">
      <c r="A2041" s="44" t="s">
        <v>219</v>
      </c>
      <c r="B2041" s="45" t="s">
        <v>3857</v>
      </c>
      <c r="C2041" s="45" t="s">
        <v>6748</v>
      </c>
      <c r="D2041" s="45" t="s">
        <v>6712</v>
      </c>
      <c r="E2041" s="44" t="s">
        <v>956</v>
      </c>
      <c r="F2041" s="37">
        <v>1</v>
      </c>
      <c r="G2041" s="37" t="s">
        <v>6864</v>
      </c>
      <c r="H2041" s="63">
        <v>5276.7</v>
      </c>
    </row>
    <row r="2042" spans="1:8" ht="24.75" customHeight="1">
      <c r="A2042" s="44" t="s">
        <v>224</v>
      </c>
      <c r="B2042" s="45" t="s">
        <v>3867</v>
      </c>
      <c r="C2042" s="45" t="s">
        <v>6748</v>
      </c>
      <c r="D2042" s="45" t="s">
        <v>6712</v>
      </c>
      <c r="E2042" s="44" t="s">
        <v>956</v>
      </c>
      <c r="F2042" s="37">
        <v>1</v>
      </c>
      <c r="G2042" s="37" t="s">
        <v>6864</v>
      </c>
      <c r="H2042" s="63">
        <v>5276.7</v>
      </c>
    </row>
    <row r="2043" spans="1:8" ht="24.75" customHeight="1">
      <c r="A2043" s="44" t="s">
        <v>1527</v>
      </c>
      <c r="B2043" s="45" t="s">
        <v>3863</v>
      </c>
      <c r="C2043" s="45" t="s">
        <v>6748</v>
      </c>
      <c r="D2043" s="45" t="s">
        <v>6712</v>
      </c>
      <c r="E2043" s="44" t="s">
        <v>956</v>
      </c>
      <c r="F2043" s="37">
        <v>1</v>
      </c>
      <c r="G2043" s="37" t="s">
        <v>6864</v>
      </c>
      <c r="H2043" s="63">
        <v>5276.7</v>
      </c>
    </row>
    <row r="2044" spans="1:8" ht="24.75" customHeight="1">
      <c r="A2044" s="44" t="s">
        <v>822</v>
      </c>
      <c r="B2044" s="45" t="s">
        <v>3843</v>
      </c>
      <c r="C2044" s="45" t="s">
        <v>6748</v>
      </c>
      <c r="D2044" s="45" t="s">
        <v>6712</v>
      </c>
      <c r="E2044" s="44"/>
      <c r="F2044" s="37">
        <v>1</v>
      </c>
      <c r="G2044" s="37" t="s">
        <v>6864</v>
      </c>
      <c r="H2044" s="63">
        <v>1544.4</v>
      </c>
    </row>
    <row r="2045" spans="1:8" ht="24.75" customHeight="1">
      <c r="A2045" s="44" t="s">
        <v>824</v>
      </c>
      <c r="B2045" s="45" t="s">
        <v>3845</v>
      </c>
      <c r="C2045" s="45" t="s">
        <v>6748</v>
      </c>
      <c r="D2045" s="45" t="s">
        <v>6712</v>
      </c>
      <c r="E2045" s="44" t="s">
        <v>956</v>
      </c>
      <c r="F2045" s="37">
        <v>1</v>
      </c>
      <c r="G2045" s="37" t="s">
        <v>6864</v>
      </c>
      <c r="H2045" s="63">
        <v>1658.8</v>
      </c>
    </row>
    <row r="2046" spans="1:8" ht="24.75" customHeight="1">
      <c r="A2046" s="44" t="s">
        <v>823</v>
      </c>
      <c r="B2046" s="45" t="s">
        <v>3844</v>
      </c>
      <c r="C2046" s="45" t="s">
        <v>6748</v>
      </c>
      <c r="D2046" s="45" t="s">
        <v>6712</v>
      </c>
      <c r="E2046" s="44" t="s">
        <v>956</v>
      </c>
      <c r="F2046" s="37">
        <v>1</v>
      </c>
      <c r="G2046" s="37" t="s">
        <v>6864</v>
      </c>
      <c r="H2046" s="63">
        <v>1301.3</v>
      </c>
    </row>
    <row r="2047" spans="1:8" ht="24.75" customHeight="1">
      <c r="A2047" s="44" t="s">
        <v>820</v>
      </c>
      <c r="B2047" s="45" t="s">
        <v>3841</v>
      </c>
      <c r="C2047" s="45" t="s">
        <v>6748</v>
      </c>
      <c r="D2047" s="45" t="s">
        <v>6712</v>
      </c>
      <c r="E2047" s="44" t="s">
        <v>956</v>
      </c>
      <c r="F2047" s="37">
        <v>1</v>
      </c>
      <c r="G2047" s="37" t="s">
        <v>6864</v>
      </c>
      <c r="H2047" s="63">
        <v>1544.4</v>
      </c>
    </row>
    <row r="2048" spans="1:8" ht="24.75" customHeight="1">
      <c r="A2048" s="44" t="s">
        <v>821</v>
      </c>
      <c r="B2048" s="45" t="s">
        <v>3842</v>
      </c>
      <c r="C2048" s="45" t="s">
        <v>6748</v>
      </c>
      <c r="D2048" s="45" t="s">
        <v>6712</v>
      </c>
      <c r="E2048" s="44" t="s">
        <v>956</v>
      </c>
      <c r="F2048" s="37">
        <v>1</v>
      </c>
      <c r="G2048" s="37" t="s">
        <v>6864</v>
      </c>
      <c r="H2048" s="63">
        <v>1544.4</v>
      </c>
    </row>
    <row r="2049" spans="1:8" ht="24.75" customHeight="1">
      <c r="A2049" s="44" t="s">
        <v>825</v>
      </c>
      <c r="B2049" s="45" t="s">
        <v>3846</v>
      </c>
      <c r="C2049" s="45" t="s">
        <v>6748</v>
      </c>
      <c r="D2049" s="45" t="s">
        <v>6712</v>
      </c>
      <c r="E2049" s="44"/>
      <c r="F2049" s="37">
        <v>1</v>
      </c>
      <c r="G2049" s="37" t="s">
        <v>6864</v>
      </c>
      <c r="H2049" s="63">
        <v>2373.8000000000002</v>
      </c>
    </row>
    <row r="2050" spans="1:8" ht="24.75" customHeight="1">
      <c r="A2050" s="44" t="s">
        <v>2375</v>
      </c>
      <c r="B2050" s="45" t="s">
        <v>3834</v>
      </c>
      <c r="C2050" s="45" t="s">
        <v>6748</v>
      </c>
      <c r="D2050" s="45" t="s">
        <v>6712</v>
      </c>
      <c r="E2050" s="44"/>
      <c r="F2050" s="37">
        <v>1</v>
      </c>
      <c r="G2050" s="37" t="s">
        <v>6864</v>
      </c>
      <c r="H2050" s="63">
        <v>5076.5</v>
      </c>
    </row>
    <row r="2051" spans="1:8" ht="24.75" customHeight="1">
      <c r="A2051" s="44" t="s">
        <v>818</v>
      </c>
      <c r="B2051" s="45" t="s">
        <v>3839</v>
      </c>
      <c r="C2051" s="45" t="s">
        <v>6748</v>
      </c>
      <c r="D2051" s="45" t="s">
        <v>6712</v>
      </c>
      <c r="E2051" s="44" t="s">
        <v>956</v>
      </c>
      <c r="F2051" s="37">
        <v>1</v>
      </c>
      <c r="G2051" s="37" t="s">
        <v>6864</v>
      </c>
      <c r="H2051" s="63">
        <v>6821.1</v>
      </c>
    </row>
    <row r="2052" spans="1:8" ht="24.75" customHeight="1">
      <c r="A2052" s="44" t="s">
        <v>816</v>
      </c>
      <c r="B2052" s="45" t="s">
        <v>3837</v>
      </c>
      <c r="C2052" s="45" t="s">
        <v>6748</v>
      </c>
      <c r="D2052" s="45" t="s">
        <v>6712</v>
      </c>
      <c r="E2052" s="44"/>
      <c r="F2052" s="37">
        <v>1</v>
      </c>
      <c r="G2052" s="37" t="s">
        <v>6864</v>
      </c>
      <c r="H2052" s="63">
        <v>5934.5</v>
      </c>
    </row>
    <row r="2053" spans="1:8" ht="24.75" customHeight="1">
      <c r="A2053" s="44" t="s">
        <v>819</v>
      </c>
      <c r="B2053" s="45" t="s">
        <v>3840</v>
      </c>
      <c r="C2053" s="45" t="s">
        <v>6748</v>
      </c>
      <c r="D2053" s="45" t="s">
        <v>6712</v>
      </c>
      <c r="E2053" s="44" t="s">
        <v>956</v>
      </c>
      <c r="F2053" s="37">
        <v>1</v>
      </c>
      <c r="G2053" s="37" t="s">
        <v>6864</v>
      </c>
      <c r="H2053" s="63">
        <v>6821.1</v>
      </c>
    </row>
    <row r="2054" spans="1:8" ht="24.75" customHeight="1">
      <c r="A2054" s="44" t="s">
        <v>817</v>
      </c>
      <c r="B2054" s="45" t="s">
        <v>3838</v>
      </c>
      <c r="C2054" s="45" t="s">
        <v>6748</v>
      </c>
      <c r="D2054" s="45" t="s">
        <v>6712</v>
      </c>
      <c r="E2054" s="44"/>
      <c r="F2054" s="37">
        <v>1</v>
      </c>
      <c r="G2054" s="37" t="s">
        <v>6864</v>
      </c>
      <c r="H2054" s="63">
        <v>4919.2</v>
      </c>
    </row>
    <row r="2055" spans="1:8" ht="24.75" customHeight="1">
      <c r="A2055" s="44" t="s">
        <v>826</v>
      </c>
      <c r="B2055" s="45" t="s">
        <v>3847</v>
      </c>
      <c r="C2055" s="45" t="s">
        <v>6748</v>
      </c>
      <c r="D2055" s="45" t="s">
        <v>6712</v>
      </c>
      <c r="E2055" s="44" t="s">
        <v>956</v>
      </c>
      <c r="F2055" s="37">
        <v>1</v>
      </c>
      <c r="G2055" s="37" t="s">
        <v>6864</v>
      </c>
      <c r="H2055" s="63">
        <v>5105.1000000000004</v>
      </c>
    </row>
    <row r="2056" spans="1:8" ht="24.75" customHeight="1">
      <c r="A2056" s="44" t="s">
        <v>2819</v>
      </c>
      <c r="B2056" s="45" t="s">
        <v>5818</v>
      </c>
      <c r="C2056" s="45" t="s">
        <v>6748</v>
      </c>
      <c r="D2056" s="45" t="s">
        <v>6712</v>
      </c>
      <c r="E2056" s="44" t="s">
        <v>6839</v>
      </c>
      <c r="F2056" s="37">
        <v>1</v>
      </c>
      <c r="G2056" s="37" t="s">
        <v>6864</v>
      </c>
      <c r="H2056" s="63">
        <v>6649.5</v>
      </c>
    </row>
    <row r="2057" spans="1:8" ht="24.75" customHeight="1">
      <c r="A2057" s="44" t="s">
        <v>1961</v>
      </c>
      <c r="B2057" s="45" t="s">
        <v>3852</v>
      </c>
      <c r="C2057" s="45" t="s">
        <v>6748</v>
      </c>
      <c r="D2057" s="45" t="s">
        <v>6712</v>
      </c>
      <c r="E2057" s="44" t="s">
        <v>956</v>
      </c>
      <c r="F2057" s="37">
        <v>1</v>
      </c>
      <c r="G2057" s="37" t="s">
        <v>6864</v>
      </c>
      <c r="H2057" s="63">
        <v>5047.8999999999996</v>
      </c>
    </row>
    <row r="2058" spans="1:8" ht="24.75" customHeight="1">
      <c r="A2058" s="44" t="s">
        <v>2417</v>
      </c>
      <c r="B2058" s="45" t="s">
        <v>3836</v>
      </c>
      <c r="C2058" s="45" t="s">
        <v>6748</v>
      </c>
      <c r="D2058" s="45" t="s">
        <v>6712</v>
      </c>
      <c r="E2058" s="44" t="s">
        <v>956</v>
      </c>
      <c r="F2058" s="37">
        <v>1</v>
      </c>
      <c r="G2058" s="37" t="s">
        <v>6864</v>
      </c>
      <c r="H2058" s="63">
        <v>5276.7</v>
      </c>
    </row>
    <row r="2059" spans="1:8" ht="24.75" customHeight="1">
      <c r="A2059" s="44" t="s">
        <v>1960</v>
      </c>
      <c r="B2059" s="45" t="s">
        <v>3849</v>
      </c>
      <c r="C2059" s="45" t="s">
        <v>6748</v>
      </c>
      <c r="D2059" s="45" t="s">
        <v>6712</v>
      </c>
      <c r="E2059" s="44" t="s">
        <v>956</v>
      </c>
      <c r="F2059" s="37">
        <v>1</v>
      </c>
      <c r="G2059" s="37" t="s">
        <v>6864</v>
      </c>
      <c r="H2059" s="63">
        <v>5333.9</v>
      </c>
    </row>
    <row r="2060" spans="1:8" ht="24.75" customHeight="1">
      <c r="A2060" s="44" t="s">
        <v>1958</v>
      </c>
      <c r="B2060" s="45" t="s">
        <v>3850</v>
      </c>
      <c r="C2060" s="45" t="s">
        <v>6748</v>
      </c>
      <c r="D2060" s="45" t="s">
        <v>6712</v>
      </c>
      <c r="E2060" s="44" t="s">
        <v>956</v>
      </c>
      <c r="F2060" s="37">
        <v>1</v>
      </c>
      <c r="G2060" s="37" t="s">
        <v>6864</v>
      </c>
      <c r="H2060" s="63">
        <v>5047.8999999999996</v>
      </c>
    </row>
    <row r="2061" spans="1:8" ht="24.75" customHeight="1">
      <c r="A2061" s="44" t="s">
        <v>2469</v>
      </c>
      <c r="B2061" s="45" t="s">
        <v>3835</v>
      </c>
      <c r="C2061" s="45" t="s">
        <v>6748</v>
      </c>
      <c r="D2061" s="45" t="s">
        <v>6712</v>
      </c>
      <c r="E2061" s="44" t="s">
        <v>956</v>
      </c>
      <c r="F2061" s="37">
        <v>1</v>
      </c>
      <c r="G2061" s="37" t="s">
        <v>6864</v>
      </c>
      <c r="H2061" s="63">
        <v>1801.8</v>
      </c>
    </row>
    <row r="2062" spans="1:8" ht="24.75" customHeight="1">
      <c r="A2062" s="44" t="s">
        <v>1959</v>
      </c>
      <c r="B2062" s="45" t="s">
        <v>3851</v>
      </c>
      <c r="C2062" s="45" t="s">
        <v>6748</v>
      </c>
      <c r="D2062" s="45" t="s">
        <v>6712</v>
      </c>
      <c r="E2062" s="44" t="s">
        <v>956</v>
      </c>
      <c r="F2062" s="37">
        <v>1</v>
      </c>
      <c r="G2062" s="37" t="s">
        <v>6864</v>
      </c>
      <c r="H2062" s="63">
        <v>6878.3</v>
      </c>
    </row>
    <row r="2063" spans="1:8" ht="24.75" customHeight="1">
      <c r="A2063" s="44" t="s">
        <v>827</v>
      </c>
      <c r="B2063" s="45" t="s">
        <v>3848</v>
      </c>
      <c r="C2063" s="45" t="s">
        <v>6748</v>
      </c>
      <c r="D2063" s="45" t="s">
        <v>6712</v>
      </c>
      <c r="E2063" s="44"/>
      <c r="F2063" s="37">
        <v>1</v>
      </c>
      <c r="G2063" s="37" t="s">
        <v>6864</v>
      </c>
      <c r="H2063" s="63">
        <v>7536.1</v>
      </c>
    </row>
    <row r="2064" spans="1:8" ht="24.75" customHeight="1">
      <c r="A2064" s="44" t="s">
        <v>779</v>
      </c>
      <c r="B2064" s="45" t="s">
        <v>3853</v>
      </c>
      <c r="C2064" s="45" t="s">
        <v>6748</v>
      </c>
      <c r="D2064" s="45" t="s">
        <v>6712</v>
      </c>
      <c r="E2064" s="44" t="s">
        <v>956</v>
      </c>
      <c r="F2064" s="37">
        <v>1</v>
      </c>
      <c r="G2064" s="37" t="s">
        <v>6864</v>
      </c>
      <c r="H2064" s="63">
        <v>2602.6</v>
      </c>
    </row>
    <row r="2065" spans="1:8" ht="24.75" customHeight="1">
      <c r="A2065" s="44" t="s">
        <v>324</v>
      </c>
      <c r="B2065" s="45" t="s">
        <v>3829</v>
      </c>
      <c r="C2065" s="45" t="s">
        <v>6748</v>
      </c>
      <c r="D2065" s="45" t="s">
        <v>6712</v>
      </c>
      <c r="E2065" s="44"/>
      <c r="F2065" s="37">
        <v>50</v>
      </c>
      <c r="G2065" s="37" t="s">
        <v>6864</v>
      </c>
      <c r="H2065" s="63">
        <v>500.5</v>
      </c>
    </row>
    <row r="2066" spans="1:8" ht="24.75" customHeight="1">
      <c r="A2066" s="44" t="s">
        <v>2374</v>
      </c>
      <c r="B2066" s="45" t="s">
        <v>3828</v>
      </c>
      <c r="C2066" s="45" t="s">
        <v>6748</v>
      </c>
      <c r="D2066" s="45" t="s">
        <v>6712</v>
      </c>
      <c r="E2066" s="44"/>
      <c r="F2066" s="37">
        <v>5</v>
      </c>
      <c r="G2066" s="37" t="s">
        <v>6864</v>
      </c>
      <c r="H2066" s="63">
        <v>986.7</v>
      </c>
    </row>
    <row r="2067" spans="1:8" ht="24.75" customHeight="1">
      <c r="A2067" s="44" t="s">
        <v>325</v>
      </c>
      <c r="B2067" s="45" t="s">
        <v>3830</v>
      </c>
      <c r="C2067" s="45" t="s">
        <v>6748</v>
      </c>
      <c r="D2067" s="45" t="s">
        <v>6712</v>
      </c>
      <c r="E2067" s="44"/>
      <c r="F2067" s="37">
        <v>10</v>
      </c>
      <c r="G2067" s="37" t="s">
        <v>6864</v>
      </c>
      <c r="H2067" s="63">
        <v>657.8</v>
      </c>
    </row>
    <row r="2068" spans="1:8" ht="24.75" customHeight="1">
      <c r="A2068" s="44" t="s">
        <v>2203</v>
      </c>
      <c r="B2068" s="45" t="s">
        <v>5560</v>
      </c>
      <c r="C2068" s="45" t="s">
        <v>6748</v>
      </c>
      <c r="D2068" s="45" t="s">
        <v>6760</v>
      </c>
      <c r="E2068" s="44"/>
      <c r="F2068" s="37">
        <v>1</v>
      </c>
      <c r="G2068" s="37" t="s">
        <v>2568</v>
      </c>
      <c r="H2068" s="63">
        <v>1658.8</v>
      </c>
    </row>
    <row r="2069" spans="1:8" ht="24.75" customHeight="1">
      <c r="A2069" s="44" t="s">
        <v>962</v>
      </c>
      <c r="B2069" s="45" t="s">
        <v>4973</v>
      </c>
      <c r="C2069" s="45" t="s">
        <v>6748</v>
      </c>
      <c r="D2069" s="45" t="s">
        <v>6760</v>
      </c>
      <c r="E2069" s="44"/>
      <c r="F2069" s="37">
        <v>1</v>
      </c>
      <c r="G2069" s="37" t="s">
        <v>6864</v>
      </c>
      <c r="H2069" s="63">
        <v>3131.7</v>
      </c>
    </row>
    <row r="2070" spans="1:8" ht="24.75" customHeight="1">
      <c r="A2070" s="44" t="s">
        <v>3093</v>
      </c>
      <c r="B2070" s="45" t="s">
        <v>5380</v>
      </c>
      <c r="C2070" s="45" t="s">
        <v>6748</v>
      </c>
      <c r="D2070" s="45" t="s">
        <v>6760</v>
      </c>
      <c r="E2070" s="44"/>
      <c r="F2070" s="37">
        <v>1</v>
      </c>
      <c r="G2070" s="37" t="s">
        <v>2568</v>
      </c>
      <c r="H2070" s="63">
        <v>557.70000000000005</v>
      </c>
    </row>
    <row r="2071" spans="1:8" ht="24.75" customHeight="1">
      <c r="A2071" s="44" t="s">
        <v>3092</v>
      </c>
      <c r="B2071" s="45" t="s">
        <v>5379</v>
      </c>
      <c r="C2071" s="45" t="s">
        <v>6748</v>
      </c>
      <c r="D2071" s="45" t="s">
        <v>6760</v>
      </c>
      <c r="E2071" s="44"/>
      <c r="F2071" s="37">
        <v>1</v>
      </c>
      <c r="G2071" s="37" t="s">
        <v>2568</v>
      </c>
      <c r="H2071" s="63">
        <v>1730.3</v>
      </c>
    </row>
    <row r="2072" spans="1:8" ht="24.75" customHeight="1">
      <c r="A2072" s="44" t="s">
        <v>1321</v>
      </c>
      <c r="B2072" s="45" t="s">
        <v>5613</v>
      </c>
      <c r="C2072" s="45" t="s">
        <v>6748</v>
      </c>
      <c r="D2072" s="45" t="s">
        <v>6761</v>
      </c>
      <c r="E2072" s="44"/>
      <c r="F2072" s="37">
        <v>1</v>
      </c>
      <c r="G2072" s="37" t="s">
        <v>6864</v>
      </c>
      <c r="H2072" s="63">
        <v>2802.8</v>
      </c>
    </row>
    <row r="2073" spans="1:8" ht="24.75" customHeight="1">
      <c r="A2073" s="44" t="s">
        <v>1978</v>
      </c>
      <c r="B2073" s="45" t="s">
        <v>3906</v>
      </c>
      <c r="C2073" s="45" t="s">
        <v>6748</v>
      </c>
      <c r="D2073" s="45" t="s">
        <v>6762</v>
      </c>
      <c r="E2073" s="44"/>
      <c r="F2073" s="37">
        <v>2</v>
      </c>
      <c r="G2073" s="37" t="s">
        <v>6864</v>
      </c>
      <c r="H2073" s="63">
        <v>3160.3</v>
      </c>
    </row>
    <row r="2074" spans="1:8" ht="24.75" customHeight="1">
      <c r="A2074" s="44" t="s">
        <v>1146</v>
      </c>
      <c r="B2074" s="45" t="s">
        <v>3911</v>
      </c>
      <c r="C2074" s="45" t="s">
        <v>6748</v>
      </c>
      <c r="D2074" s="45" t="s">
        <v>6762</v>
      </c>
      <c r="E2074" s="44"/>
      <c r="F2074" s="37">
        <v>2</v>
      </c>
      <c r="G2074" s="37" t="s">
        <v>6864</v>
      </c>
      <c r="H2074" s="63">
        <v>2602.6</v>
      </c>
    </row>
    <row r="2075" spans="1:8" ht="24.75" customHeight="1">
      <c r="A2075" s="44" t="s">
        <v>852</v>
      </c>
      <c r="B2075" s="45" t="s">
        <v>5353</v>
      </c>
      <c r="C2075" s="45" t="s">
        <v>6748</v>
      </c>
      <c r="D2075" s="45" t="s">
        <v>6762</v>
      </c>
      <c r="E2075" s="44" t="s">
        <v>6839</v>
      </c>
      <c r="F2075" s="37">
        <v>1</v>
      </c>
      <c r="G2075" s="37" t="s">
        <v>6865</v>
      </c>
      <c r="H2075" s="63">
        <v>6606.6</v>
      </c>
    </row>
    <row r="2076" spans="1:8" ht="24.75" customHeight="1">
      <c r="A2076" s="44" t="s">
        <v>2847</v>
      </c>
      <c r="B2076" s="45" t="s">
        <v>3891</v>
      </c>
      <c r="C2076" s="45" t="s">
        <v>6748</v>
      </c>
      <c r="D2076" s="45" t="s">
        <v>6762</v>
      </c>
      <c r="E2076" s="44" t="s">
        <v>956</v>
      </c>
      <c r="F2076" s="37">
        <v>1</v>
      </c>
      <c r="G2076" s="37" t="s">
        <v>6865</v>
      </c>
      <c r="H2076" s="63">
        <v>9695.4</v>
      </c>
    </row>
    <row r="2077" spans="1:8" ht="24.75" customHeight="1">
      <c r="A2077" s="44" t="s">
        <v>2790</v>
      </c>
      <c r="B2077" s="45" t="s">
        <v>5787</v>
      </c>
      <c r="C2077" s="45" t="s">
        <v>6748</v>
      </c>
      <c r="D2077" s="45" t="s">
        <v>6762</v>
      </c>
      <c r="E2077" s="44"/>
      <c r="F2077" s="37">
        <v>1</v>
      </c>
      <c r="G2077" s="37" t="s">
        <v>6865</v>
      </c>
      <c r="H2077" s="63">
        <v>22136.400000000001</v>
      </c>
    </row>
    <row r="2078" spans="1:8" ht="24.75" customHeight="1">
      <c r="A2078" s="44" t="s">
        <v>1882</v>
      </c>
      <c r="B2078" s="45" t="s">
        <v>3916</v>
      </c>
      <c r="C2078" s="45" t="s">
        <v>6748</v>
      </c>
      <c r="D2078" s="45" t="s">
        <v>6762</v>
      </c>
      <c r="E2078" s="44"/>
      <c r="F2078" s="37">
        <v>2</v>
      </c>
      <c r="G2078" s="37" t="s">
        <v>6864</v>
      </c>
      <c r="H2078" s="63">
        <v>3918.2</v>
      </c>
    </row>
    <row r="2079" spans="1:8" ht="24.75" customHeight="1">
      <c r="A2079" s="44" t="s">
        <v>1972</v>
      </c>
      <c r="B2079" s="45" t="s">
        <v>3896</v>
      </c>
      <c r="C2079" s="45" t="s">
        <v>6748</v>
      </c>
      <c r="D2079" s="45" t="s">
        <v>6762</v>
      </c>
      <c r="E2079" s="44"/>
      <c r="F2079" s="37">
        <v>4</v>
      </c>
      <c r="G2079" s="37" t="s">
        <v>6864</v>
      </c>
      <c r="H2079" s="63">
        <v>5205.2</v>
      </c>
    </row>
    <row r="2080" spans="1:8" ht="24.75" customHeight="1">
      <c r="A2080" s="44" t="s">
        <v>2937</v>
      </c>
      <c r="B2080" s="45" t="s">
        <v>3895</v>
      </c>
      <c r="C2080" s="45" t="s">
        <v>6748</v>
      </c>
      <c r="D2080" s="45" t="s">
        <v>6762</v>
      </c>
      <c r="E2080" s="44"/>
      <c r="F2080" s="37">
        <v>2</v>
      </c>
      <c r="G2080" s="37" t="s">
        <v>6864</v>
      </c>
      <c r="H2080" s="63">
        <v>3103.1</v>
      </c>
    </row>
    <row r="2081" spans="1:8" ht="24.75" customHeight="1">
      <c r="A2081" s="44" t="s">
        <v>1980</v>
      </c>
      <c r="B2081" s="45" t="s">
        <v>3898</v>
      </c>
      <c r="C2081" s="45" t="s">
        <v>6748</v>
      </c>
      <c r="D2081" s="45" t="s">
        <v>6762</v>
      </c>
      <c r="E2081" s="44"/>
      <c r="F2081" s="37">
        <v>2</v>
      </c>
      <c r="G2081" s="37" t="s">
        <v>6864</v>
      </c>
      <c r="H2081" s="63">
        <v>3532.1</v>
      </c>
    </row>
    <row r="2082" spans="1:8" ht="24.75" customHeight="1">
      <c r="A2082" s="44" t="s">
        <v>1977</v>
      </c>
      <c r="B2082" s="45" t="s">
        <v>3897</v>
      </c>
      <c r="C2082" s="45" t="s">
        <v>6748</v>
      </c>
      <c r="D2082" s="45" t="s">
        <v>6762</v>
      </c>
      <c r="E2082" s="44"/>
      <c r="F2082" s="37">
        <v>2</v>
      </c>
      <c r="G2082" s="37" t="s">
        <v>6864</v>
      </c>
      <c r="H2082" s="63">
        <v>4661.8</v>
      </c>
    </row>
    <row r="2083" spans="1:8" ht="24.75" customHeight="1">
      <c r="A2083" s="44" t="s">
        <v>1975</v>
      </c>
      <c r="B2083" s="45" t="s">
        <v>3908</v>
      </c>
      <c r="C2083" s="45" t="s">
        <v>6748</v>
      </c>
      <c r="D2083" s="45" t="s">
        <v>6762</v>
      </c>
      <c r="E2083" s="44"/>
      <c r="F2083" s="37">
        <v>2</v>
      </c>
      <c r="G2083" s="37" t="s">
        <v>6864</v>
      </c>
      <c r="H2083" s="63">
        <v>2502.5</v>
      </c>
    </row>
    <row r="2084" spans="1:8" ht="24.75" customHeight="1">
      <c r="A2084" s="44" t="s">
        <v>1979</v>
      </c>
      <c r="B2084" s="45" t="s">
        <v>3921</v>
      </c>
      <c r="C2084" s="45" t="s">
        <v>6748</v>
      </c>
      <c r="D2084" s="45" t="s">
        <v>6762</v>
      </c>
      <c r="E2084" s="44"/>
      <c r="F2084" s="37">
        <v>2</v>
      </c>
      <c r="G2084" s="37" t="s">
        <v>6864</v>
      </c>
      <c r="H2084" s="63">
        <v>2230.8000000000002</v>
      </c>
    </row>
    <row r="2085" spans="1:8" ht="24.75" customHeight="1">
      <c r="A2085" s="44" t="s">
        <v>1973</v>
      </c>
      <c r="B2085" s="45" t="s">
        <v>3902</v>
      </c>
      <c r="C2085" s="45" t="s">
        <v>6748</v>
      </c>
      <c r="D2085" s="45" t="s">
        <v>6762</v>
      </c>
      <c r="E2085" s="44"/>
      <c r="F2085" s="37">
        <v>4</v>
      </c>
      <c r="G2085" s="37" t="s">
        <v>6864</v>
      </c>
      <c r="H2085" s="63">
        <v>2645.5</v>
      </c>
    </row>
    <row r="2086" spans="1:8" ht="24.75" customHeight="1">
      <c r="A2086" s="44" t="s">
        <v>1976</v>
      </c>
      <c r="B2086" s="45" t="s">
        <v>3907</v>
      </c>
      <c r="C2086" s="45" t="s">
        <v>6748</v>
      </c>
      <c r="D2086" s="45" t="s">
        <v>6762</v>
      </c>
      <c r="E2086" s="44"/>
      <c r="F2086" s="37">
        <v>2</v>
      </c>
      <c r="G2086" s="37" t="s">
        <v>6864</v>
      </c>
      <c r="H2086" s="63">
        <v>3346.2</v>
      </c>
    </row>
    <row r="2087" spans="1:8" ht="24.75" customHeight="1">
      <c r="A2087" s="44" t="s">
        <v>1981</v>
      </c>
      <c r="B2087" s="45" t="s">
        <v>3909</v>
      </c>
      <c r="C2087" s="45" t="s">
        <v>6748</v>
      </c>
      <c r="D2087" s="45" t="s">
        <v>6762</v>
      </c>
      <c r="E2087" s="44"/>
      <c r="F2087" s="37">
        <v>2</v>
      </c>
      <c r="G2087" s="37" t="s">
        <v>6864</v>
      </c>
      <c r="H2087" s="63">
        <v>3074.5</v>
      </c>
    </row>
    <row r="2088" spans="1:8" ht="24.75" customHeight="1">
      <c r="A2088" s="44" t="s">
        <v>1145</v>
      </c>
      <c r="B2088" s="45" t="s">
        <v>3910</v>
      </c>
      <c r="C2088" s="45" t="s">
        <v>6748</v>
      </c>
      <c r="D2088" s="45" t="s">
        <v>6762</v>
      </c>
      <c r="E2088" s="44" t="s">
        <v>6839</v>
      </c>
      <c r="F2088" s="37">
        <v>1</v>
      </c>
      <c r="G2088" s="37" t="s">
        <v>6865</v>
      </c>
      <c r="H2088" s="63">
        <v>6878.3</v>
      </c>
    </row>
    <row r="2089" spans="1:8" ht="24.75" customHeight="1">
      <c r="A2089" s="44" t="s">
        <v>3202</v>
      </c>
      <c r="B2089" s="45" t="s">
        <v>3899</v>
      </c>
      <c r="C2089" s="45" t="s">
        <v>6748</v>
      </c>
      <c r="D2089" s="45" t="s">
        <v>6762</v>
      </c>
      <c r="E2089" s="44" t="s">
        <v>956</v>
      </c>
      <c r="F2089" s="37">
        <v>1</v>
      </c>
      <c r="G2089" s="37" t="s">
        <v>6865</v>
      </c>
      <c r="H2089" s="63">
        <v>10081.5</v>
      </c>
    </row>
    <row r="2090" spans="1:8" ht="24.75" customHeight="1">
      <c r="A2090" s="44" t="s">
        <v>43</v>
      </c>
      <c r="B2090" s="45" t="s">
        <v>3913</v>
      </c>
      <c r="C2090" s="45" t="s">
        <v>6748</v>
      </c>
      <c r="D2090" s="45" t="s">
        <v>6762</v>
      </c>
      <c r="E2090" s="44"/>
      <c r="F2090" s="37">
        <v>4</v>
      </c>
      <c r="G2090" s="37" t="s">
        <v>6864</v>
      </c>
      <c r="H2090" s="63">
        <v>4161.3</v>
      </c>
    </row>
    <row r="2091" spans="1:8" ht="24.75" customHeight="1">
      <c r="A2091" s="44" t="s">
        <v>2210</v>
      </c>
      <c r="B2091" s="45" t="s">
        <v>5882</v>
      </c>
      <c r="C2091" s="45" t="s">
        <v>6748</v>
      </c>
      <c r="D2091" s="45" t="s">
        <v>6762</v>
      </c>
      <c r="E2091" s="44" t="s">
        <v>956</v>
      </c>
      <c r="F2091" s="37">
        <v>1</v>
      </c>
      <c r="G2091" s="37" t="s">
        <v>6865</v>
      </c>
      <c r="H2091" s="63">
        <v>12183.6</v>
      </c>
    </row>
    <row r="2092" spans="1:8" ht="24.75" customHeight="1">
      <c r="A2092" s="44" t="s">
        <v>1</v>
      </c>
      <c r="B2092" s="45" t="s">
        <v>3904</v>
      </c>
      <c r="C2092" s="45" t="s">
        <v>6748</v>
      </c>
      <c r="D2092" s="45" t="s">
        <v>6762</v>
      </c>
      <c r="E2092" s="44" t="s">
        <v>6839</v>
      </c>
      <c r="F2092" s="37">
        <v>2</v>
      </c>
      <c r="G2092" s="37" t="s">
        <v>6864</v>
      </c>
      <c r="H2092" s="63">
        <v>5119.3999999999996</v>
      </c>
    </row>
    <row r="2093" spans="1:8" ht="24.75" customHeight="1">
      <c r="A2093" s="44" t="s">
        <v>2</v>
      </c>
      <c r="B2093" s="45" t="s">
        <v>3905</v>
      </c>
      <c r="C2093" s="45" t="s">
        <v>6748</v>
      </c>
      <c r="D2093" s="45" t="s">
        <v>6762</v>
      </c>
      <c r="E2093" s="44" t="s">
        <v>6839</v>
      </c>
      <c r="F2093" s="37">
        <v>2</v>
      </c>
      <c r="G2093" s="37" t="s">
        <v>6864</v>
      </c>
      <c r="H2093" s="63">
        <v>5119.3999999999996</v>
      </c>
    </row>
    <row r="2094" spans="1:8" ht="24.75" customHeight="1">
      <c r="A2094" s="44" t="s">
        <v>0</v>
      </c>
      <c r="B2094" s="45" t="s">
        <v>3903</v>
      </c>
      <c r="C2094" s="45" t="s">
        <v>6748</v>
      </c>
      <c r="D2094" s="45" t="s">
        <v>6762</v>
      </c>
      <c r="E2094" s="44" t="s">
        <v>6839</v>
      </c>
      <c r="F2094" s="37">
        <v>2</v>
      </c>
      <c r="G2094" s="37" t="s">
        <v>6864</v>
      </c>
      <c r="H2094" s="63">
        <v>5119.3999999999996</v>
      </c>
    </row>
    <row r="2095" spans="1:8" ht="24.75" customHeight="1">
      <c r="A2095" s="44" t="s">
        <v>2211</v>
      </c>
      <c r="B2095" s="45" t="s">
        <v>5883</v>
      </c>
      <c r="C2095" s="45" t="s">
        <v>6748</v>
      </c>
      <c r="D2095" s="45" t="s">
        <v>6762</v>
      </c>
      <c r="E2095" s="44" t="s">
        <v>956</v>
      </c>
      <c r="F2095" s="37">
        <v>1</v>
      </c>
      <c r="G2095" s="37" t="s">
        <v>6865</v>
      </c>
      <c r="H2095" s="63">
        <v>12183.6</v>
      </c>
    </row>
    <row r="2096" spans="1:8" ht="24.75" customHeight="1">
      <c r="A2096" s="44" t="s">
        <v>1974</v>
      </c>
      <c r="B2096" s="45" t="s">
        <v>3919</v>
      </c>
      <c r="C2096" s="45" t="s">
        <v>6748</v>
      </c>
      <c r="D2096" s="45" t="s">
        <v>6762</v>
      </c>
      <c r="E2096" s="44"/>
      <c r="F2096" s="37">
        <v>2</v>
      </c>
      <c r="G2096" s="37" t="s">
        <v>6864</v>
      </c>
      <c r="H2096" s="63">
        <v>3160.3</v>
      </c>
    </row>
    <row r="2097" spans="1:8" ht="24.75" customHeight="1">
      <c r="A2097" s="44" t="s">
        <v>1982</v>
      </c>
      <c r="B2097" s="45" t="s">
        <v>3920</v>
      </c>
      <c r="C2097" s="45" t="s">
        <v>6748</v>
      </c>
      <c r="D2097" s="45" t="s">
        <v>6762</v>
      </c>
      <c r="E2097" s="44"/>
      <c r="F2097" s="37">
        <v>1</v>
      </c>
      <c r="G2097" s="37" t="s">
        <v>6864</v>
      </c>
      <c r="H2097" s="63">
        <v>17875</v>
      </c>
    </row>
    <row r="2098" spans="1:8" ht="24.75" customHeight="1">
      <c r="A2098" s="44" t="s">
        <v>45</v>
      </c>
      <c r="B2098" s="45" t="s">
        <v>3915</v>
      </c>
      <c r="C2098" s="45" t="s">
        <v>6748</v>
      </c>
      <c r="D2098" s="45" t="s">
        <v>6762</v>
      </c>
      <c r="E2098" s="44"/>
      <c r="F2098" s="37">
        <v>4</v>
      </c>
      <c r="G2098" s="37" t="s">
        <v>6864</v>
      </c>
      <c r="H2098" s="63">
        <v>3746.6</v>
      </c>
    </row>
    <row r="2099" spans="1:8" ht="24.75" customHeight="1">
      <c r="A2099" s="44" t="s">
        <v>2849</v>
      </c>
      <c r="B2099" s="45" t="s">
        <v>3890</v>
      </c>
      <c r="C2099" s="45" t="s">
        <v>6748</v>
      </c>
      <c r="D2099" s="45" t="s">
        <v>6762</v>
      </c>
      <c r="E2099" s="44" t="s">
        <v>956</v>
      </c>
      <c r="F2099" s="37">
        <v>1</v>
      </c>
      <c r="G2099" s="37" t="s">
        <v>6865</v>
      </c>
      <c r="H2099" s="63">
        <v>9209.2000000000007</v>
      </c>
    </row>
    <row r="2100" spans="1:8" ht="24.75" customHeight="1">
      <c r="A2100" s="44" t="s">
        <v>2850</v>
      </c>
      <c r="B2100" s="45" t="s">
        <v>3892</v>
      </c>
      <c r="C2100" s="45" t="s">
        <v>6748</v>
      </c>
      <c r="D2100" s="45" t="s">
        <v>6762</v>
      </c>
      <c r="E2100" s="44" t="s">
        <v>956</v>
      </c>
      <c r="F2100" s="37">
        <v>1</v>
      </c>
      <c r="G2100" s="37" t="s">
        <v>6865</v>
      </c>
      <c r="H2100" s="63">
        <v>8866</v>
      </c>
    </row>
    <row r="2101" spans="1:8" ht="24.75" customHeight="1">
      <c r="A2101" s="44" t="s">
        <v>2791</v>
      </c>
      <c r="B2101" s="45" t="s">
        <v>5788</v>
      </c>
      <c r="C2101" s="45" t="s">
        <v>6748</v>
      </c>
      <c r="D2101" s="45" t="s">
        <v>6762</v>
      </c>
      <c r="E2101" s="44"/>
      <c r="F2101" s="37">
        <v>1</v>
      </c>
      <c r="G2101" s="37" t="s">
        <v>6865</v>
      </c>
      <c r="H2101" s="63">
        <v>9538.1</v>
      </c>
    </row>
    <row r="2102" spans="1:8" ht="24.75" customHeight="1">
      <c r="A2102" s="44" t="s">
        <v>1884</v>
      </c>
      <c r="B2102" s="45" t="s">
        <v>3918</v>
      </c>
      <c r="C2102" s="45" t="s">
        <v>6748</v>
      </c>
      <c r="D2102" s="45" t="s">
        <v>6762</v>
      </c>
      <c r="E2102" s="44"/>
      <c r="F2102" s="37">
        <v>2</v>
      </c>
      <c r="G2102" s="37" t="s">
        <v>6864</v>
      </c>
      <c r="H2102" s="63">
        <v>4690.3999999999996</v>
      </c>
    </row>
    <row r="2103" spans="1:8" ht="24.75" customHeight="1">
      <c r="A2103" s="44" t="s">
        <v>1147</v>
      </c>
      <c r="B2103" s="45" t="s">
        <v>3912</v>
      </c>
      <c r="C2103" s="45" t="s">
        <v>6748</v>
      </c>
      <c r="D2103" s="45" t="s">
        <v>6762</v>
      </c>
      <c r="E2103" s="44"/>
      <c r="F2103" s="37">
        <v>2</v>
      </c>
      <c r="G2103" s="37" t="s">
        <v>6864</v>
      </c>
      <c r="H2103" s="63">
        <v>2788.5</v>
      </c>
    </row>
    <row r="2104" spans="1:8" ht="24.75" customHeight="1">
      <c r="A2104" s="44" t="s">
        <v>1883</v>
      </c>
      <c r="B2104" s="45" t="s">
        <v>3917</v>
      </c>
      <c r="C2104" s="45" t="s">
        <v>6748</v>
      </c>
      <c r="D2104" s="45" t="s">
        <v>6762</v>
      </c>
      <c r="E2104" s="44"/>
      <c r="F2104" s="37">
        <v>2</v>
      </c>
      <c r="G2104" s="37" t="s">
        <v>6864</v>
      </c>
      <c r="H2104" s="63">
        <v>4690.3999999999996</v>
      </c>
    </row>
    <row r="2105" spans="1:8" ht="24.75" customHeight="1">
      <c r="A2105" s="44" t="s">
        <v>1491</v>
      </c>
      <c r="B2105" s="45" t="s">
        <v>5992</v>
      </c>
      <c r="C2105" s="45" t="s">
        <v>6748</v>
      </c>
      <c r="D2105" s="45" t="s">
        <v>6762</v>
      </c>
      <c r="E2105" s="44" t="s">
        <v>6839</v>
      </c>
      <c r="F2105" s="37">
        <v>1</v>
      </c>
      <c r="G2105" s="37" t="s">
        <v>6865</v>
      </c>
      <c r="H2105" s="63">
        <v>5762.9</v>
      </c>
    </row>
    <row r="2106" spans="1:8" ht="24.75" customHeight="1">
      <c r="A2106" s="44" t="s">
        <v>3203</v>
      </c>
      <c r="B2106" s="45" t="s">
        <v>3900</v>
      </c>
      <c r="C2106" s="45" t="s">
        <v>6748</v>
      </c>
      <c r="D2106" s="45" t="s">
        <v>6762</v>
      </c>
      <c r="E2106" s="44" t="s">
        <v>956</v>
      </c>
      <c r="F2106" s="37">
        <v>1</v>
      </c>
      <c r="G2106" s="37" t="s">
        <v>6865</v>
      </c>
      <c r="H2106" s="63">
        <v>10081.5</v>
      </c>
    </row>
    <row r="2107" spans="1:8" ht="24.75" customHeight="1">
      <c r="A2107" s="44" t="s">
        <v>44</v>
      </c>
      <c r="B2107" s="45" t="s">
        <v>3914</v>
      </c>
      <c r="C2107" s="45" t="s">
        <v>6748</v>
      </c>
      <c r="D2107" s="45" t="s">
        <v>6762</v>
      </c>
      <c r="E2107" s="44"/>
      <c r="F2107" s="37">
        <v>4</v>
      </c>
      <c r="G2107" s="37" t="s">
        <v>6864</v>
      </c>
      <c r="H2107" s="63">
        <v>4404.3999999999996</v>
      </c>
    </row>
    <row r="2108" spans="1:8" ht="24.75" customHeight="1">
      <c r="A2108" s="44" t="s">
        <v>2848</v>
      </c>
      <c r="B2108" s="45" t="s">
        <v>3894</v>
      </c>
      <c r="C2108" s="45" t="s">
        <v>6748</v>
      </c>
      <c r="D2108" s="45" t="s">
        <v>6762</v>
      </c>
      <c r="E2108" s="44" t="s">
        <v>956</v>
      </c>
      <c r="F2108" s="37">
        <v>1</v>
      </c>
      <c r="G2108" s="37" t="s">
        <v>2568</v>
      </c>
      <c r="H2108" s="63">
        <v>16230.5</v>
      </c>
    </row>
    <row r="2109" spans="1:8" ht="24.75" customHeight="1">
      <c r="A2109" s="44" t="s">
        <v>2846</v>
      </c>
      <c r="B2109" s="45" t="s">
        <v>3893</v>
      </c>
      <c r="C2109" s="45" t="s">
        <v>6748</v>
      </c>
      <c r="D2109" s="45" t="s">
        <v>6762</v>
      </c>
      <c r="E2109" s="44" t="s">
        <v>956</v>
      </c>
      <c r="F2109" s="37">
        <v>1</v>
      </c>
      <c r="G2109" s="37" t="s">
        <v>2568</v>
      </c>
      <c r="H2109" s="63">
        <v>16344.9</v>
      </c>
    </row>
    <row r="2110" spans="1:8" ht="24.75" customHeight="1">
      <c r="A2110" s="44" t="s">
        <v>1842</v>
      </c>
      <c r="B2110" s="45" t="s">
        <v>5260</v>
      </c>
      <c r="C2110" s="45" t="s">
        <v>6748</v>
      </c>
      <c r="D2110" s="45" t="s">
        <v>6762</v>
      </c>
      <c r="E2110" s="44"/>
      <c r="F2110" s="37">
        <v>2</v>
      </c>
      <c r="G2110" s="37" t="s">
        <v>6864</v>
      </c>
      <c r="H2110" s="63">
        <v>4404.3999999999996</v>
      </c>
    </row>
    <row r="2111" spans="1:8" ht="24.75" customHeight="1">
      <c r="A2111" s="44" t="s">
        <v>1635</v>
      </c>
      <c r="B2111" s="45" t="s">
        <v>5531</v>
      </c>
      <c r="C2111" s="45" t="s">
        <v>6748</v>
      </c>
      <c r="D2111" s="45" t="s">
        <v>6762</v>
      </c>
      <c r="E2111" s="44" t="s">
        <v>6839</v>
      </c>
      <c r="F2111" s="37">
        <v>1</v>
      </c>
      <c r="G2111" s="37" t="s">
        <v>2568</v>
      </c>
      <c r="H2111" s="63">
        <v>14886.3</v>
      </c>
    </row>
    <row r="2112" spans="1:8" ht="24.75" customHeight="1">
      <c r="A2112" s="44" t="s">
        <v>1860</v>
      </c>
      <c r="B2112" s="45" t="s">
        <v>5277</v>
      </c>
      <c r="C2112" s="45" t="s">
        <v>6748</v>
      </c>
      <c r="D2112" s="45" t="s">
        <v>6762</v>
      </c>
      <c r="E2112" s="44"/>
      <c r="F2112" s="37">
        <v>2</v>
      </c>
      <c r="G2112" s="37" t="s">
        <v>6864</v>
      </c>
      <c r="H2112" s="63">
        <v>4461.6000000000004</v>
      </c>
    </row>
    <row r="2113" spans="1:8" ht="24.75" customHeight="1">
      <c r="A2113" s="44" t="s">
        <v>2058</v>
      </c>
      <c r="B2113" s="45" t="s">
        <v>5297</v>
      </c>
      <c r="C2113" s="45" t="s">
        <v>6748</v>
      </c>
      <c r="D2113" s="45" t="s">
        <v>6762</v>
      </c>
      <c r="E2113" s="44"/>
      <c r="F2113" s="37">
        <v>2</v>
      </c>
      <c r="G2113" s="37" t="s">
        <v>6864</v>
      </c>
      <c r="H2113" s="63">
        <v>4990.7</v>
      </c>
    </row>
    <row r="2114" spans="1:8" ht="24.75" customHeight="1">
      <c r="A2114" s="44" t="s">
        <v>1843</v>
      </c>
      <c r="B2114" s="45" t="s">
        <v>5261</v>
      </c>
      <c r="C2114" s="45" t="s">
        <v>6748</v>
      </c>
      <c r="D2114" s="45" t="s">
        <v>6762</v>
      </c>
      <c r="E2114" s="44"/>
      <c r="F2114" s="37">
        <v>2</v>
      </c>
      <c r="G2114" s="37" t="s">
        <v>6864</v>
      </c>
      <c r="H2114" s="63">
        <v>4404.3999999999996</v>
      </c>
    </row>
    <row r="2115" spans="1:8" ht="24.75" customHeight="1">
      <c r="A2115" s="44" t="s">
        <v>851</v>
      </c>
      <c r="B2115" s="45" t="s">
        <v>5352</v>
      </c>
      <c r="C2115" s="45" t="s">
        <v>6748</v>
      </c>
      <c r="D2115" s="45" t="s">
        <v>6762</v>
      </c>
      <c r="E2115" s="44"/>
      <c r="F2115" s="37">
        <v>2</v>
      </c>
      <c r="G2115" s="37" t="s">
        <v>6864</v>
      </c>
      <c r="H2115" s="63">
        <v>4433</v>
      </c>
    </row>
    <row r="2116" spans="1:8" ht="24.75" customHeight="1">
      <c r="A2116" s="44" t="s">
        <v>1859</v>
      </c>
      <c r="B2116" s="45" t="s">
        <v>5276</v>
      </c>
      <c r="C2116" s="45" t="s">
        <v>6748</v>
      </c>
      <c r="D2116" s="45" t="s">
        <v>6762</v>
      </c>
      <c r="E2116" s="44"/>
      <c r="F2116" s="37">
        <v>2</v>
      </c>
      <c r="G2116" s="37" t="s">
        <v>6864</v>
      </c>
      <c r="H2116" s="63">
        <v>4461.6000000000004</v>
      </c>
    </row>
    <row r="2117" spans="1:8" ht="24.75" customHeight="1">
      <c r="A2117" s="44" t="s">
        <v>2057</v>
      </c>
      <c r="B2117" s="45" t="s">
        <v>5296</v>
      </c>
      <c r="C2117" s="45" t="s">
        <v>6748</v>
      </c>
      <c r="D2117" s="45" t="s">
        <v>6762</v>
      </c>
      <c r="E2117" s="44"/>
      <c r="F2117" s="37">
        <v>2</v>
      </c>
      <c r="G2117" s="37" t="s">
        <v>6864</v>
      </c>
      <c r="H2117" s="63">
        <v>4990.7</v>
      </c>
    </row>
    <row r="2118" spans="1:8" ht="24.75" customHeight="1">
      <c r="A2118" s="44" t="s">
        <v>1144</v>
      </c>
      <c r="B2118" s="45" t="s">
        <v>3901</v>
      </c>
      <c r="C2118" s="45" t="s">
        <v>6748</v>
      </c>
      <c r="D2118" s="45" t="s">
        <v>6762</v>
      </c>
      <c r="E2118" s="44" t="s">
        <v>6839</v>
      </c>
      <c r="F2118" s="37">
        <v>1</v>
      </c>
      <c r="G2118" s="37" t="s">
        <v>6865</v>
      </c>
      <c r="H2118" s="63">
        <v>6878.3</v>
      </c>
    </row>
    <row r="2119" spans="1:8" ht="24.75" customHeight="1">
      <c r="A2119" s="44" t="s">
        <v>264</v>
      </c>
      <c r="B2119" s="45" t="s">
        <v>6371</v>
      </c>
      <c r="C2119" s="45" t="s">
        <v>6748</v>
      </c>
      <c r="D2119" s="45" t="s">
        <v>6763</v>
      </c>
      <c r="E2119" s="44"/>
      <c r="F2119" s="37">
        <v>10</v>
      </c>
      <c r="G2119" s="37" t="s">
        <v>6864</v>
      </c>
      <c r="H2119" s="63">
        <v>2059.1999999999998</v>
      </c>
    </row>
    <row r="2120" spans="1:8" ht="24.75" customHeight="1">
      <c r="A2120" s="44" t="s">
        <v>2664</v>
      </c>
      <c r="B2120" s="45" t="s">
        <v>4201</v>
      </c>
      <c r="C2120" s="45" t="s">
        <v>6748</v>
      </c>
      <c r="D2120" s="45" t="s">
        <v>6763</v>
      </c>
      <c r="E2120" s="44"/>
      <c r="F2120" s="37">
        <v>1</v>
      </c>
      <c r="G2120" s="37" t="s">
        <v>6864</v>
      </c>
      <c r="H2120" s="63">
        <v>19119.099999999999</v>
      </c>
    </row>
    <row r="2121" spans="1:8" ht="24.75" customHeight="1">
      <c r="A2121" s="44" t="s">
        <v>2071</v>
      </c>
      <c r="B2121" s="45" t="s">
        <v>4200</v>
      </c>
      <c r="C2121" s="45" t="s">
        <v>6748</v>
      </c>
      <c r="D2121" s="45" t="s">
        <v>6763</v>
      </c>
      <c r="E2121" s="44"/>
      <c r="F2121" s="37">
        <v>5</v>
      </c>
      <c r="G2121" s="37" t="s">
        <v>6864</v>
      </c>
      <c r="H2121" s="63">
        <v>2674.1</v>
      </c>
    </row>
    <row r="2122" spans="1:8" ht="24.75" customHeight="1">
      <c r="A2122" s="44" t="s">
        <v>1858</v>
      </c>
      <c r="B2122" s="45" t="s">
        <v>5274</v>
      </c>
      <c r="C2122" s="45" t="s">
        <v>6748</v>
      </c>
      <c r="D2122" s="45" t="s">
        <v>6763</v>
      </c>
      <c r="E2122" s="44"/>
      <c r="F2122" s="37">
        <v>2</v>
      </c>
      <c r="G2122" s="37" t="s">
        <v>6864</v>
      </c>
      <c r="H2122" s="63">
        <v>2230.8000000000002</v>
      </c>
    </row>
    <row r="2123" spans="1:8" ht="24.75" customHeight="1">
      <c r="A2123" s="44" t="s">
        <v>3205</v>
      </c>
      <c r="B2123" s="45" t="s">
        <v>4245</v>
      </c>
      <c r="C2123" s="45" t="s">
        <v>6748</v>
      </c>
      <c r="D2123" s="45" t="s">
        <v>6763</v>
      </c>
      <c r="E2123" s="44"/>
      <c r="F2123" s="37">
        <v>5</v>
      </c>
      <c r="G2123" s="37" t="s">
        <v>6864</v>
      </c>
      <c r="H2123" s="63">
        <v>1801.8</v>
      </c>
    </row>
    <row r="2124" spans="1:8" ht="24.75" customHeight="1">
      <c r="A2124" s="44" t="s">
        <v>464</v>
      </c>
      <c r="B2124" s="45" t="s">
        <v>4185</v>
      </c>
      <c r="C2124" s="45" t="s">
        <v>6748</v>
      </c>
      <c r="D2124" s="45" t="s">
        <v>6763</v>
      </c>
      <c r="E2124" s="44"/>
      <c r="F2124" s="37">
        <v>10</v>
      </c>
      <c r="G2124" s="37" t="s">
        <v>6864</v>
      </c>
      <c r="H2124" s="63">
        <v>2659.8</v>
      </c>
    </row>
    <row r="2125" spans="1:8" ht="24.75" customHeight="1">
      <c r="A2125" s="44" t="s">
        <v>1662</v>
      </c>
      <c r="B2125" s="45" t="s">
        <v>5518</v>
      </c>
      <c r="C2125" s="45" t="s">
        <v>6748</v>
      </c>
      <c r="D2125" s="45" t="s">
        <v>6763</v>
      </c>
      <c r="E2125" s="44"/>
      <c r="F2125" s="37">
        <v>10</v>
      </c>
      <c r="G2125" s="37" t="s">
        <v>6864</v>
      </c>
      <c r="H2125" s="63">
        <v>2917.2</v>
      </c>
    </row>
    <row r="2126" spans="1:8" ht="24.75" customHeight="1">
      <c r="A2126" s="44" t="s">
        <v>477</v>
      </c>
      <c r="B2126" s="45" t="s">
        <v>4212</v>
      </c>
      <c r="C2126" s="45" t="s">
        <v>6748</v>
      </c>
      <c r="D2126" s="45" t="s">
        <v>6763</v>
      </c>
      <c r="E2126" s="44"/>
      <c r="F2126" s="37">
        <v>10</v>
      </c>
      <c r="G2126" s="37" t="s">
        <v>6864</v>
      </c>
      <c r="H2126" s="63">
        <v>2574</v>
      </c>
    </row>
    <row r="2127" spans="1:8" ht="24.75" customHeight="1">
      <c r="A2127" s="44" t="s">
        <v>465</v>
      </c>
      <c r="B2127" s="45" t="s">
        <v>4186</v>
      </c>
      <c r="C2127" s="45" t="s">
        <v>6748</v>
      </c>
      <c r="D2127" s="45" t="s">
        <v>6763</v>
      </c>
      <c r="E2127" s="44"/>
      <c r="F2127" s="37">
        <v>10</v>
      </c>
      <c r="G2127" s="37" t="s">
        <v>6864</v>
      </c>
      <c r="H2127" s="63">
        <v>2931.5</v>
      </c>
    </row>
    <row r="2128" spans="1:8" ht="24.75" customHeight="1">
      <c r="A2128" s="44" t="s">
        <v>466</v>
      </c>
      <c r="B2128" s="45" t="s">
        <v>4187</v>
      </c>
      <c r="C2128" s="45" t="s">
        <v>6748</v>
      </c>
      <c r="D2128" s="45" t="s">
        <v>6763</v>
      </c>
      <c r="E2128" s="44"/>
      <c r="F2128" s="37">
        <v>10</v>
      </c>
      <c r="G2128" s="37" t="s">
        <v>6864</v>
      </c>
      <c r="H2128" s="63">
        <v>2931.5</v>
      </c>
    </row>
    <row r="2129" spans="1:8" ht="24.75" customHeight="1">
      <c r="A2129" s="44" t="s">
        <v>31</v>
      </c>
      <c r="B2129" s="45" t="s">
        <v>4190</v>
      </c>
      <c r="C2129" s="45" t="s">
        <v>6748</v>
      </c>
      <c r="D2129" s="45" t="s">
        <v>6763</v>
      </c>
      <c r="E2129" s="44"/>
      <c r="F2129" s="37">
        <v>10</v>
      </c>
      <c r="G2129" s="37" t="s">
        <v>6864</v>
      </c>
      <c r="H2129" s="63">
        <v>3188.9</v>
      </c>
    </row>
    <row r="2130" spans="1:8" ht="24.75" customHeight="1">
      <c r="A2130" s="44" t="s">
        <v>2975</v>
      </c>
      <c r="B2130" s="45" t="s">
        <v>4182</v>
      </c>
      <c r="C2130" s="45" t="s">
        <v>6748</v>
      </c>
      <c r="D2130" s="45" t="s">
        <v>6763</v>
      </c>
      <c r="E2130" s="44"/>
      <c r="F2130" s="37">
        <v>10</v>
      </c>
      <c r="G2130" s="37" t="s">
        <v>6864</v>
      </c>
      <c r="H2130" s="63">
        <v>2345.1999999999998</v>
      </c>
    </row>
    <row r="2131" spans="1:8" ht="24.75" customHeight="1">
      <c r="A2131" s="44" t="s">
        <v>2222</v>
      </c>
      <c r="B2131" s="45" t="s">
        <v>5900</v>
      </c>
      <c r="C2131" s="45" t="s">
        <v>6748</v>
      </c>
      <c r="D2131" s="45" t="s">
        <v>6763</v>
      </c>
      <c r="E2131" s="44"/>
      <c r="F2131" s="37">
        <v>10</v>
      </c>
      <c r="G2131" s="37" t="s">
        <v>6864</v>
      </c>
      <c r="H2131" s="63">
        <v>1830.4</v>
      </c>
    </row>
    <row r="2132" spans="1:8" ht="24.75" customHeight="1">
      <c r="A2132" s="44" t="s">
        <v>33</v>
      </c>
      <c r="B2132" s="45" t="s">
        <v>4196</v>
      </c>
      <c r="C2132" s="45" t="s">
        <v>6748</v>
      </c>
      <c r="D2132" s="45" t="s">
        <v>6763</v>
      </c>
      <c r="E2132" s="44"/>
      <c r="F2132" s="37">
        <v>10</v>
      </c>
      <c r="G2132" s="37" t="s">
        <v>6864</v>
      </c>
      <c r="H2132" s="63">
        <v>2616.9</v>
      </c>
    </row>
    <row r="2133" spans="1:8" ht="24.75" customHeight="1">
      <c r="A2133" s="44" t="s">
        <v>34</v>
      </c>
      <c r="B2133" s="45" t="s">
        <v>4194</v>
      </c>
      <c r="C2133" s="45" t="s">
        <v>6748</v>
      </c>
      <c r="D2133" s="45" t="s">
        <v>6763</v>
      </c>
      <c r="E2133" s="44"/>
      <c r="F2133" s="37">
        <v>10</v>
      </c>
      <c r="G2133" s="37" t="s">
        <v>6864</v>
      </c>
      <c r="H2133" s="63">
        <v>1959.1</v>
      </c>
    </row>
    <row r="2134" spans="1:8" ht="24.75" customHeight="1">
      <c r="A2134" s="44" t="s">
        <v>32</v>
      </c>
      <c r="B2134" s="45" t="s">
        <v>4192</v>
      </c>
      <c r="C2134" s="45" t="s">
        <v>6748</v>
      </c>
      <c r="D2134" s="45" t="s">
        <v>6763</v>
      </c>
      <c r="E2134" s="44"/>
      <c r="F2134" s="37">
        <v>10</v>
      </c>
      <c r="G2134" s="37" t="s">
        <v>6864</v>
      </c>
      <c r="H2134" s="63">
        <v>2845.7</v>
      </c>
    </row>
    <row r="2135" spans="1:8" ht="24.75" customHeight="1">
      <c r="A2135" s="44" t="s">
        <v>269</v>
      </c>
      <c r="B2135" s="45" t="s">
        <v>4222</v>
      </c>
      <c r="C2135" s="45" t="s">
        <v>6748</v>
      </c>
      <c r="D2135" s="45" t="s">
        <v>6763</v>
      </c>
      <c r="E2135" s="44"/>
      <c r="F2135" s="37">
        <v>10</v>
      </c>
      <c r="G2135" s="37" t="s">
        <v>6864</v>
      </c>
      <c r="H2135" s="63">
        <v>2230.8000000000002</v>
      </c>
    </row>
    <row r="2136" spans="1:8" ht="24.75" customHeight="1">
      <c r="A2136" s="44" t="s">
        <v>271</v>
      </c>
      <c r="B2136" s="45" t="s">
        <v>4224</v>
      </c>
      <c r="C2136" s="45" t="s">
        <v>6748</v>
      </c>
      <c r="D2136" s="45" t="s">
        <v>6763</v>
      </c>
      <c r="E2136" s="44"/>
      <c r="F2136" s="37">
        <v>10</v>
      </c>
      <c r="G2136" s="37" t="s">
        <v>6864</v>
      </c>
      <c r="H2136" s="63">
        <v>2316.6</v>
      </c>
    </row>
    <row r="2137" spans="1:8" ht="24.75" customHeight="1">
      <c r="A2137" s="44" t="s">
        <v>265</v>
      </c>
      <c r="B2137" s="45" t="s">
        <v>4218</v>
      </c>
      <c r="C2137" s="45" t="s">
        <v>6748</v>
      </c>
      <c r="D2137" s="45" t="s">
        <v>6763</v>
      </c>
      <c r="E2137" s="44"/>
      <c r="F2137" s="37">
        <v>10</v>
      </c>
      <c r="G2137" s="37" t="s">
        <v>6864</v>
      </c>
      <c r="H2137" s="63">
        <v>1816.1</v>
      </c>
    </row>
    <row r="2138" spans="1:8" ht="24.75" customHeight="1">
      <c r="A2138" s="44" t="s">
        <v>469</v>
      </c>
      <c r="B2138" s="45" t="s">
        <v>4204</v>
      </c>
      <c r="C2138" s="45" t="s">
        <v>6748</v>
      </c>
      <c r="D2138" s="45" t="s">
        <v>6763</v>
      </c>
      <c r="E2138" s="44"/>
      <c r="F2138" s="37">
        <v>10</v>
      </c>
      <c r="G2138" s="37" t="s">
        <v>6864</v>
      </c>
      <c r="H2138" s="63">
        <v>1816.1</v>
      </c>
    </row>
    <row r="2139" spans="1:8" ht="24.75" customHeight="1">
      <c r="A2139" s="44" t="s">
        <v>2070</v>
      </c>
      <c r="B2139" s="45" t="s">
        <v>4199</v>
      </c>
      <c r="C2139" s="45" t="s">
        <v>6748</v>
      </c>
      <c r="D2139" s="45" t="s">
        <v>6763</v>
      </c>
      <c r="E2139" s="44"/>
      <c r="F2139" s="37">
        <v>5</v>
      </c>
      <c r="G2139" s="37" t="s">
        <v>6864</v>
      </c>
      <c r="H2139" s="63">
        <v>2016.3</v>
      </c>
    </row>
    <row r="2140" spans="1:8" ht="24.75" customHeight="1">
      <c r="A2140" s="44" t="s">
        <v>2072</v>
      </c>
      <c r="B2140" s="45" t="s">
        <v>4242</v>
      </c>
      <c r="C2140" s="45" t="s">
        <v>6748</v>
      </c>
      <c r="D2140" s="45" t="s">
        <v>6763</v>
      </c>
      <c r="E2140" s="44"/>
      <c r="F2140" s="37">
        <v>2</v>
      </c>
      <c r="G2140" s="37" t="s">
        <v>6864</v>
      </c>
      <c r="H2140" s="63">
        <v>14543.1</v>
      </c>
    </row>
    <row r="2141" spans="1:8" ht="24.75" customHeight="1">
      <c r="A2141" s="44" t="s">
        <v>1966</v>
      </c>
      <c r="B2141" s="45" t="s">
        <v>4198</v>
      </c>
      <c r="C2141" s="45" t="s">
        <v>6748</v>
      </c>
      <c r="D2141" s="45" t="s">
        <v>6763</v>
      </c>
      <c r="E2141" s="44"/>
      <c r="F2141" s="37">
        <v>2</v>
      </c>
      <c r="G2141" s="37" t="s">
        <v>6864</v>
      </c>
      <c r="H2141" s="63">
        <v>15644.2</v>
      </c>
    </row>
    <row r="2142" spans="1:8" ht="24.75" customHeight="1">
      <c r="A2142" s="44" t="s">
        <v>2425</v>
      </c>
      <c r="B2142" s="45" t="s">
        <v>4183</v>
      </c>
      <c r="C2142" s="45" t="s">
        <v>6748</v>
      </c>
      <c r="D2142" s="45" t="s">
        <v>6763</v>
      </c>
      <c r="E2142" s="44"/>
      <c r="F2142" s="37">
        <v>10</v>
      </c>
      <c r="G2142" s="37" t="s">
        <v>6864</v>
      </c>
      <c r="H2142" s="63">
        <v>2902.9</v>
      </c>
    </row>
    <row r="2143" spans="1:8" ht="24.75" customHeight="1">
      <c r="A2143" s="44" t="s">
        <v>2665</v>
      </c>
      <c r="B2143" s="45" t="s">
        <v>4202</v>
      </c>
      <c r="C2143" s="45" t="s">
        <v>6748</v>
      </c>
      <c r="D2143" s="45" t="s">
        <v>6763</v>
      </c>
      <c r="E2143" s="44"/>
      <c r="F2143" s="37">
        <v>5</v>
      </c>
      <c r="G2143" s="37" t="s">
        <v>6864</v>
      </c>
      <c r="H2143" s="63">
        <v>2459.6</v>
      </c>
    </row>
    <row r="2144" spans="1:8" ht="24.75" customHeight="1">
      <c r="A2144" s="44" t="s">
        <v>1624</v>
      </c>
      <c r="B2144" s="45" t="s">
        <v>5519</v>
      </c>
      <c r="C2144" s="45" t="s">
        <v>6748</v>
      </c>
      <c r="D2144" s="45" t="s">
        <v>6763</v>
      </c>
      <c r="E2144" s="44"/>
      <c r="F2144" s="37">
        <v>10</v>
      </c>
      <c r="G2144" s="37" t="s">
        <v>6864</v>
      </c>
      <c r="H2144" s="63">
        <v>2717</v>
      </c>
    </row>
    <row r="2145" spans="1:8" ht="24.75" customHeight="1">
      <c r="A2145" s="44" t="s">
        <v>270</v>
      </c>
      <c r="B2145" s="45" t="s">
        <v>4223</v>
      </c>
      <c r="C2145" s="45" t="s">
        <v>6748</v>
      </c>
      <c r="D2145" s="45" t="s">
        <v>6763</v>
      </c>
      <c r="E2145" s="44"/>
      <c r="F2145" s="37">
        <v>10</v>
      </c>
      <c r="G2145" s="37" t="s">
        <v>6864</v>
      </c>
      <c r="H2145" s="63">
        <v>2416.6999999999998</v>
      </c>
    </row>
    <row r="2146" spans="1:8" ht="24.75" customHeight="1">
      <c r="A2146" s="44" t="s">
        <v>1391</v>
      </c>
      <c r="B2146" s="45" t="s">
        <v>5209</v>
      </c>
      <c r="C2146" s="45" t="s">
        <v>6748</v>
      </c>
      <c r="D2146" s="45" t="s">
        <v>6763</v>
      </c>
      <c r="E2146" s="44" t="s">
        <v>6839</v>
      </c>
      <c r="F2146" s="37">
        <v>1</v>
      </c>
      <c r="G2146" s="37" t="s">
        <v>6864</v>
      </c>
      <c r="H2146" s="63">
        <v>2574</v>
      </c>
    </row>
    <row r="2147" spans="1:8" ht="24.75" customHeight="1">
      <c r="A2147" s="44" t="s">
        <v>476</v>
      </c>
      <c r="B2147" s="45" t="s">
        <v>4211</v>
      </c>
      <c r="C2147" s="45" t="s">
        <v>6748</v>
      </c>
      <c r="D2147" s="45" t="s">
        <v>6763</v>
      </c>
      <c r="E2147" s="44" t="s">
        <v>6839</v>
      </c>
      <c r="F2147" s="37">
        <v>10</v>
      </c>
      <c r="G2147" s="37" t="s">
        <v>6864</v>
      </c>
      <c r="H2147" s="63">
        <v>1530.1</v>
      </c>
    </row>
    <row r="2148" spans="1:8" ht="24.75" customHeight="1">
      <c r="A2148" s="44" t="s">
        <v>3131</v>
      </c>
      <c r="B2148" s="45" t="s">
        <v>4244</v>
      </c>
      <c r="C2148" s="45" t="s">
        <v>6748</v>
      </c>
      <c r="D2148" s="45" t="s">
        <v>6763</v>
      </c>
      <c r="E2148" s="44"/>
      <c r="F2148" s="37">
        <v>5</v>
      </c>
      <c r="G2148" s="37" t="s">
        <v>6864</v>
      </c>
      <c r="H2148" s="63">
        <v>2002</v>
      </c>
    </row>
    <row r="2149" spans="1:8" ht="24.75" customHeight="1">
      <c r="A2149" s="44" t="s">
        <v>467</v>
      </c>
      <c r="B2149" s="45" t="s">
        <v>4188</v>
      </c>
      <c r="C2149" s="45" t="s">
        <v>6748</v>
      </c>
      <c r="D2149" s="45" t="s">
        <v>6763</v>
      </c>
      <c r="E2149" s="44"/>
      <c r="F2149" s="37">
        <v>10</v>
      </c>
      <c r="G2149" s="37" t="s">
        <v>6864</v>
      </c>
      <c r="H2149" s="63">
        <v>3146</v>
      </c>
    </row>
    <row r="2150" spans="1:8" ht="24.75" customHeight="1">
      <c r="A2150" s="44" t="s">
        <v>261</v>
      </c>
      <c r="B2150" s="45" t="s">
        <v>4215</v>
      </c>
      <c r="C2150" s="45" t="s">
        <v>6748</v>
      </c>
      <c r="D2150" s="45" t="s">
        <v>6763</v>
      </c>
      <c r="E2150" s="44"/>
      <c r="F2150" s="37">
        <v>10</v>
      </c>
      <c r="G2150" s="37" t="s">
        <v>6864</v>
      </c>
      <c r="H2150" s="63">
        <v>2759.9</v>
      </c>
    </row>
    <row r="2151" spans="1:8" ht="24.75" customHeight="1">
      <c r="A2151" s="44" t="s">
        <v>475</v>
      </c>
      <c r="B2151" s="45" t="s">
        <v>4210</v>
      </c>
      <c r="C2151" s="45" t="s">
        <v>6748</v>
      </c>
      <c r="D2151" s="45" t="s">
        <v>6763</v>
      </c>
      <c r="E2151" s="44"/>
      <c r="F2151" s="37">
        <v>10</v>
      </c>
      <c r="G2151" s="37" t="s">
        <v>6864</v>
      </c>
      <c r="H2151" s="63">
        <v>2531.1</v>
      </c>
    </row>
    <row r="2152" spans="1:8" ht="24.75" customHeight="1">
      <c r="A2152" s="44" t="s">
        <v>266</v>
      </c>
      <c r="B2152" s="45" t="s">
        <v>4219</v>
      </c>
      <c r="C2152" s="45" t="s">
        <v>6748</v>
      </c>
      <c r="D2152" s="45" t="s">
        <v>6763</v>
      </c>
      <c r="E2152" s="44"/>
      <c r="F2152" s="37">
        <v>10</v>
      </c>
      <c r="G2152" s="37" t="s">
        <v>6864</v>
      </c>
      <c r="H2152" s="63">
        <v>2073.5</v>
      </c>
    </row>
    <row r="2153" spans="1:8" ht="24.75" customHeight="1">
      <c r="A2153" s="44" t="s">
        <v>1396</v>
      </c>
      <c r="B2153" s="45" t="s">
        <v>4189</v>
      </c>
      <c r="C2153" s="45" t="s">
        <v>6748</v>
      </c>
      <c r="D2153" s="45" t="s">
        <v>6763</v>
      </c>
      <c r="E2153" s="44" t="s">
        <v>6839</v>
      </c>
      <c r="F2153" s="37">
        <v>1</v>
      </c>
      <c r="G2153" s="37" t="s">
        <v>6864</v>
      </c>
      <c r="H2153" s="63">
        <v>2459.6</v>
      </c>
    </row>
    <row r="2154" spans="1:8" ht="24.75" customHeight="1">
      <c r="A2154" s="44" t="s">
        <v>1512</v>
      </c>
      <c r="B2154" s="45" t="s">
        <v>4197</v>
      </c>
      <c r="C2154" s="45" t="s">
        <v>6748</v>
      </c>
      <c r="D2154" s="45" t="s">
        <v>6763</v>
      </c>
      <c r="E2154" s="44"/>
      <c r="F2154" s="37">
        <v>10</v>
      </c>
      <c r="G2154" s="37" t="s">
        <v>6864</v>
      </c>
      <c r="H2154" s="63">
        <v>3188.9</v>
      </c>
    </row>
    <row r="2155" spans="1:8" ht="24.75" customHeight="1">
      <c r="A2155" s="44" t="s">
        <v>2426</v>
      </c>
      <c r="B2155" s="45" t="s">
        <v>4184</v>
      </c>
      <c r="C2155" s="45" t="s">
        <v>6748</v>
      </c>
      <c r="D2155" s="45" t="s">
        <v>6763</v>
      </c>
      <c r="E2155" s="44"/>
      <c r="F2155" s="37">
        <v>10</v>
      </c>
      <c r="G2155" s="37" t="s">
        <v>6864</v>
      </c>
      <c r="H2155" s="63">
        <v>2173.6</v>
      </c>
    </row>
    <row r="2156" spans="1:8" ht="24.75" customHeight="1">
      <c r="A2156" s="44" t="s">
        <v>2223</v>
      </c>
      <c r="B2156" s="45" t="s">
        <v>5924</v>
      </c>
      <c r="C2156" s="45" t="s">
        <v>6748</v>
      </c>
      <c r="D2156" s="45" t="s">
        <v>6763</v>
      </c>
      <c r="E2156" s="44"/>
      <c r="F2156" s="37">
        <v>10</v>
      </c>
      <c r="G2156" s="37" t="s">
        <v>6864</v>
      </c>
      <c r="H2156" s="63">
        <v>1773.2</v>
      </c>
    </row>
    <row r="2157" spans="1:8" ht="24.75" customHeight="1">
      <c r="A2157" s="44" t="s">
        <v>29</v>
      </c>
      <c r="B2157" s="45" t="s">
        <v>4195</v>
      </c>
      <c r="C2157" s="45" t="s">
        <v>6748</v>
      </c>
      <c r="D2157" s="45" t="s">
        <v>6763</v>
      </c>
      <c r="E2157" s="44"/>
      <c r="F2157" s="37">
        <v>10</v>
      </c>
      <c r="G2157" s="37" t="s">
        <v>6864</v>
      </c>
      <c r="H2157" s="63">
        <v>2616.9</v>
      </c>
    </row>
    <row r="2158" spans="1:8" ht="24.75" customHeight="1">
      <c r="A2158" s="44" t="s">
        <v>1839</v>
      </c>
      <c r="B2158" s="45" t="s">
        <v>5257</v>
      </c>
      <c r="C2158" s="45" t="s">
        <v>6748</v>
      </c>
      <c r="D2158" s="45" t="s">
        <v>6763</v>
      </c>
      <c r="E2158" s="44"/>
      <c r="F2158" s="37">
        <v>2</v>
      </c>
      <c r="G2158" s="37" t="s">
        <v>6864</v>
      </c>
      <c r="H2158" s="63">
        <v>2431</v>
      </c>
    </row>
    <row r="2159" spans="1:8" ht="24.75" customHeight="1">
      <c r="A2159" s="44" t="s">
        <v>30</v>
      </c>
      <c r="B2159" s="45" t="s">
        <v>4193</v>
      </c>
      <c r="C2159" s="45" t="s">
        <v>6748</v>
      </c>
      <c r="D2159" s="45" t="s">
        <v>6763</v>
      </c>
      <c r="E2159" s="44"/>
      <c r="F2159" s="37">
        <v>10</v>
      </c>
      <c r="G2159" s="37" t="s">
        <v>6864</v>
      </c>
      <c r="H2159" s="63">
        <v>1959.1</v>
      </c>
    </row>
    <row r="2160" spans="1:8" ht="24.75" customHeight="1">
      <c r="A2160" s="44" t="s">
        <v>260</v>
      </c>
      <c r="B2160" s="45" t="s">
        <v>4214</v>
      </c>
      <c r="C2160" s="45" t="s">
        <v>6748</v>
      </c>
      <c r="D2160" s="45" t="s">
        <v>6763</v>
      </c>
      <c r="E2160" s="44"/>
      <c r="F2160" s="37">
        <v>10</v>
      </c>
      <c r="G2160" s="37" t="s">
        <v>6864</v>
      </c>
      <c r="H2160" s="63">
        <v>2173.6</v>
      </c>
    </row>
    <row r="2161" spans="1:8" ht="24.75" customHeight="1">
      <c r="A2161" s="44" t="s">
        <v>28</v>
      </c>
      <c r="B2161" s="45" t="s">
        <v>4191</v>
      </c>
      <c r="C2161" s="45" t="s">
        <v>6748</v>
      </c>
      <c r="D2161" s="45" t="s">
        <v>6763</v>
      </c>
      <c r="E2161" s="44"/>
      <c r="F2161" s="37">
        <v>10</v>
      </c>
      <c r="G2161" s="37" t="s">
        <v>6864</v>
      </c>
      <c r="H2161" s="63">
        <v>3188.9</v>
      </c>
    </row>
    <row r="2162" spans="1:8" ht="24.75" customHeight="1">
      <c r="A2162" s="44" t="s">
        <v>268</v>
      </c>
      <c r="B2162" s="45" t="s">
        <v>4221</v>
      </c>
      <c r="C2162" s="45" t="s">
        <v>6748</v>
      </c>
      <c r="D2162" s="45" t="s">
        <v>6763</v>
      </c>
      <c r="E2162" s="44"/>
      <c r="F2162" s="37">
        <v>10</v>
      </c>
      <c r="G2162" s="37" t="s">
        <v>6864</v>
      </c>
      <c r="H2162" s="63">
        <v>2216.5</v>
      </c>
    </row>
    <row r="2163" spans="1:8" ht="24.75" customHeight="1">
      <c r="A2163" s="44" t="s">
        <v>267</v>
      </c>
      <c r="B2163" s="45" t="s">
        <v>4220</v>
      </c>
      <c r="C2163" s="45" t="s">
        <v>6748</v>
      </c>
      <c r="D2163" s="45" t="s">
        <v>6763</v>
      </c>
      <c r="E2163" s="44"/>
      <c r="F2163" s="37">
        <v>10</v>
      </c>
      <c r="G2163" s="37" t="s">
        <v>6864</v>
      </c>
      <c r="H2163" s="63">
        <v>2373.8000000000002</v>
      </c>
    </row>
    <row r="2164" spans="1:8" ht="24.75" customHeight="1">
      <c r="A2164" s="44" t="s">
        <v>471</v>
      </c>
      <c r="B2164" s="45" t="s">
        <v>4206</v>
      </c>
      <c r="C2164" s="45" t="s">
        <v>6748</v>
      </c>
      <c r="D2164" s="45" t="s">
        <v>6763</v>
      </c>
      <c r="E2164" s="44" t="s">
        <v>6839</v>
      </c>
      <c r="F2164" s="37">
        <v>1</v>
      </c>
      <c r="G2164" s="37" t="s">
        <v>6865</v>
      </c>
      <c r="H2164" s="63">
        <v>4132.7</v>
      </c>
    </row>
    <row r="2165" spans="1:8" ht="24.75" customHeight="1">
      <c r="A2165" s="44" t="s">
        <v>470</v>
      </c>
      <c r="B2165" s="45" t="s">
        <v>4205</v>
      </c>
      <c r="C2165" s="45" t="s">
        <v>6748</v>
      </c>
      <c r="D2165" s="45" t="s">
        <v>6763</v>
      </c>
      <c r="E2165" s="44" t="s">
        <v>6839</v>
      </c>
      <c r="F2165" s="37">
        <v>1</v>
      </c>
      <c r="G2165" s="37" t="s">
        <v>6864</v>
      </c>
      <c r="H2165" s="63">
        <v>4132.7</v>
      </c>
    </row>
    <row r="2166" spans="1:8" ht="24.75" customHeight="1">
      <c r="A2166" s="44" t="s">
        <v>468</v>
      </c>
      <c r="B2166" s="45" t="s">
        <v>4203</v>
      </c>
      <c r="C2166" s="45" t="s">
        <v>6748</v>
      </c>
      <c r="D2166" s="45" t="s">
        <v>6763</v>
      </c>
      <c r="E2166" s="44" t="s">
        <v>6839</v>
      </c>
      <c r="F2166" s="37">
        <v>1</v>
      </c>
      <c r="G2166" s="37" t="s">
        <v>6865</v>
      </c>
      <c r="H2166" s="63">
        <v>5105.1000000000004</v>
      </c>
    </row>
    <row r="2167" spans="1:8" ht="24.75" customHeight="1">
      <c r="A2167" s="44" t="s">
        <v>474</v>
      </c>
      <c r="B2167" s="45" t="s">
        <v>4209</v>
      </c>
      <c r="C2167" s="45" t="s">
        <v>6748</v>
      </c>
      <c r="D2167" s="45" t="s">
        <v>6763</v>
      </c>
      <c r="E2167" s="44" t="s">
        <v>6839</v>
      </c>
      <c r="F2167" s="37">
        <v>1</v>
      </c>
      <c r="G2167" s="37" t="s">
        <v>6865</v>
      </c>
      <c r="H2167" s="63">
        <v>4132.7</v>
      </c>
    </row>
    <row r="2168" spans="1:8" ht="24.75" customHeight="1">
      <c r="A2168" s="44" t="s">
        <v>473</v>
      </c>
      <c r="B2168" s="45" t="s">
        <v>4208</v>
      </c>
      <c r="C2168" s="45" t="s">
        <v>6748</v>
      </c>
      <c r="D2168" s="45" t="s">
        <v>6763</v>
      </c>
      <c r="E2168" s="44" t="s">
        <v>6839</v>
      </c>
      <c r="F2168" s="37">
        <v>1</v>
      </c>
      <c r="G2168" s="37" t="s">
        <v>6865</v>
      </c>
      <c r="H2168" s="63">
        <v>3103.1</v>
      </c>
    </row>
    <row r="2169" spans="1:8" ht="24.75" customHeight="1">
      <c r="A2169" s="44" t="s">
        <v>262</v>
      </c>
      <c r="B2169" s="45" t="s">
        <v>4216</v>
      </c>
      <c r="C2169" s="45" t="s">
        <v>6748</v>
      </c>
      <c r="D2169" s="45" t="s">
        <v>6763</v>
      </c>
      <c r="E2169" s="44" t="s">
        <v>6839</v>
      </c>
      <c r="F2169" s="37">
        <v>1</v>
      </c>
      <c r="G2169" s="37" t="s">
        <v>6865</v>
      </c>
      <c r="H2169" s="63">
        <v>4404.3999999999996</v>
      </c>
    </row>
    <row r="2170" spans="1:8" ht="24.75" customHeight="1">
      <c r="A2170" s="44" t="s">
        <v>263</v>
      </c>
      <c r="B2170" s="45" t="s">
        <v>4217</v>
      </c>
      <c r="C2170" s="45" t="s">
        <v>6748</v>
      </c>
      <c r="D2170" s="45" t="s">
        <v>6763</v>
      </c>
      <c r="E2170" s="44" t="s">
        <v>6839</v>
      </c>
      <c r="F2170" s="37">
        <v>1</v>
      </c>
      <c r="G2170" s="37" t="s">
        <v>6864</v>
      </c>
      <c r="H2170" s="63">
        <v>1816.1</v>
      </c>
    </row>
    <row r="2171" spans="1:8" ht="24.75" customHeight="1">
      <c r="A2171" s="44" t="s">
        <v>478</v>
      </c>
      <c r="B2171" s="45" t="s">
        <v>4213</v>
      </c>
      <c r="C2171" s="45" t="s">
        <v>6748</v>
      </c>
      <c r="D2171" s="45" t="s">
        <v>6763</v>
      </c>
      <c r="E2171" s="44" t="s">
        <v>6839</v>
      </c>
      <c r="F2171" s="37">
        <v>1</v>
      </c>
      <c r="G2171" s="37" t="s">
        <v>6865</v>
      </c>
      <c r="H2171" s="63">
        <v>4404.3999999999996</v>
      </c>
    </row>
    <row r="2172" spans="1:8" ht="24.75" customHeight="1">
      <c r="A2172" s="44" t="s">
        <v>472</v>
      </c>
      <c r="B2172" s="45" t="s">
        <v>4207</v>
      </c>
      <c r="C2172" s="45" t="s">
        <v>6748</v>
      </c>
      <c r="D2172" s="45" t="s">
        <v>6763</v>
      </c>
      <c r="E2172" s="44" t="s">
        <v>6839</v>
      </c>
      <c r="F2172" s="37">
        <v>1</v>
      </c>
      <c r="G2172" s="37" t="s">
        <v>6865</v>
      </c>
      <c r="H2172" s="63">
        <v>3460.6</v>
      </c>
    </row>
    <row r="2173" spans="1:8" ht="24.75" customHeight="1">
      <c r="A2173" s="44" t="s">
        <v>982</v>
      </c>
      <c r="B2173" s="45" t="s">
        <v>5697</v>
      </c>
      <c r="C2173" s="45" t="s">
        <v>6748</v>
      </c>
      <c r="D2173" s="45" t="s">
        <v>6764</v>
      </c>
      <c r="E2173" s="44"/>
      <c r="F2173" s="37">
        <v>5</v>
      </c>
      <c r="G2173" s="37" t="s">
        <v>6865</v>
      </c>
      <c r="H2173" s="63">
        <v>2531.1</v>
      </c>
    </row>
    <row r="2174" spans="1:8" ht="24.75" customHeight="1">
      <c r="A2174" s="44" t="s">
        <v>2823</v>
      </c>
      <c r="B2174" s="45" t="s">
        <v>5822</v>
      </c>
      <c r="C2174" s="45" t="s">
        <v>6748</v>
      </c>
      <c r="D2174" s="45" t="s">
        <v>6764</v>
      </c>
      <c r="E2174" s="44"/>
      <c r="F2174" s="37">
        <v>1</v>
      </c>
      <c r="G2174" s="37" t="s">
        <v>6864</v>
      </c>
      <c r="H2174" s="63">
        <v>2230.8000000000002</v>
      </c>
    </row>
    <row r="2175" spans="1:8" ht="24.75" customHeight="1">
      <c r="A2175" s="44" t="s">
        <v>2227</v>
      </c>
      <c r="B2175" s="45" t="s">
        <v>5889</v>
      </c>
      <c r="C2175" s="45" t="s">
        <v>6748</v>
      </c>
      <c r="D2175" s="45" t="s">
        <v>6764</v>
      </c>
      <c r="E2175" s="44"/>
      <c r="F2175" s="37">
        <v>1</v>
      </c>
      <c r="G2175" s="37" t="s">
        <v>6865</v>
      </c>
      <c r="H2175" s="63">
        <v>1658.8</v>
      </c>
    </row>
    <row r="2176" spans="1:8" ht="24.75" customHeight="1">
      <c r="A2176" s="44" t="s">
        <v>2478</v>
      </c>
      <c r="B2176" s="45" t="s">
        <v>4849</v>
      </c>
      <c r="C2176" s="45" t="s">
        <v>6748</v>
      </c>
      <c r="D2176" s="45" t="s">
        <v>6764</v>
      </c>
      <c r="E2176" s="44"/>
      <c r="F2176" s="37">
        <v>1</v>
      </c>
      <c r="G2176" s="37" t="s">
        <v>6865</v>
      </c>
      <c r="H2176" s="63">
        <v>1944.8</v>
      </c>
    </row>
    <row r="2177" spans="1:8" ht="24.75" customHeight="1">
      <c r="A2177" s="44" t="s">
        <v>2616</v>
      </c>
      <c r="B2177" s="45" t="s">
        <v>3805</v>
      </c>
      <c r="C2177" s="45" t="s">
        <v>6748</v>
      </c>
      <c r="D2177" s="45" t="s">
        <v>6764</v>
      </c>
      <c r="E2177" s="44"/>
      <c r="F2177" s="37">
        <v>1</v>
      </c>
      <c r="G2177" s="37" t="s">
        <v>6865</v>
      </c>
      <c r="H2177" s="63">
        <v>2202.1999999999998</v>
      </c>
    </row>
    <row r="2178" spans="1:8" ht="24.75" customHeight="1">
      <c r="A2178" s="44" t="s">
        <v>179</v>
      </c>
      <c r="B2178" s="45" t="s">
        <v>6042</v>
      </c>
      <c r="C2178" s="45" t="s">
        <v>6748</v>
      </c>
      <c r="D2178" s="45" t="s">
        <v>6764</v>
      </c>
      <c r="E2178" s="44" t="s">
        <v>6839</v>
      </c>
      <c r="F2178" s="37">
        <v>1</v>
      </c>
      <c r="G2178" s="37" t="s">
        <v>6864</v>
      </c>
      <c r="H2178" s="63">
        <v>1801.8</v>
      </c>
    </row>
    <row r="2179" spans="1:8" ht="24.75" customHeight="1">
      <c r="A2179" s="44" t="s">
        <v>2344</v>
      </c>
      <c r="B2179" s="45" t="s">
        <v>4262</v>
      </c>
      <c r="C2179" s="45" t="s">
        <v>6748</v>
      </c>
      <c r="D2179" s="45" t="s">
        <v>6765</v>
      </c>
      <c r="E2179" s="44" t="s">
        <v>956</v>
      </c>
      <c r="F2179" s="37">
        <v>1</v>
      </c>
      <c r="G2179" s="37" t="s">
        <v>6864</v>
      </c>
      <c r="H2179" s="63">
        <v>9566.7000000000007</v>
      </c>
    </row>
    <row r="2180" spans="1:8" ht="24.75" customHeight="1">
      <c r="A2180" s="44" t="s">
        <v>1397</v>
      </c>
      <c r="B2180" s="45" t="s">
        <v>5208</v>
      </c>
      <c r="C2180" s="45" t="s">
        <v>6748</v>
      </c>
      <c r="D2180" s="45" t="s">
        <v>6765</v>
      </c>
      <c r="E2180" s="44" t="s">
        <v>956</v>
      </c>
      <c r="F2180" s="37">
        <v>1</v>
      </c>
      <c r="G2180" s="37" t="s">
        <v>6864</v>
      </c>
      <c r="H2180" s="63">
        <v>5276.7</v>
      </c>
    </row>
    <row r="2181" spans="1:8" ht="24.75" customHeight="1">
      <c r="A2181" s="44" t="s">
        <v>1104</v>
      </c>
      <c r="B2181" s="45" t="s">
        <v>5087</v>
      </c>
      <c r="C2181" s="45" t="s">
        <v>6748</v>
      </c>
      <c r="D2181" s="45" t="s">
        <v>6765</v>
      </c>
      <c r="E2181" s="44" t="s">
        <v>6839</v>
      </c>
      <c r="F2181" s="37">
        <v>1</v>
      </c>
      <c r="G2181" s="37" t="s">
        <v>6864</v>
      </c>
      <c r="H2181" s="63">
        <v>4390.1000000000004</v>
      </c>
    </row>
    <row r="2182" spans="1:8" ht="24.75" customHeight="1">
      <c r="A2182" s="44" t="s">
        <v>1317</v>
      </c>
      <c r="B2182" s="45" t="s">
        <v>4258</v>
      </c>
      <c r="C2182" s="45" t="s">
        <v>6748</v>
      </c>
      <c r="D2182" s="45" t="s">
        <v>6765</v>
      </c>
      <c r="E2182" s="44" t="s">
        <v>956</v>
      </c>
      <c r="F2182" s="37">
        <v>1</v>
      </c>
      <c r="G2182" s="37" t="s">
        <v>6864</v>
      </c>
      <c r="H2182" s="63">
        <v>5105.1000000000004</v>
      </c>
    </row>
    <row r="2183" spans="1:8" ht="24.75" customHeight="1">
      <c r="A2183" s="44" t="s">
        <v>289</v>
      </c>
      <c r="B2183" s="45" t="s">
        <v>4264</v>
      </c>
      <c r="C2183" s="45" t="s">
        <v>6748</v>
      </c>
      <c r="D2183" s="45" t="s">
        <v>6765</v>
      </c>
      <c r="E2183" s="44" t="s">
        <v>956</v>
      </c>
      <c r="F2183" s="37">
        <v>1</v>
      </c>
      <c r="G2183" s="37" t="s">
        <v>6864</v>
      </c>
      <c r="H2183" s="63">
        <v>5391.1</v>
      </c>
    </row>
    <row r="2184" spans="1:8" ht="24.75" customHeight="1">
      <c r="A2184" s="44" t="s">
        <v>290</v>
      </c>
      <c r="B2184" s="45" t="s">
        <v>4265</v>
      </c>
      <c r="C2184" s="45" t="s">
        <v>6748</v>
      </c>
      <c r="D2184" s="45" t="s">
        <v>6765</v>
      </c>
      <c r="E2184" s="44" t="s">
        <v>956</v>
      </c>
      <c r="F2184" s="37">
        <v>1</v>
      </c>
      <c r="G2184" s="37" t="s">
        <v>6864</v>
      </c>
      <c r="H2184" s="63">
        <v>6363.5</v>
      </c>
    </row>
    <row r="2185" spans="1:8" ht="24.75" customHeight="1">
      <c r="A2185" s="44" t="s">
        <v>291</v>
      </c>
      <c r="B2185" s="45" t="s">
        <v>4266</v>
      </c>
      <c r="C2185" s="45" t="s">
        <v>6748</v>
      </c>
      <c r="D2185" s="45" t="s">
        <v>6765</v>
      </c>
      <c r="E2185" s="44" t="s">
        <v>956</v>
      </c>
      <c r="F2185" s="37">
        <v>1</v>
      </c>
      <c r="G2185" s="37" t="s">
        <v>6864</v>
      </c>
      <c r="H2185" s="63">
        <v>4590.3</v>
      </c>
    </row>
    <row r="2186" spans="1:8" ht="24.75" customHeight="1">
      <c r="A2186" s="44" t="s">
        <v>1632</v>
      </c>
      <c r="B2186" s="45" t="s">
        <v>5528</v>
      </c>
      <c r="C2186" s="45" t="s">
        <v>6748</v>
      </c>
      <c r="D2186" s="45" t="s">
        <v>6765</v>
      </c>
      <c r="E2186" s="44" t="s">
        <v>6839</v>
      </c>
      <c r="F2186" s="37">
        <v>1</v>
      </c>
      <c r="G2186" s="37" t="s">
        <v>6864</v>
      </c>
      <c r="H2186" s="63">
        <v>3946.8</v>
      </c>
    </row>
    <row r="2187" spans="1:8" ht="24.75" customHeight="1">
      <c r="A2187" s="44" t="s">
        <v>1318</v>
      </c>
      <c r="B2187" s="45" t="s">
        <v>4259</v>
      </c>
      <c r="C2187" s="45" t="s">
        <v>6748</v>
      </c>
      <c r="D2187" s="45" t="s">
        <v>6765</v>
      </c>
      <c r="E2187" s="44" t="s">
        <v>956</v>
      </c>
      <c r="F2187" s="37">
        <v>1</v>
      </c>
      <c r="G2187" s="37" t="s">
        <v>6864</v>
      </c>
      <c r="H2187" s="63">
        <v>4290</v>
      </c>
    </row>
    <row r="2188" spans="1:8" ht="24.75" customHeight="1">
      <c r="A2188" s="44" t="s">
        <v>292</v>
      </c>
      <c r="B2188" s="45" t="s">
        <v>4267</v>
      </c>
      <c r="C2188" s="45" t="s">
        <v>6748</v>
      </c>
      <c r="D2188" s="45" t="s">
        <v>6765</v>
      </c>
      <c r="E2188" s="44" t="s">
        <v>956</v>
      </c>
      <c r="F2188" s="37">
        <v>1</v>
      </c>
      <c r="G2188" s="37" t="s">
        <v>6864</v>
      </c>
      <c r="H2188" s="63">
        <v>4590.3</v>
      </c>
    </row>
    <row r="2189" spans="1:8" ht="24.75" customHeight="1">
      <c r="A2189" s="44" t="s">
        <v>618</v>
      </c>
      <c r="B2189" s="45" t="s">
        <v>5664</v>
      </c>
      <c r="C2189" s="45" t="s">
        <v>6748</v>
      </c>
      <c r="D2189" s="45" t="s">
        <v>6765</v>
      </c>
      <c r="E2189" s="44" t="s">
        <v>6839</v>
      </c>
      <c r="F2189" s="37">
        <v>1</v>
      </c>
      <c r="G2189" s="37" t="s">
        <v>6864</v>
      </c>
      <c r="H2189" s="63">
        <v>5391.1</v>
      </c>
    </row>
    <row r="2190" spans="1:8" ht="24.75" customHeight="1">
      <c r="A2190" s="44" t="s">
        <v>2809</v>
      </c>
      <c r="B2190" s="45" t="s">
        <v>5808</v>
      </c>
      <c r="C2190" s="45" t="s">
        <v>6748</v>
      </c>
      <c r="D2190" s="45" t="s">
        <v>6765</v>
      </c>
      <c r="E2190" s="44" t="s">
        <v>6839</v>
      </c>
      <c r="F2190" s="37">
        <v>1</v>
      </c>
      <c r="G2190" s="37" t="s">
        <v>6864</v>
      </c>
      <c r="H2190" s="63">
        <v>5505.5</v>
      </c>
    </row>
    <row r="2191" spans="1:8" ht="24.75" customHeight="1">
      <c r="A2191" s="44" t="s">
        <v>46</v>
      </c>
      <c r="B2191" s="45" t="s">
        <v>4270</v>
      </c>
      <c r="C2191" s="45" t="s">
        <v>6748</v>
      </c>
      <c r="D2191" s="45" t="s">
        <v>6765</v>
      </c>
      <c r="E2191" s="44" t="s">
        <v>956</v>
      </c>
      <c r="F2191" s="37">
        <v>1</v>
      </c>
      <c r="G2191" s="37" t="s">
        <v>6864</v>
      </c>
      <c r="H2191" s="63">
        <v>4390.1000000000004</v>
      </c>
    </row>
    <row r="2192" spans="1:8" ht="24.75" customHeight="1">
      <c r="A2192" s="44" t="s">
        <v>2358</v>
      </c>
      <c r="B2192" s="45" t="s">
        <v>4260</v>
      </c>
      <c r="C2192" s="45" t="s">
        <v>6748</v>
      </c>
      <c r="D2192" s="45" t="s">
        <v>6765</v>
      </c>
      <c r="E2192" s="44" t="s">
        <v>956</v>
      </c>
      <c r="F2192" s="37">
        <v>1</v>
      </c>
      <c r="G2192" s="37" t="s">
        <v>6864</v>
      </c>
      <c r="H2192" s="63">
        <v>4590.3</v>
      </c>
    </row>
    <row r="2193" spans="1:8" ht="24.75" customHeight="1">
      <c r="A2193" s="44" t="s">
        <v>2229</v>
      </c>
      <c r="B2193" s="45" t="s">
        <v>5927</v>
      </c>
      <c r="C2193" s="45" t="s">
        <v>6748</v>
      </c>
      <c r="D2193" s="45" t="s">
        <v>6765</v>
      </c>
      <c r="E2193" s="44" t="s">
        <v>956</v>
      </c>
      <c r="F2193" s="37">
        <v>1</v>
      </c>
      <c r="G2193" s="37" t="s">
        <v>6864</v>
      </c>
      <c r="H2193" s="63">
        <v>4318.6000000000004</v>
      </c>
    </row>
    <row r="2194" spans="1:8" ht="24.75" customHeight="1">
      <c r="A2194" s="44" t="s">
        <v>1316</v>
      </c>
      <c r="B2194" s="45" t="s">
        <v>4257</v>
      </c>
      <c r="C2194" s="45" t="s">
        <v>6748</v>
      </c>
      <c r="D2194" s="45" t="s">
        <v>6765</v>
      </c>
      <c r="E2194" s="44" t="s">
        <v>956</v>
      </c>
      <c r="F2194" s="37">
        <v>1</v>
      </c>
      <c r="G2194" s="37" t="s">
        <v>6864</v>
      </c>
      <c r="H2194" s="63">
        <v>4933.5</v>
      </c>
    </row>
    <row r="2195" spans="1:8" ht="24.75" customHeight="1">
      <c r="A2195" s="44" t="s">
        <v>47</v>
      </c>
      <c r="B2195" s="45" t="s">
        <v>4271</v>
      </c>
      <c r="C2195" s="45" t="s">
        <v>6748</v>
      </c>
      <c r="D2195" s="45" t="s">
        <v>6765</v>
      </c>
      <c r="E2195" s="44" t="s">
        <v>956</v>
      </c>
      <c r="F2195" s="37">
        <v>1</v>
      </c>
      <c r="G2195" s="37" t="s">
        <v>6864</v>
      </c>
      <c r="H2195" s="63">
        <v>8108.1</v>
      </c>
    </row>
    <row r="2196" spans="1:8" ht="24.75" customHeight="1">
      <c r="A2196" s="44" t="s">
        <v>294</v>
      </c>
      <c r="B2196" s="45" t="s">
        <v>4269</v>
      </c>
      <c r="C2196" s="45" t="s">
        <v>6748</v>
      </c>
      <c r="D2196" s="45" t="s">
        <v>6765</v>
      </c>
      <c r="E2196" s="44" t="s">
        <v>956</v>
      </c>
      <c r="F2196" s="37">
        <v>1</v>
      </c>
      <c r="G2196" s="37" t="s">
        <v>6864</v>
      </c>
      <c r="H2196" s="63">
        <v>5448.3</v>
      </c>
    </row>
    <row r="2197" spans="1:8" ht="24.75" customHeight="1">
      <c r="A2197" s="44" t="s">
        <v>2407</v>
      </c>
      <c r="B2197" s="45" t="s">
        <v>4263</v>
      </c>
      <c r="C2197" s="45" t="s">
        <v>6748</v>
      </c>
      <c r="D2197" s="45" t="s">
        <v>6765</v>
      </c>
      <c r="E2197" s="44" t="s">
        <v>956</v>
      </c>
      <c r="F2197" s="37">
        <v>1</v>
      </c>
      <c r="G2197" s="37" t="s">
        <v>6864</v>
      </c>
      <c r="H2197" s="63">
        <v>4590.3</v>
      </c>
    </row>
    <row r="2198" spans="1:8" ht="24.75" customHeight="1">
      <c r="A2198" s="44" t="s">
        <v>293</v>
      </c>
      <c r="B2198" s="45" t="s">
        <v>4268</v>
      </c>
      <c r="C2198" s="45" t="s">
        <v>6748</v>
      </c>
      <c r="D2198" s="45" t="s">
        <v>6765</v>
      </c>
      <c r="E2198" s="44" t="s">
        <v>956</v>
      </c>
      <c r="F2198" s="37">
        <v>1</v>
      </c>
      <c r="G2198" s="37" t="s">
        <v>6864</v>
      </c>
      <c r="H2198" s="63">
        <v>6020.3</v>
      </c>
    </row>
    <row r="2199" spans="1:8" ht="24.75" customHeight="1">
      <c r="A2199" s="44" t="s">
        <v>790</v>
      </c>
      <c r="B2199" s="45" t="s">
        <v>5980</v>
      </c>
      <c r="C2199" s="45" t="s">
        <v>6748</v>
      </c>
      <c r="D2199" s="45" t="s">
        <v>6765</v>
      </c>
      <c r="E2199" s="44" t="s">
        <v>6839</v>
      </c>
      <c r="F2199" s="37">
        <v>1</v>
      </c>
      <c r="G2199" s="37" t="s">
        <v>6864</v>
      </c>
      <c r="H2199" s="63">
        <v>4776.2</v>
      </c>
    </row>
    <row r="2200" spans="1:8" ht="24.75" customHeight="1">
      <c r="A2200" s="44" t="s">
        <v>1339</v>
      </c>
      <c r="B2200" s="45" t="s">
        <v>5168</v>
      </c>
      <c r="C2200" s="45" t="s">
        <v>6748</v>
      </c>
      <c r="D2200" s="45" t="s">
        <v>6766</v>
      </c>
      <c r="E2200" s="44" t="s">
        <v>6839</v>
      </c>
      <c r="F2200" s="37">
        <v>20</v>
      </c>
      <c r="G2200" s="37" t="s">
        <v>2568</v>
      </c>
      <c r="H2200" s="63">
        <v>886.6</v>
      </c>
    </row>
    <row r="2201" spans="1:8" ht="24.75" customHeight="1">
      <c r="A2201" s="44" t="s">
        <v>688</v>
      </c>
      <c r="B2201" s="45" t="s">
        <v>5097</v>
      </c>
      <c r="C2201" s="45" t="s">
        <v>6748</v>
      </c>
      <c r="D2201" s="45" t="s">
        <v>6766</v>
      </c>
      <c r="E2201" s="44"/>
      <c r="F2201" s="37">
        <v>10</v>
      </c>
      <c r="G2201" s="37" t="s">
        <v>6864</v>
      </c>
      <c r="H2201" s="63">
        <v>1916.2</v>
      </c>
    </row>
    <row r="2202" spans="1:8" ht="24.75" customHeight="1">
      <c r="A2202" s="44" t="s">
        <v>3097</v>
      </c>
      <c r="B2202" s="45" t="s">
        <v>5389</v>
      </c>
      <c r="C2202" s="45" t="s">
        <v>6748</v>
      </c>
      <c r="D2202" s="45" t="s">
        <v>6766</v>
      </c>
      <c r="E2202" s="44"/>
      <c r="F2202" s="37">
        <v>1</v>
      </c>
      <c r="G2202" s="37" t="s">
        <v>6864</v>
      </c>
      <c r="H2202" s="63">
        <v>3103.1</v>
      </c>
    </row>
    <row r="2203" spans="1:8" ht="24.75" customHeight="1">
      <c r="A2203" s="44" t="s">
        <v>1665</v>
      </c>
      <c r="B2203" s="45" t="s">
        <v>5483</v>
      </c>
      <c r="C2203" s="45" t="s">
        <v>6748</v>
      </c>
      <c r="D2203" s="45" t="s">
        <v>6766</v>
      </c>
      <c r="E2203" s="44" t="s">
        <v>6839</v>
      </c>
      <c r="F2203" s="37">
        <v>1</v>
      </c>
      <c r="G2203" s="37" t="s">
        <v>6864</v>
      </c>
      <c r="H2203" s="63">
        <v>3546.4</v>
      </c>
    </row>
    <row r="2204" spans="1:8" ht="24.75" customHeight="1">
      <c r="A2204" s="44" t="s">
        <v>677</v>
      </c>
      <c r="B2204" s="45" t="s">
        <v>5708</v>
      </c>
      <c r="C2204" s="45" t="s">
        <v>6748</v>
      </c>
      <c r="D2204" s="45" t="s">
        <v>6766</v>
      </c>
      <c r="E2204" s="44" t="s">
        <v>6839</v>
      </c>
      <c r="F2204" s="37">
        <v>10</v>
      </c>
      <c r="G2204" s="37" t="s">
        <v>2568</v>
      </c>
      <c r="H2204" s="63">
        <v>1115.4000000000001</v>
      </c>
    </row>
    <row r="2205" spans="1:8" ht="24.75" customHeight="1">
      <c r="A2205" s="44" t="s">
        <v>607</v>
      </c>
      <c r="B2205" s="45" t="s">
        <v>5653</v>
      </c>
      <c r="C2205" s="45" t="s">
        <v>6748</v>
      </c>
      <c r="D2205" s="45" t="s">
        <v>6766</v>
      </c>
      <c r="E2205" s="44"/>
      <c r="F2205" s="37">
        <v>4</v>
      </c>
      <c r="G2205" s="37" t="s">
        <v>6864</v>
      </c>
      <c r="H2205" s="63">
        <v>1916.2</v>
      </c>
    </row>
    <row r="2206" spans="1:8" ht="24.75" customHeight="1">
      <c r="A2206" s="44" t="s">
        <v>2230</v>
      </c>
      <c r="B2206" s="45" t="s">
        <v>5594</v>
      </c>
      <c r="C2206" s="45" t="s">
        <v>6748</v>
      </c>
      <c r="D2206" s="45" t="s">
        <v>6766</v>
      </c>
      <c r="E2206" s="44"/>
      <c r="F2206" s="37">
        <v>1</v>
      </c>
      <c r="G2206" s="37" t="s">
        <v>6864</v>
      </c>
      <c r="H2206" s="63">
        <v>3317.6</v>
      </c>
    </row>
    <row r="2207" spans="1:8" ht="24.75" customHeight="1">
      <c r="A2207" s="44" t="s">
        <v>2479</v>
      </c>
      <c r="B2207" s="45" t="s">
        <v>4850</v>
      </c>
      <c r="C2207" s="45" t="s">
        <v>6748</v>
      </c>
      <c r="D2207" s="45" t="s">
        <v>6766</v>
      </c>
      <c r="E2207" s="44"/>
      <c r="F2207" s="37">
        <v>1</v>
      </c>
      <c r="G2207" s="37" t="s">
        <v>6864</v>
      </c>
      <c r="H2207" s="63">
        <v>2802.8</v>
      </c>
    </row>
    <row r="2208" spans="1:8" ht="24.75" customHeight="1">
      <c r="A2208" s="44" t="s">
        <v>1228</v>
      </c>
      <c r="B2208" s="45" t="s">
        <v>4972</v>
      </c>
      <c r="C2208" s="45" t="s">
        <v>6748</v>
      </c>
      <c r="D2208" s="45" t="s">
        <v>6766</v>
      </c>
      <c r="E2208" s="44"/>
      <c r="F2208" s="37">
        <v>5</v>
      </c>
      <c r="G2208" s="37" t="s">
        <v>6864</v>
      </c>
      <c r="H2208" s="63">
        <v>2059.1999999999998</v>
      </c>
    </row>
    <row r="2209" spans="1:8" ht="24.75" customHeight="1">
      <c r="A2209" s="44" t="s">
        <v>883</v>
      </c>
      <c r="B2209" s="45" t="s">
        <v>6031</v>
      </c>
      <c r="C2209" s="45" t="s">
        <v>6748</v>
      </c>
      <c r="D2209" s="45" t="s">
        <v>6766</v>
      </c>
      <c r="E2209" s="44"/>
      <c r="F2209" s="37">
        <v>10</v>
      </c>
      <c r="G2209" s="37" t="s">
        <v>6864</v>
      </c>
      <c r="H2209" s="63">
        <v>1873.3</v>
      </c>
    </row>
    <row r="2210" spans="1:8" ht="24.75" customHeight="1">
      <c r="A2210" s="44" t="s">
        <v>682</v>
      </c>
      <c r="B2210" s="45" t="s">
        <v>5091</v>
      </c>
      <c r="C2210" s="45" t="s">
        <v>6748</v>
      </c>
      <c r="D2210" s="45" t="s">
        <v>6767</v>
      </c>
      <c r="E2210" s="44" t="s">
        <v>6839</v>
      </c>
      <c r="F2210" s="37">
        <v>1</v>
      </c>
      <c r="G2210" s="37" t="s">
        <v>6864</v>
      </c>
      <c r="H2210" s="63">
        <v>8065.2</v>
      </c>
    </row>
    <row r="2211" spans="1:8" ht="24.75" customHeight="1">
      <c r="A2211" s="44" t="s">
        <v>1254</v>
      </c>
      <c r="B2211" s="45" t="s">
        <v>4920</v>
      </c>
      <c r="C2211" s="45" t="s">
        <v>6748</v>
      </c>
      <c r="D2211" s="45" t="s">
        <v>6767</v>
      </c>
      <c r="E2211" s="44" t="s">
        <v>956</v>
      </c>
      <c r="F2211" s="37">
        <v>1</v>
      </c>
      <c r="G2211" s="37" t="s">
        <v>6864</v>
      </c>
      <c r="H2211" s="63">
        <v>8079.5</v>
      </c>
    </row>
    <row r="2212" spans="1:8" ht="24.75" customHeight="1">
      <c r="A2212" s="44" t="s">
        <v>1255</v>
      </c>
      <c r="B2212" s="45" t="s">
        <v>4921</v>
      </c>
      <c r="C2212" s="45" t="s">
        <v>6748</v>
      </c>
      <c r="D2212" s="45" t="s">
        <v>6767</v>
      </c>
      <c r="E2212" s="44" t="s">
        <v>956</v>
      </c>
      <c r="F2212" s="37">
        <v>1</v>
      </c>
      <c r="G2212" s="37" t="s">
        <v>6864</v>
      </c>
      <c r="H2212" s="63">
        <v>8193.9</v>
      </c>
    </row>
    <row r="2213" spans="1:8" ht="24.75" customHeight="1">
      <c r="A2213" s="44" t="s">
        <v>1256</v>
      </c>
      <c r="B2213" s="45" t="s">
        <v>4922</v>
      </c>
      <c r="C2213" s="45" t="s">
        <v>6748</v>
      </c>
      <c r="D2213" s="45" t="s">
        <v>6767</v>
      </c>
      <c r="E2213" s="44" t="s">
        <v>956</v>
      </c>
      <c r="F2213" s="37">
        <v>1</v>
      </c>
      <c r="G2213" s="37" t="s">
        <v>6864</v>
      </c>
      <c r="H2213" s="63">
        <v>8022.3</v>
      </c>
    </row>
    <row r="2214" spans="1:8" ht="24.75" customHeight="1">
      <c r="A2214" s="44" t="s">
        <v>1633</v>
      </c>
      <c r="B2214" s="45" t="s">
        <v>5529</v>
      </c>
      <c r="C2214" s="45" t="s">
        <v>6748</v>
      </c>
      <c r="D2214" s="45" t="s">
        <v>6767</v>
      </c>
      <c r="E2214" s="44" t="s">
        <v>6839</v>
      </c>
      <c r="F2214" s="37">
        <v>1</v>
      </c>
      <c r="G2214" s="37" t="s">
        <v>6864</v>
      </c>
      <c r="H2214" s="63">
        <v>10210.200000000001</v>
      </c>
    </row>
    <row r="2215" spans="1:8" ht="24.75" customHeight="1">
      <c r="A2215" s="44" t="s">
        <v>1257</v>
      </c>
      <c r="B2215" s="45" t="s">
        <v>4923</v>
      </c>
      <c r="C2215" s="45" t="s">
        <v>6748</v>
      </c>
      <c r="D2215" s="45" t="s">
        <v>6767</v>
      </c>
      <c r="E2215" s="44" t="s">
        <v>956</v>
      </c>
      <c r="F2215" s="37">
        <v>1</v>
      </c>
      <c r="G2215" s="37" t="s">
        <v>6864</v>
      </c>
      <c r="H2215" s="63">
        <v>7192.9</v>
      </c>
    </row>
    <row r="2216" spans="1:8" ht="24.75" customHeight="1">
      <c r="A2216" s="44" t="s">
        <v>1258</v>
      </c>
      <c r="B2216" s="45" t="s">
        <v>4924</v>
      </c>
      <c r="C2216" s="45" t="s">
        <v>6748</v>
      </c>
      <c r="D2216" s="45" t="s">
        <v>6767</v>
      </c>
      <c r="E2216" s="44" t="s">
        <v>956</v>
      </c>
      <c r="F2216" s="37">
        <v>1</v>
      </c>
      <c r="G2216" s="37" t="s">
        <v>6864</v>
      </c>
      <c r="H2216" s="63">
        <v>7478.9</v>
      </c>
    </row>
    <row r="2217" spans="1:8" ht="24.75" customHeight="1">
      <c r="A2217" s="44" t="s">
        <v>1259</v>
      </c>
      <c r="B2217" s="45" t="s">
        <v>4925</v>
      </c>
      <c r="C2217" s="45" t="s">
        <v>6748</v>
      </c>
      <c r="D2217" s="45" t="s">
        <v>6767</v>
      </c>
      <c r="E2217" s="44" t="s">
        <v>956</v>
      </c>
      <c r="F2217" s="37">
        <v>1</v>
      </c>
      <c r="G2217" s="37" t="s">
        <v>6864</v>
      </c>
      <c r="H2217" s="63">
        <v>12183.6</v>
      </c>
    </row>
    <row r="2218" spans="1:8" ht="24.75" customHeight="1">
      <c r="A2218" s="44" t="s">
        <v>2231</v>
      </c>
      <c r="B2218" s="45" t="s">
        <v>5925</v>
      </c>
      <c r="C2218" s="45" t="s">
        <v>6748</v>
      </c>
      <c r="D2218" s="45" t="s">
        <v>6767</v>
      </c>
      <c r="E2218" s="44" t="s">
        <v>956</v>
      </c>
      <c r="F2218" s="37">
        <v>1</v>
      </c>
      <c r="G2218" s="37" t="s">
        <v>6864</v>
      </c>
      <c r="H2218" s="63">
        <v>12183.6</v>
      </c>
    </row>
    <row r="2219" spans="1:8" ht="24.75" customHeight="1">
      <c r="A2219" s="44" t="s">
        <v>1253</v>
      </c>
      <c r="B2219" s="45" t="s">
        <v>4919</v>
      </c>
      <c r="C2219" s="45" t="s">
        <v>6748</v>
      </c>
      <c r="D2219" s="45" t="s">
        <v>6767</v>
      </c>
      <c r="E2219" s="44" t="s">
        <v>956</v>
      </c>
      <c r="F2219" s="37">
        <v>1</v>
      </c>
      <c r="G2219" s="37" t="s">
        <v>6864</v>
      </c>
      <c r="H2219" s="63">
        <v>8079.5</v>
      </c>
    </row>
    <row r="2220" spans="1:8" ht="24.75" customHeight="1">
      <c r="A2220" s="44" t="s">
        <v>1261</v>
      </c>
      <c r="B2220" s="45" t="s">
        <v>4927</v>
      </c>
      <c r="C2220" s="45" t="s">
        <v>6748</v>
      </c>
      <c r="D2220" s="45" t="s">
        <v>6767</v>
      </c>
      <c r="E2220" s="44" t="s">
        <v>956</v>
      </c>
      <c r="F2220" s="37">
        <v>1</v>
      </c>
      <c r="G2220" s="37" t="s">
        <v>6864</v>
      </c>
      <c r="H2220" s="63">
        <v>7636.2</v>
      </c>
    </row>
    <row r="2221" spans="1:8" ht="24.75" customHeight="1">
      <c r="A2221" s="44" t="s">
        <v>2345</v>
      </c>
      <c r="B2221" s="45" t="s">
        <v>5311</v>
      </c>
      <c r="C2221" s="45" t="s">
        <v>6748</v>
      </c>
      <c r="D2221" s="45" t="s">
        <v>6767</v>
      </c>
      <c r="E2221" s="44" t="s">
        <v>956</v>
      </c>
      <c r="F2221" s="37">
        <v>1</v>
      </c>
      <c r="G2221" s="37" t="s">
        <v>6864</v>
      </c>
      <c r="H2221" s="63">
        <v>10381.799999999999</v>
      </c>
    </row>
    <row r="2222" spans="1:8" ht="24.75" customHeight="1">
      <c r="A2222" s="44" t="s">
        <v>620</v>
      </c>
      <c r="B2222" s="45" t="s">
        <v>5666</v>
      </c>
      <c r="C2222" s="45" t="s">
        <v>6748</v>
      </c>
      <c r="D2222" s="45" t="s">
        <v>6767</v>
      </c>
      <c r="E2222" s="44" t="s">
        <v>6839</v>
      </c>
      <c r="F2222" s="37">
        <v>1</v>
      </c>
      <c r="G2222" s="37" t="s">
        <v>6864</v>
      </c>
      <c r="H2222" s="63">
        <v>8866</v>
      </c>
    </row>
    <row r="2223" spans="1:8" ht="24.75" customHeight="1">
      <c r="A2223" s="44" t="s">
        <v>2816</v>
      </c>
      <c r="B2223" s="45" t="s">
        <v>5815</v>
      </c>
      <c r="C2223" s="45" t="s">
        <v>6748</v>
      </c>
      <c r="D2223" s="45" t="s">
        <v>6767</v>
      </c>
      <c r="E2223" s="44" t="s">
        <v>6839</v>
      </c>
      <c r="F2223" s="37">
        <v>1</v>
      </c>
      <c r="G2223" s="37" t="s">
        <v>6864</v>
      </c>
      <c r="H2223" s="63">
        <v>8222.5</v>
      </c>
    </row>
    <row r="2224" spans="1:8" ht="24.75" customHeight="1">
      <c r="A2224" s="44" t="s">
        <v>2359</v>
      </c>
      <c r="B2224" s="45" t="s">
        <v>4261</v>
      </c>
      <c r="C2224" s="45" t="s">
        <v>6748</v>
      </c>
      <c r="D2224" s="45" t="s">
        <v>6767</v>
      </c>
      <c r="E2224" s="44" t="s">
        <v>956</v>
      </c>
      <c r="F2224" s="37">
        <v>1</v>
      </c>
      <c r="G2224" s="37" t="s">
        <v>6864</v>
      </c>
      <c r="H2224" s="63">
        <v>11354.2</v>
      </c>
    </row>
    <row r="2225" spans="1:8" ht="24.75" customHeight="1">
      <c r="A2225" s="44" t="s">
        <v>1262</v>
      </c>
      <c r="B2225" s="45" t="s">
        <v>4928</v>
      </c>
      <c r="C2225" s="45" t="s">
        <v>6748</v>
      </c>
      <c r="D2225" s="45" t="s">
        <v>6767</v>
      </c>
      <c r="E2225" s="44" t="s">
        <v>956</v>
      </c>
      <c r="F2225" s="37">
        <v>1</v>
      </c>
      <c r="G2225" s="37" t="s">
        <v>6864</v>
      </c>
      <c r="H2225" s="63">
        <v>7478.9</v>
      </c>
    </row>
    <row r="2226" spans="1:8" ht="24.75" customHeight="1">
      <c r="A2226" s="44" t="s">
        <v>70</v>
      </c>
      <c r="B2226" s="45" t="s">
        <v>4929</v>
      </c>
      <c r="C2226" s="45" t="s">
        <v>6748</v>
      </c>
      <c r="D2226" s="45" t="s">
        <v>6767</v>
      </c>
      <c r="E2226" s="44" t="s">
        <v>956</v>
      </c>
      <c r="F2226" s="37">
        <v>1</v>
      </c>
      <c r="G2226" s="37" t="s">
        <v>6864</v>
      </c>
      <c r="H2226" s="63">
        <v>10296</v>
      </c>
    </row>
    <row r="2227" spans="1:8" ht="24.75" customHeight="1">
      <c r="A2227" s="44" t="s">
        <v>1260</v>
      </c>
      <c r="B2227" s="45" t="s">
        <v>4926</v>
      </c>
      <c r="C2227" s="45" t="s">
        <v>6748</v>
      </c>
      <c r="D2227" s="45" t="s">
        <v>6767</v>
      </c>
      <c r="E2227" s="44" t="s">
        <v>956</v>
      </c>
      <c r="F2227" s="37">
        <v>1</v>
      </c>
      <c r="G2227" s="37" t="s">
        <v>6864</v>
      </c>
      <c r="H2227" s="63">
        <v>6864</v>
      </c>
    </row>
    <row r="2228" spans="1:8" ht="24.75" customHeight="1">
      <c r="A2228" s="44" t="s">
        <v>71</v>
      </c>
      <c r="B2228" s="45" t="s">
        <v>4930</v>
      </c>
      <c r="C2228" s="45" t="s">
        <v>6748</v>
      </c>
      <c r="D2228" s="45" t="s">
        <v>6767</v>
      </c>
      <c r="E2228" s="44" t="s">
        <v>956</v>
      </c>
      <c r="F2228" s="37">
        <v>1</v>
      </c>
      <c r="G2228" s="37" t="s">
        <v>6864</v>
      </c>
      <c r="H2228" s="63">
        <v>8966.1</v>
      </c>
    </row>
    <row r="2229" spans="1:8" ht="24.75" customHeight="1">
      <c r="A2229" s="44" t="s">
        <v>175</v>
      </c>
      <c r="B2229" s="45" t="s">
        <v>6000</v>
      </c>
      <c r="C2229" s="45" t="s">
        <v>6748</v>
      </c>
      <c r="D2229" s="45" t="s">
        <v>6767</v>
      </c>
      <c r="E2229" s="44" t="s">
        <v>6839</v>
      </c>
      <c r="F2229" s="37">
        <v>1</v>
      </c>
      <c r="G2229" s="37" t="s">
        <v>6864</v>
      </c>
      <c r="H2229" s="63">
        <v>7879.3</v>
      </c>
    </row>
    <row r="2230" spans="1:8" ht="24.75" customHeight="1">
      <c r="A2230" s="44" t="s">
        <v>1164</v>
      </c>
      <c r="B2230" s="45" t="s">
        <v>5140</v>
      </c>
      <c r="C2230" s="45" t="s">
        <v>6748</v>
      </c>
      <c r="D2230" s="45" t="s">
        <v>6768</v>
      </c>
      <c r="E2230" s="44"/>
      <c r="F2230" s="37">
        <v>10</v>
      </c>
      <c r="G2230" s="37" t="s">
        <v>6864</v>
      </c>
      <c r="H2230" s="63">
        <v>858</v>
      </c>
    </row>
    <row r="2231" spans="1:8" ht="24.75" customHeight="1">
      <c r="A2231" s="44" t="s">
        <v>1140</v>
      </c>
      <c r="B2231" s="45" t="s">
        <v>3880</v>
      </c>
      <c r="C2231" s="45" t="s">
        <v>6748</v>
      </c>
      <c r="D2231" s="45" t="s">
        <v>6768</v>
      </c>
      <c r="E2231" s="44"/>
      <c r="F2231" s="37">
        <v>2</v>
      </c>
      <c r="G2231" s="37" t="s">
        <v>6864</v>
      </c>
      <c r="H2231" s="63">
        <v>958.1</v>
      </c>
    </row>
    <row r="2232" spans="1:8" ht="24.75" customHeight="1">
      <c r="A2232" s="44" t="s">
        <v>1143</v>
      </c>
      <c r="B2232" s="45" t="s">
        <v>3883</v>
      </c>
      <c r="C2232" s="45" t="s">
        <v>6748</v>
      </c>
      <c r="D2232" s="45" t="s">
        <v>6768</v>
      </c>
      <c r="E2232" s="44"/>
      <c r="F2232" s="37">
        <v>2</v>
      </c>
      <c r="G2232" s="37" t="s">
        <v>6864</v>
      </c>
      <c r="H2232" s="63">
        <v>1058.2</v>
      </c>
    </row>
    <row r="2233" spans="1:8" ht="24.75" customHeight="1">
      <c r="A2233" s="44" t="s">
        <v>622</v>
      </c>
      <c r="B2233" s="45" t="s">
        <v>5668</v>
      </c>
      <c r="C2233" s="45" t="s">
        <v>6748</v>
      </c>
      <c r="D2233" s="45" t="s">
        <v>6768</v>
      </c>
      <c r="E2233" s="44"/>
      <c r="F2233" s="37">
        <v>2</v>
      </c>
      <c r="G2233" s="37" t="s">
        <v>6864</v>
      </c>
      <c r="H2233" s="63">
        <v>915.2</v>
      </c>
    </row>
    <row r="2234" spans="1:8" ht="24.75" customHeight="1">
      <c r="A2234" s="44" t="s">
        <v>2798</v>
      </c>
      <c r="B2234" s="45" t="s">
        <v>5797</v>
      </c>
      <c r="C2234" s="45" t="s">
        <v>6748</v>
      </c>
      <c r="D2234" s="45" t="s">
        <v>6768</v>
      </c>
      <c r="E2234" s="44"/>
      <c r="F2234" s="37">
        <v>1</v>
      </c>
      <c r="G2234" s="37" t="s">
        <v>6865</v>
      </c>
      <c r="H2234" s="63">
        <v>2574</v>
      </c>
    </row>
    <row r="2235" spans="1:8" ht="24.75" customHeight="1">
      <c r="A2235" s="44" t="s">
        <v>1142</v>
      </c>
      <c r="B2235" s="45" t="s">
        <v>3882</v>
      </c>
      <c r="C2235" s="45" t="s">
        <v>6748</v>
      </c>
      <c r="D2235" s="45" t="s">
        <v>6768</v>
      </c>
      <c r="E2235" s="44"/>
      <c r="F2235" s="37">
        <v>2</v>
      </c>
      <c r="G2235" s="37" t="s">
        <v>6864</v>
      </c>
      <c r="H2235" s="63">
        <v>1644.5</v>
      </c>
    </row>
    <row r="2236" spans="1:8" ht="24.75" customHeight="1">
      <c r="A2236" s="44" t="s">
        <v>144</v>
      </c>
      <c r="B2236" s="45" t="s">
        <v>6033</v>
      </c>
      <c r="C2236" s="45" t="s">
        <v>6748</v>
      </c>
      <c r="D2236" s="45" t="s">
        <v>6768</v>
      </c>
      <c r="E2236" s="44"/>
      <c r="F2236" s="37">
        <v>2</v>
      </c>
      <c r="G2236" s="37" t="s">
        <v>6864</v>
      </c>
      <c r="H2236" s="63">
        <v>815.1</v>
      </c>
    </row>
    <row r="2237" spans="1:8" ht="24.75" customHeight="1">
      <c r="A2237" s="44" t="s">
        <v>2629</v>
      </c>
      <c r="B2237" s="45" t="s">
        <v>3889</v>
      </c>
      <c r="C2237" s="45" t="s">
        <v>6748</v>
      </c>
      <c r="D2237" s="45" t="s">
        <v>6768</v>
      </c>
      <c r="E2237" s="44"/>
      <c r="F2237" s="37">
        <v>1</v>
      </c>
      <c r="G2237" s="37" t="s">
        <v>6865</v>
      </c>
      <c r="H2237" s="63">
        <v>1730.3</v>
      </c>
    </row>
    <row r="2238" spans="1:8" ht="24.75" customHeight="1">
      <c r="A2238" s="44" t="s">
        <v>56</v>
      </c>
      <c r="B2238" s="45" t="s">
        <v>3884</v>
      </c>
      <c r="C2238" s="45" t="s">
        <v>6748</v>
      </c>
      <c r="D2238" s="45" t="s">
        <v>6768</v>
      </c>
      <c r="E2238" s="44" t="s">
        <v>956</v>
      </c>
      <c r="F2238" s="37">
        <v>1</v>
      </c>
      <c r="G2238" s="37" t="s">
        <v>6865</v>
      </c>
      <c r="H2238" s="63">
        <v>2759.9</v>
      </c>
    </row>
    <row r="2239" spans="1:8" ht="24.75" customHeight="1">
      <c r="A2239" s="44" t="s">
        <v>57</v>
      </c>
      <c r="B2239" s="45" t="s">
        <v>3885</v>
      </c>
      <c r="C2239" s="45" t="s">
        <v>6748</v>
      </c>
      <c r="D2239" s="45" t="s">
        <v>6768</v>
      </c>
      <c r="E2239" s="44" t="s">
        <v>956</v>
      </c>
      <c r="F2239" s="37">
        <v>1</v>
      </c>
      <c r="G2239" s="37" t="s">
        <v>6865</v>
      </c>
      <c r="H2239" s="63">
        <v>2574</v>
      </c>
    </row>
    <row r="2240" spans="1:8" ht="24.75" customHeight="1">
      <c r="A2240" s="44" t="s">
        <v>59</v>
      </c>
      <c r="B2240" s="45" t="s">
        <v>3887</v>
      </c>
      <c r="C2240" s="45" t="s">
        <v>6748</v>
      </c>
      <c r="D2240" s="45" t="s">
        <v>6768</v>
      </c>
      <c r="E2240" s="44" t="s">
        <v>956</v>
      </c>
      <c r="F2240" s="37">
        <v>1</v>
      </c>
      <c r="G2240" s="37" t="s">
        <v>6865</v>
      </c>
      <c r="H2240" s="63">
        <v>2273.6999999999998</v>
      </c>
    </row>
    <row r="2241" spans="1:8" ht="24.75" customHeight="1">
      <c r="A2241" s="44" t="s">
        <v>1413</v>
      </c>
      <c r="B2241" s="45" t="s">
        <v>4962</v>
      </c>
      <c r="C2241" s="45" t="s">
        <v>6748</v>
      </c>
      <c r="D2241" s="45" t="s">
        <v>6768</v>
      </c>
      <c r="E2241" s="44" t="s">
        <v>956</v>
      </c>
      <c r="F2241" s="37">
        <v>1</v>
      </c>
      <c r="G2241" s="37" t="s">
        <v>6865</v>
      </c>
      <c r="H2241" s="63">
        <v>3131.7</v>
      </c>
    </row>
    <row r="2242" spans="1:8" ht="24.75" customHeight="1">
      <c r="A2242" s="44" t="s">
        <v>1141</v>
      </c>
      <c r="B2242" s="45" t="s">
        <v>3881</v>
      </c>
      <c r="C2242" s="45" t="s">
        <v>6748</v>
      </c>
      <c r="D2242" s="45" t="s">
        <v>6768</v>
      </c>
      <c r="E2242" s="44"/>
      <c r="F2242" s="37">
        <v>2</v>
      </c>
      <c r="G2242" s="37" t="s">
        <v>6864</v>
      </c>
      <c r="H2242" s="63">
        <v>1029.5999999999999</v>
      </c>
    </row>
    <row r="2243" spans="1:8" ht="24.75" customHeight="1">
      <c r="A2243" s="44" t="s">
        <v>1097</v>
      </c>
      <c r="B2243" s="45" t="s">
        <v>5080</v>
      </c>
      <c r="C2243" s="45" t="s">
        <v>6748</v>
      </c>
      <c r="D2243" s="45" t="s">
        <v>6768</v>
      </c>
      <c r="E2243" s="44"/>
      <c r="F2243" s="37">
        <v>12</v>
      </c>
      <c r="G2243" s="37" t="s">
        <v>6864</v>
      </c>
      <c r="H2243" s="63">
        <v>1387.1</v>
      </c>
    </row>
    <row r="2244" spans="1:8" ht="24.75" customHeight="1">
      <c r="A2244" s="44" t="s">
        <v>893</v>
      </c>
      <c r="B2244" s="45" t="s">
        <v>5132</v>
      </c>
      <c r="C2244" s="45" t="s">
        <v>6748</v>
      </c>
      <c r="D2244" s="45" t="s">
        <v>6768</v>
      </c>
      <c r="E2244" s="44"/>
      <c r="F2244" s="37">
        <v>10</v>
      </c>
      <c r="G2244" s="37" t="s">
        <v>6864</v>
      </c>
      <c r="H2244" s="63">
        <v>1015.3</v>
      </c>
    </row>
    <row r="2245" spans="1:8" ht="24.75" customHeight="1">
      <c r="A2245" s="44" t="s">
        <v>2232</v>
      </c>
      <c r="B2245" s="45" t="s">
        <v>5571</v>
      </c>
      <c r="C2245" s="45" t="s">
        <v>6748</v>
      </c>
      <c r="D2245" s="45" t="s">
        <v>6768</v>
      </c>
      <c r="E2245" s="44"/>
      <c r="F2245" s="37">
        <v>2</v>
      </c>
      <c r="G2245" s="37" t="s">
        <v>6864</v>
      </c>
      <c r="H2245" s="63">
        <v>2488.1999999999998</v>
      </c>
    </row>
    <row r="2246" spans="1:8" ht="24.75" customHeight="1">
      <c r="A2246" s="44" t="s">
        <v>2233</v>
      </c>
      <c r="B2246" s="45" t="s">
        <v>5570</v>
      </c>
      <c r="C2246" s="45" t="s">
        <v>6748</v>
      </c>
      <c r="D2246" s="45" t="s">
        <v>6768</v>
      </c>
      <c r="E2246" s="44"/>
      <c r="F2246" s="37">
        <v>2</v>
      </c>
      <c r="G2246" s="37" t="s">
        <v>6864</v>
      </c>
      <c r="H2246" s="63">
        <v>2488.1999999999998</v>
      </c>
    </row>
    <row r="2247" spans="1:8" ht="24.75" customHeight="1">
      <c r="A2247" s="44" t="s">
        <v>433</v>
      </c>
      <c r="B2247" s="45" t="s">
        <v>5182</v>
      </c>
      <c r="C2247" s="45" t="s">
        <v>6748</v>
      </c>
      <c r="D2247" s="45" t="s">
        <v>6768</v>
      </c>
      <c r="E2247" s="44" t="s">
        <v>6839</v>
      </c>
      <c r="F2247" s="37">
        <v>1</v>
      </c>
      <c r="G2247" s="37" t="s">
        <v>6864</v>
      </c>
      <c r="H2247" s="63">
        <v>2917.2</v>
      </c>
    </row>
    <row r="2248" spans="1:8" ht="24.75" customHeight="1">
      <c r="A2248" s="44" t="s">
        <v>60</v>
      </c>
      <c r="B2248" s="45" t="s">
        <v>3888</v>
      </c>
      <c r="C2248" s="45" t="s">
        <v>6748</v>
      </c>
      <c r="D2248" s="45" t="s">
        <v>6768</v>
      </c>
      <c r="E2248" s="44" t="s">
        <v>956</v>
      </c>
      <c r="F2248" s="37">
        <v>1</v>
      </c>
      <c r="G2248" s="37" t="s">
        <v>6865</v>
      </c>
      <c r="H2248" s="63">
        <v>11768.9</v>
      </c>
    </row>
    <row r="2249" spans="1:8" ht="24.75" customHeight="1">
      <c r="A2249" s="44" t="s">
        <v>58</v>
      </c>
      <c r="B2249" s="45" t="s">
        <v>3886</v>
      </c>
      <c r="C2249" s="45" t="s">
        <v>6748</v>
      </c>
      <c r="D2249" s="45" t="s">
        <v>6768</v>
      </c>
      <c r="E2249" s="44" t="s">
        <v>956</v>
      </c>
      <c r="F2249" s="37">
        <v>1</v>
      </c>
      <c r="G2249" s="37" t="s">
        <v>6865</v>
      </c>
      <c r="H2249" s="63">
        <v>12298</v>
      </c>
    </row>
    <row r="2250" spans="1:8" ht="24.75" customHeight="1">
      <c r="A2250" s="44" t="s">
        <v>1660</v>
      </c>
      <c r="B2250" s="45" t="s">
        <v>5479</v>
      </c>
      <c r="C2250" s="45" t="s">
        <v>6748</v>
      </c>
      <c r="D2250" s="45" t="s">
        <v>6768</v>
      </c>
      <c r="E2250" s="44"/>
      <c r="F2250" s="37">
        <v>1</v>
      </c>
      <c r="G2250" s="37" t="s">
        <v>6865</v>
      </c>
      <c r="H2250" s="63">
        <v>2931.5</v>
      </c>
    </row>
    <row r="2251" spans="1:8" ht="24.75" customHeight="1">
      <c r="A2251" s="44" t="s">
        <v>2217</v>
      </c>
      <c r="B2251" s="45" t="s">
        <v>5926</v>
      </c>
      <c r="C2251" s="45" t="s">
        <v>6748</v>
      </c>
      <c r="D2251" s="45" t="s">
        <v>6768</v>
      </c>
      <c r="E2251" s="44"/>
      <c r="F2251" s="37">
        <v>1</v>
      </c>
      <c r="G2251" s="37" t="s">
        <v>6865</v>
      </c>
      <c r="H2251" s="63">
        <v>8637.2000000000007</v>
      </c>
    </row>
    <row r="2252" spans="1:8" ht="24.75" customHeight="1">
      <c r="A2252" s="44" t="s">
        <v>85</v>
      </c>
      <c r="B2252" s="45" t="s">
        <v>5199</v>
      </c>
      <c r="C2252" s="45" t="s">
        <v>6748</v>
      </c>
      <c r="D2252" s="45" t="s">
        <v>6768</v>
      </c>
      <c r="E2252" s="44" t="s">
        <v>6839</v>
      </c>
      <c r="F2252" s="37">
        <v>6</v>
      </c>
      <c r="G2252" s="37" t="s">
        <v>6865</v>
      </c>
      <c r="H2252" s="63">
        <v>21879</v>
      </c>
    </row>
    <row r="2253" spans="1:8" ht="24.75" customHeight="1">
      <c r="A2253" s="44" t="s">
        <v>82</v>
      </c>
      <c r="B2253" s="45" t="s">
        <v>5196</v>
      </c>
      <c r="C2253" s="45" t="s">
        <v>6748</v>
      </c>
      <c r="D2253" s="45" t="s">
        <v>6768</v>
      </c>
      <c r="E2253" s="44"/>
      <c r="F2253" s="37">
        <v>1</v>
      </c>
      <c r="G2253" s="37" t="s">
        <v>6865</v>
      </c>
      <c r="H2253" s="63">
        <v>15444</v>
      </c>
    </row>
    <row r="2254" spans="1:8" ht="24.75" customHeight="1">
      <c r="A2254" s="44" t="s">
        <v>83</v>
      </c>
      <c r="B2254" s="45" t="s">
        <v>5197</v>
      </c>
      <c r="C2254" s="45" t="s">
        <v>6748</v>
      </c>
      <c r="D2254" s="45" t="s">
        <v>6768</v>
      </c>
      <c r="E2254" s="44"/>
      <c r="F2254" s="37">
        <v>1</v>
      </c>
      <c r="G2254" s="37" t="s">
        <v>6865</v>
      </c>
      <c r="H2254" s="63">
        <v>15444</v>
      </c>
    </row>
    <row r="2255" spans="1:8" ht="24.75" customHeight="1">
      <c r="A2255" s="44" t="s">
        <v>81</v>
      </c>
      <c r="B2255" s="45" t="s">
        <v>5195</v>
      </c>
      <c r="C2255" s="45" t="s">
        <v>6748</v>
      </c>
      <c r="D2255" s="45" t="s">
        <v>6768</v>
      </c>
      <c r="E2255" s="44"/>
      <c r="F2255" s="37">
        <v>1</v>
      </c>
      <c r="G2255" s="37" t="s">
        <v>6865</v>
      </c>
      <c r="H2255" s="63">
        <v>15444</v>
      </c>
    </row>
    <row r="2256" spans="1:8" ht="24.75" customHeight="1">
      <c r="A2256" s="44" t="s">
        <v>1595</v>
      </c>
      <c r="B2256" s="45" t="s">
        <v>5481</v>
      </c>
      <c r="C2256" s="45" t="s">
        <v>6748</v>
      </c>
      <c r="D2256" s="45" t="s">
        <v>6768</v>
      </c>
      <c r="E2256" s="44" t="s">
        <v>6839</v>
      </c>
      <c r="F2256" s="37">
        <v>1</v>
      </c>
      <c r="G2256" s="37" t="s">
        <v>6865</v>
      </c>
      <c r="H2256" s="63">
        <v>7536.1</v>
      </c>
    </row>
    <row r="2257" spans="1:8" ht="24.75" customHeight="1">
      <c r="A2257" s="44" t="s">
        <v>693</v>
      </c>
      <c r="B2257" s="45" t="s">
        <v>5102</v>
      </c>
      <c r="C2257" s="45" t="s">
        <v>6748</v>
      </c>
      <c r="D2257" s="45" t="s">
        <v>6768</v>
      </c>
      <c r="E2257" s="44"/>
      <c r="F2257" s="37">
        <v>6</v>
      </c>
      <c r="G2257" s="37" t="s">
        <v>6864</v>
      </c>
      <c r="H2257" s="63">
        <v>3417.7</v>
      </c>
    </row>
    <row r="2258" spans="1:8" ht="24.75" customHeight="1">
      <c r="A2258" s="44" t="s">
        <v>2818</v>
      </c>
      <c r="B2258" s="45" t="s">
        <v>5817</v>
      </c>
      <c r="C2258" s="45" t="s">
        <v>6748</v>
      </c>
      <c r="D2258" s="45" t="s">
        <v>6768</v>
      </c>
      <c r="E2258" s="44"/>
      <c r="F2258" s="37">
        <v>2</v>
      </c>
      <c r="G2258" s="37" t="s">
        <v>6864</v>
      </c>
      <c r="H2258" s="63">
        <v>3503.5</v>
      </c>
    </row>
    <row r="2259" spans="1:8" ht="24.75" customHeight="1">
      <c r="A2259" s="44" t="s">
        <v>1411</v>
      </c>
      <c r="B2259" s="45" t="s">
        <v>4960</v>
      </c>
      <c r="C2259" s="45" t="s">
        <v>6748</v>
      </c>
      <c r="D2259" s="45" t="s">
        <v>6768</v>
      </c>
      <c r="E2259" s="44"/>
      <c r="F2259" s="37">
        <v>5</v>
      </c>
      <c r="G2259" s="37" t="s">
        <v>6864</v>
      </c>
      <c r="H2259" s="63">
        <v>3360.5</v>
      </c>
    </row>
    <row r="2260" spans="1:8" ht="24.75" customHeight="1">
      <c r="A2260" s="44" t="s">
        <v>793</v>
      </c>
      <c r="B2260" s="45" t="s">
        <v>6036</v>
      </c>
      <c r="C2260" s="45" t="s">
        <v>6748</v>
      </c>
      <c r="D2260" s="45" t="s">
        <v>6768</v>
      </c>
      <c r="E2260" s="44" t="s">
        <v>6839</v>
      </c>
      <c r="F2260" s="37">
        <v>1</v>
      </c>
      <c r="G2260" s="37" t="s">
        <v>2568</v>
      </c>
      <c r="H2260" s="63">
        <v>6592.3</v>
      </c>
    </row>
    <row r="2261" spans="1:8" ht="24.75" customHeight="1">
      <c r="A2261" s="44" t="s">
        <v>692</v>
      </c>
      <c r="B2261" s="45" t="s">
        <v>5101</v>
      </c>
      <c r="C2261" s="45" t="s">
        <v>6748</v>
      </c>
      <c r="D2261" s="45" t="s">
        <v>6768</v>
      </c>
      <c r="E2261" s="44"/>
      <c r="F2261" s="37">
        <v>6</v>
      </c>
      <c r="G2261" s="37" t="s">
        <v>6864</v>
      </c>
      <c r="H2261" s="63">
        <v>3417.7</v>
      </c>
    </row>
    <row r="2262" spans="1:8" ht="24.75" customHeight="1">
      <c r="A2262" s="44" t="s">
        <v>2817</v>
      </c>
      <c r="B2262" s="45" t="s">
        <v>5816</v>
      </c>
      <c r="C2262" s="45" t="s">
        <v>6748</v>
      </c>
      <c r="D2262" s="45" t="s">
        <v>6768</v>
      </c>
      <c r="E2262" s="44"/>
      <c r="F2262" s="37">
        <v>2</v>
      </c>
      <c r="G2262" s="37" t="s">
        <v>6864</v>
      </c>
      <c r="H2262" s="63">
        <v>3503.5</v>
      </c>
    </row>
    <row r="2263" spans="1:8" ht="24.75" customHeight="1">
      <c r="A2263" s="44" t="s">
        <v>1410</v>
      </c>
      <c r="B2263" s="45" t="s">
        <v>4959</v>
      </c>
      <c r="C2263" s="45" t="s">
        <v>6748</v>
      </c>
      <c r="D2263" s="45" t="s">
        <v>6768</v>
      </c>
      <c r="E2263" s="44"/>
      <c r="F2263" s="37">
        <v>5</v>
      </c>
      <c r="G2263" s="37" t="s">
        <v>6864</v>
      </c>
      <c r="H2263" s="63">
        <v>3360.5</v>
      </c>
    </row>
    <row r="2264" spans="1:8" ht="24.75" customHeight="1">
      <c r="A2264" s="44" t="s">
        <v>794</v>
      </c>
      <c r="B2264" s="45" t="s">
        <v>6037</v>
      </c>
      <c r="C2264" s="45" t="s">
        <v>6748</v>
      </c>
      <c r="D2264" s="45" t="s">
        <v>6768</v>
      </c>
      <c r="E2264" s="44" t="s">
        <v>6839</v>
      </c>
      <c r="F2264" s="37">
        <v>1</v>
      </c>
      <c r="G2264" s="37" t="s">
        <v>2568</v>
      </c>
      <c r="H2264" s="63">
        <v>6592.3</v>
      </c>
    </row>
    <row r="2265" spans="1:8" ht="24.75" customHeight="1">
      <c r="A2265" s="44" t="s">
        <v>3098</v>
      </c>
      <c r="B2265" s="45" t="s">
        <v>5390</v>
      </c>
      <c r="C2265" s="45" t="s">
        <v>6748</v>
      </c>
      <c r="D2265" s="45" t="s">
        <v>6768</v>
      </c>
      <c r="E2265" s="44" t="s">
        <v>956</v>
      </c>
      <c r="F2265" s="37">
        <v>1</v>
      </c>
      <c r="G2265" s="37" t="s">
        <v>6865</v>
      </c>
      <c r="H2265" s="63">
        <v>4990.7</v>
      </c>
    </row>
    <row r="2266" spans="1:8" ht="24.75" customHeight="1">
      <c r="A2266" s="44" t="s">
        <v>3099</v>
      </c>
      <c r="B2266" s="45" t="s">
        <v>5391</v>
      </c>
      <c r="C2266" s="45" t="s">
        <v>6748</v>
      </c>
      <c r="D2266" s="45" t="s">
        <v>6768</v>
      </c>
      <c r="E2266" s="44" t="s">
        <v>956</v>
      </c>
      <c r="F2266" s="37">
        <v>1</v>
      </c>
      <c r="G2266" s="37" t="s">
        <v>6865</v>
      </c>
      <c r="H2266" s="63">
        <v>6635.2</v>
      </c>
    </row>
    <row r="2267" spans="1:8" ht="24.75" customHeight="1">
      <c r="A2267" s="44" t="s">
        <v>2237</v>
      </c>
      <c r="B2267" s="45" t="s">
        <v>5871</v>
      </c>
      <c r="C2267" s="45" t="s">
        <v>6748</v>
      </c>
      <c r="D2267" s="45" t="s">
        <v>6769</v>
      </c>
      <c r="E2267" s="44"/>
      <c r="F2267" s="37">
        <v>1</v>
      </c>
      <c r="G2267" s="37" t="s">
        <v>6864</v>
      </c>
      <c r="H2267" s="63">
        <v>5262.4</v>
      </c>
    </row>
    <row r="2268" spans="1:8" ht="24.75" customHeight="1">
      <c r="A2268" s="44" t="s">
        <v>525</v>
      </c>
      <c r="B2268" s="45" t="s">
        <v>5732</v>
      </c>
      <c r="C2268" s="45" t="s">
        <v>6748</v>
      </c>
      <c r="D2268" s="45" t="s">
        <v>6770</v>
      </c>
      <c r="E2268" s="44" t="s">
        <v>956</v>
      </c>
      <c r="F2268" s="37">
        <v>1</v>
      </c>
      <c r="G2268" s="37" t="s">
        <v>6865</v>
      </c>
      <c r="H2268" s="63">
        <v>6978.4</v>
      </c>
    </row>
    <row r="2269" spans="1:8" ht="24.75" customHeight="1">
      <c r="A2269" s="44" t="s">
        <v>494</v>
      </c>
      <c r="B2269" s="45" t="s">
        <v>6040</v>
      </c>
      <c r="C2269" s="45" t="s">
        <v>6748</v>
      </c>
      <c r="D2269" s="45" t="s">
        <v>6770</v>
      </c>
      <c r="E2269" s="44" t="s">
        <v>956</v>
      </c>
      <c r="F2269" s="37">
        <v>1</v>
      </c>
      <c r="G2269" s="37" t="s">
        <v>6865</v>
      </c>
      <c r="H2269" s="63">
        <v>4604.6000000000004</v>
      </c>
    </row>
    <row r="2270" spans="1:8" ht="24.75" customHeight="1">
      <c r="A2270" s="44" t="s">
        <v>1088</v>
      </c>
      <c r="B2270" s="45" t="s">
        <v>4494</v>
      </c>
      <c r="C2270" s="45" t="s">
        <v>6748</v>
      </c>
      <c r="D2270" s="45" t="s">
        <v>6771</v>
      </c>
      <c r="E2270" s="44" t="s">
        <v>6839</v>
      </c>
      <c r="F2270" s="37">
        <v>1</v>
      </c>
      <c r="G2270" s="37" t="s">
        <v>6865</v>
      </c>
      <c r="H2270" s="63">
        <v>8122.4</v>
      </c>
    </row>
    <row r="2271" spans="1:8" ht="24.75" customHeight="1">
      <c r="A2271" s="44" t="s">
        <v>1087</v>
      </c>
      <c r="B2271" s="45" t="s">
        <v>4493</v>
      </c>
      <c r="C2271" s="45" t="s">
        <v>6748</v>
      </c>
      <c r="D2271" s="45" t="s">
        <v>6771</v>
      </c>
      <c r="E2271" s="44" t="s">
        <v>6839</v>
      </c>
      <c r="F2271" s="37">
        <v>1</v>
      </c>
      <c r="G2271" s="37" t="s">
        <v>6865</v>
      </c>
      <c r="H2271" s="63">
        <v>8122.4</v>
      </c>
    </row>
    <row r="2272" spans="1:8" ht="24.75" customHeight="1">
      <c r="A2272" s="44" t="s">
        <v>1086</v>
      </c>
      <c r="B2272" s="45" t="s">
        <v>4492</v>
      </c>
      <c r="C2272" s="45" t="s">
        <v>6748</v>
      </c>
      <c r="D2272" s="45" t="s">
        <v>6771</v>
      </c>
      <c r="E2272" s="44" t="s">
        <v>6839</v>
      </c>
      <c r="F2272" s="37">
        <v>1</v>
      </c>
      <c r="G2272" s="37" t="s">
        <v>6865</v>
      </c>
      <c r="H2272" s="63">
        <v>8122.4</v>
      </c>
    </row>
    <row r="2273" spans="1:8" ht="24.75" customHeight="1">
      <c r="A2273" s="44" t="s">
        <v>1089</v>
      </c>
      <c r="B2273" s="45" t="s">
        <v>4495</v>
      </c>
      <c r="C2273" s="45" t="s">
        <v>6748</v>
      </c>
      <c r="D2273" s="45" t="s">
        <v>6771</v>
      </c>
      <c r="E2273" s="44" t="s">
        <v>6839</v>
      </c>
      <c r="F2273" s="37">
        <v>1</v>
      </c>
      <c r="G2273" s="37" t="s">
        <v>6865</v>
      </c>
      <c r="H2273" s="63">
        <v>8122.4</v>
      </c>
    </row>
    <row r="2274" spans="1:8" ht="24.75" customHeight="1">
      <c r="A2274" s="44" t="s">
        <v>1084</v>
      </c>
      <c r="B2274" s="45" t="s">
        <v>4490</v>
      </c>
      <c r="C2274" s="45" t="s">
        <v>6748</v>
      </c>
      <c r="D2274" s="45" t="s">
        <v>6771</v>
      </c>
      <c r="E2274" s="44" t="s">
        <v>6839</v>
      </c>
      <c r="F2274" s="37">
        <v>1</v>
      </c>
      <c r="G2274" s="37" t="s">
        <v>6865</v>
      </c>
      <c r="H2274" s="63">
        <v>7722</v>
      </c>
    </row>
    <row r="2275" spans="1:8" ht="24.75" customHeight="1">
      <c r="A2275" s="44" t="s">
        <v>1083</v>
      </c>
      <c r="B2275" s="45" t="s">
        <v>4489</v>
      </c>
      <c r="C2275" s="45" t="s">
        <v>6748</v>
      </c>
      <c r="D2275" s="45" t="s">
        <v>6771</v>
      </c>
      <c r="E2275" s="44" t="s">
        <v>6839</v>
      </c>
      <c r="F2275" s="37">
        <v>1</v>
      </c>
      <c r="G2275" s="37" t="s">
        <v>6865</v>
      </c>
      <c r="H2275" s="63">
        <v>7722</v>
      </c>
    </row>
    <row r="2276" spans="1:8" ht="24.75" customHeight="1">
      <c r="A2276" s="44" t="s">
        <v>1085</v>
      </c>
      <c r="B2276" s="45" t="s">
        <v>4491</v>
      </c>
      <c r="C2276" s="45" t="s">
        <v>6748</v>
      </c>
      <c r="D2276" s="45" t="s">
        <v>6771</v>
      </c>
      <c r="E2276" s="44" t="s">
        <v>6839</v>
      </c>
      <c r="F2276" s="37">
        <v>1</v>
      </c>
      <c r="G2276" s="37" t="s">
        <v>6865</v>
      </c>
      <c r="H2276" s="63">
        <v>7722</v>
      </c>
    </row>
    <row r="2277" spans="1:8" ht="24.75" customHeight="1">
      <c r="A2277" s="44" t="s">
        <v>1082</v>
      </c>
      <c r="B2277" s="45" t="s">
        <v>4488</v>
      </c>
      <c r="C2277" s="45" t="s">
        <v>6748</v>
      </c>
      <c r="D2277" s="45" t="s">
        <v>6771</v>
      </c>
      <c r="E2277" s="44" t="s">
        <v>6839</v>
      </c>
      <c r="F2277" s="37">
        <v>1</v>
      </c>
      <c r="G2277" s="37" t="s">
        <v>6865</v>
      </c>
      <c r="H2277" s="63">
        <v>7722</v>
      </c>
    </row>
    <row r="2278" spans="1:8" ht="24.75" customHeight="1">
      <c r="A2278" s="44" t="s">
        <v>1081</v>
      </c>
      <c r="B2278" s="45" t="s">
        <v>4481</v>
      </c>
      <c r="C2278" s="45" t="s">
        <v>6748</v>
      </c>
      <c r="D2278" s="45" t="s">
        <v>6771</v>
      </c>
      <c r="E2278" s="44" t="s">
        <v>6839</v>
      </c>
      <c r="F2278" s="37">
        <v>1</v>
      </c>
      <c r="G2278" s="37" t="s">
        <v>2568</v>
      </c>
      <c r="H2278" s="63">
        <v>4847.7</v>
      </c>
    </row>
    <row r="2279" spans="1:8" ht="24.75" customHeight="1">
      <c r="A2279" s="44" t="s">
        <v>2117</v>
      </c>
      <c r="B2279" s="45" t="s">
        <v>4477</v>
      </c>
      <c r="C2279" s="45" t="s">
        <v>6748</v>
      </c>
      <c r="D2279" s="45" t="s">
        <v>6771</v>
      </c>
      <c r="E2279" s="44"/>
      <c r="F2279" s="37">
        <v>2</v>
      </c>
      <c r="G2279" s="37" t="s">
        <v>6864</v>
      </c>
      <c r="H2279" s="63">
        <v>1458.6</v>
      </c>
    </row>
    <row r="2280" spans="1:8" ht="24.75" customHeight="1">
      <c r="A2280" s="44" t="s">
        <v>1369</v>
      </c>
      <c r="B2280" s="45" t="s">
        <v>4487</v>
      </c>
      <c r="C2280" s="45" t="s">
        <v>6748</v>
      </c>
      <c r="D2280" s="45" t="s">
        <v>6771</v>
      </c>
      <c r="E2280" s="44" t="s">
        <v>6839</v>
      </c>
      <c r="F2280" s="37">
        <v>1</v>
      </c>
      <c r="G2280" s="37" t="s">
        <v>2568</v>
      </c>
      <c r="H2280" s="63">
        <v>10324.6</v>
      </c>
    </row>
    <row r="2281" spans="1:8" ht="24.75" customHeight="1">
      <c r="A2281" s="44" t="s">
        <v>1368</v>
      </c>
      <c r="B2281" s="45" t="s">
        <v>4484</v>
      </c>
      <c r="C2281" s="45" t="s">
        <v>6748</v>
      </c>
      <c r="D2281" s="45" t="s">
        <v>6771</v>
      </c>
      <c r="E2281" s="44" t="s">
        <v>6839</v>
      </c>
      <c r="F2281" s="37">
        <v>1</v>
      </c>
      <c r="G2281" s="37" t="s">
        <v>2568</v>
      </c>
      <c r="H2281" s="63">
        <v>10324.6</v>
      </c>
    </row>
    <row r="2282" spans="1:8" ht="24.75" customHeight="1">
      <c r="A2282" s="44" t="s">
        <v>1370</v>
      </c>
      <c r="B2282" s="45" t="s">
        <v>4485</v>
      </c>
      <c r="C2282" s="45" t="s">
        <v>6748</v>
      </c>
      <c r="D2282" s="45" t="s">
        <v>6771</v>
      </c>
      <c r="E2282" s="44" t="s">
        <v>6839</v>
      </c>
      <c r="F2282" s="37">
        <v>1</v>
      </c>
      <c r="G2282" s="37" t="s">
        <v>2568</v>
      </c>
      <c r="H2282" s="63">
        <v>10324.6</v>
      </c>
    </row>
    <row r="2283" spans="1:8" ht="24.75" customHeight="1">
      <c r="A2283" s="44" t="s">
        <v>1371</v>
      </c>
      <c r="B2283" s="45" t="s">
        <v>4482</v>
      </c>
      <c r="C2283" s="45" t="s">
        <v>6748</v>
      </c>
      <c r="D2283" s="45" t="s">
        <v>6771</v>
      </c>
      <c r="E2283" s="44" t="s">
        <v>6839</v>
      </c>
      <c r="F2283" s="37">
        <v>1</v>
      </c>
      <c r="G2283" s="37" t="s">
        <v>6865</v>
      </c>
      <c r="H2283" s="63">
        <v>10324.6</v>
      </c>
    </row>
    <row r="2284" spans="1:8" ht="24.75" customHeight="1">
      <c r="A2284" s="44" t="s">
        <v>1372</v>
      </c>
      <c r="B2284" s="45" t="s">
        <v>4486</v>
      </c>
      <c r="C2284" s="45" t="s">
        <v>6748</v>
      </c>
      <c r="D2284" s="45" t="s">
        <v>6771</v>
      </c>
      <c r="E2284" s="44" t="s">
        <v>6839</v>
      </c>
      <c r="F2284" s="37">
        <v>1</v>
      </c>
      <c r="G2284" s="37" t="s">
        <v>2568</v>
      </c>
      <c r="H2284" s="63">
        <v>10324.6</v>
      </c>
    </row>
    <row r="2285" spans="1:8" ht="24.75" customHeight="1">
      <c r="A2285" s="44" t="s">
        <v>1373</v>
      </c>
      <c r="B2285" s="45" t="s">
        <v>4483</v>
      </c>
      <c r="C2285" s="45" t="s">
        <v>6748</v>
      </c>
      <c r="D2285" s="45" t="s">
        <v>6771</v>
      </c>
      <c r="E2285" s="44" t="s">
        <v>6839</v>
      </c>
      <c r="F2285" s="37">
        <v>1</v>
      </c>
      <c r="G2285" s="37" t="s">
        <v>6865</v>
      </c>
      <c r="H2285" s="63">
        <v>10324.6</v>
      </c>
    </row>
    <row r="2286" spans="1:8" ht="24.75" customHeight="1">
      <c r="A2286" s="44" t="s">
        <v>2118</v>
      </c>
      <c r="B2286" s="45" t="s">
        <v>4478</v>
      </c>
      <c r="C2286" s="45" t="s">
        <v>6748</v>
      </c>
      <c r="D2286" s="45" t="s">
        <v>6771</v>
      </c>
      <c r="E2286" s="44" t="s">
        <v>6839</v>
      </c>
      <c r="F2286" s="37">
        <v>1</v>
      </c>
      <c r="G2286" s="37" t="s">
        <v>2568</v>
      </c>
      <c r="H2286" s="63">
        <v>4547.3999999999996</v>
      </c>
    </row>
    <row r="2287" spans="1:8" ht="24.75" customHeight="1">
      <c r="A2287" s="44" t="s">
        <v>1078</v>
      </c>
      <c r="B2287" s="45" t="s">
        <v>4476</v>
      </c>
      <c r="C2287" s="45" t="s">
        <v>6748</v>
      </c>
      <c r="D2287" s="45" t="s">
        <v>6771</v>
      </c>
      <c r="E2287" s="44" t="s">
        <v>6839</v>
      </c>
      <c r="F2287" s="37">
        <v>1</v>
      </c>
      <c r="G2287" s="37" t="s">
        <v>2568</v>
      </c>
      <c r="H2287" s="63">
        <v>2817.1</v>
      </c>
    </row>
    <row r="2288" spans="1:8" ht="24.75" customHeight="1">
      <c r="A2288" s="44" t="s">
        <v>1079</v>
      </c>
      <c r="B2288" s="45" t="s">
        <v>4479</v>
      </c>
      <c r="C2288" s="45" t="s">
        <v>6748</v>
      </c>
      <c r="D2288" s="45" t="s">
        <v>6771</v>
      </c>
      <c r="E2288" s="44" t="s">
        <v>6839</v>
      </c>
      <c r="F2288" s="37">
        <v>1</v>
      </c>
      <c r="G2288" s="37" t="s">
        <v>6865</v>
      </c>
      <c r="H2288" s="63">
        <v>5963.1</v>
      </c>
    </row>
    <row r="2289" spans="1:8" ht="24.75" customHeight="1">
      <c r="A2289" s="44" t="s">
        <v>1080</v>
      </c>
      <c r="B2289" s="45" t="s">
        <v>4480</v>
      </c>
      <c r="C2289" s="45" t="s">
        <v>6748</v>
      </c>
      <c r="D2289" s="45" t="s">
        <v>6771</v>
      </c>
      <c r="E2289" s="44" t="s">
        <v>6839</v>
      </c>
      <c r="F2289" s="37">
        <v>1</v>
      </c>
      <c r="G2289" s="37" t="s">
        <v>6865</v>
      </c>
      <c r="H2289" s="63">
        <v>3660.8</v>
      </c>
    </row>
    <row r="2290" spans="1:8" ht="24.75" customHeight="1">
      <c r="A2290" s="44" t="s">
        <v>1077</v>
      </c>
      <c r="B2290" s="45" t="s">
        <v>4475</v>
      </c>
      <c r="C2290" s="45" t="s">
        <v>6748</v>
      </c>
      <c r="D2290" s="45" t="s">
        <v>6771</v>
      </c>
      <c r="E2290" s="44" t="s">
        <v>6839</v>
      </c>
      <c r="F2290" s="37">
        <v>1</v>
      </c>
      <c r="G2290" s="37" t="s">
        <v>6865</v>
      </c>
      <c r="H2290" s="63">
        <v>2817.1</v>
      </c>
    </row>
    <row r="2291" spans="1:8" ht="24.75" customHeight="1">
      <c r="A2291" s="44" t="s">
        <v>2119</v>
      </c>
      <c r="B2291" s="45" t="s">
        <v>4496</v>
      </c>
      <c r="C2291" s="45" t="s">
        <v>6748</v>
      </c>
      <c r="D2291" s="45" t="s">
        <v>6771</v>
      </c>
      <c r="E2291" s="44" t="s">
        <v>6839</v>
      </c>
      <c r="F2291" s="37">
        <v>1</v>
      </c>
      <c r="G2291" s="37" t="s">
        <v>2568</v>
      </c>
      <c r="H2291" s="63">
        <v>4847.7</v>
      </c>
    </row>
    <row r="2292" spans="1:8" ht="24.75" customHeight="1">
      <c r="A2292" s="44" t="s">
        <v>1092</v>
      </c>
      <c r="B2292" s="45" t="s">
        <v>4499</v>
      </c>
      <c r="C2292" s="45" t="s">
        <v>6748</v>
      </c>
      <c r="D2292" s="45" t="s">
        <v>6771</v>
      </c>
      <c r="E2292" s="44" t="s">
        <v>6839</v>
      </c>
      <c r="F2292" s="37">
        <v>1</v>
      </c>
      <c r="G2292" s="37" t="s">
        <v>6865</v>
      </c>
      <c r="H2292" s="63">
        <v>4847.7</v>
      </c>
    </row>
    <row r="2293" spans="1:8" ht="24.75" customHeight="1">
      <c r="A2293" s="44" t="s">
        <v>1090</v>
      </c>
      <c r="B2293" s="45" t="s">
        <v>4497</v>
      </c>
      <c r="C2293" s="45" t="s">
        <v>6748</v>
      </c>
      <c r="D2293" s="45" t="s">
        <v>6771</v>
      </c>
      <c r="E2293" s="44" t="s">
        <v>6839</v>
      </c>
      <c r="F2293" s="37">
        <v>1</v>
      </c>
      <c r="G2293" s="37" t="s">
        <v>6865</v>
      </c>
      <c r="H2293" s="63">
        <v>4847.7</v>
      </c>
    </row>
    <row r="2294" spans="1:8" ht="24.75" customHeight="1">
      <c r="A2294" s="44" t="s">
        <v>1093</v>
      </c>
      <c r="B2294" s="45" t="s">
        <v>4500</v>
      </c>
      <c r="C2294" s="45" t="s">
        <v>6748</v>
      </c>
      <c r="D2294" s="45" t="s">
        <v>6771</v>
      </c>
      <c r="E2294" s="44" t="s">
        <v>6839</v>
      </c>
      <c r="F2294" s="37">
        <v>1</v>
      </c>
      <c r="G2294" s="37" t="s">
        <v>6865</v>
      </c>
      <c r="H2294" s="63">
        <v>4847.7</v>
      </c>
    </row>
    <row r="2295" spans="1:8" ht="24.75" customHeight="1">
      <c r="A2295" s="44" t="s">
        <v>1091</v>
      </c>
      <c r="B2295" s="45" t="s">
        <v>4498</v>
      </c>
      <c r="C2295" s="45" t="s">
        <v>6748</v>
      </c>
      <c r="D2295" s="45" t="s">
        <v>6771</v>
      </c>
      <c r="E2295" s="44" t="s">
        <v>6839</v>
      </c>
      <c r="F2295" s="37">
        <v>1</v>
      </c>
      <c r="G2295" s="37" t="s">
        <v>6865</v>
      </c>
      <c r="H2295" s="63">
        <v>4847.7</v>
      </c>
    </row>
    <row r="2296" spans="1:8" ht="24.75" customHeight="1">
      <c r="A2296" s="44" t="s">
        <v>1518</v>
      </c>
      <c r="B2296" s="45" t="s">
        <v>6165</v>
      </c>
      <c r="C2296" s="45" t="s">
        <v>6748</v>
      </c>
      <c r="D2296" s="45" t="s">
        <v>6772</v>
      </c>
      <c r="E2296" s="44" t="s">
        <v>4</v>
      </c>
      <c r="F2296" s="37">
        <v>1</v>
      </c>
      <c r="G2296" s="37" t="s">
        <v>6864</v>
      </c>
      <c r="H2296" s="63">
        <v>52800</v>
      </c>
    </row>
    <row r="2297" spans="1:8" ht="24.75" customHeight="1">
      <c r="A2297" s="44" t="s">
        <v>5</v>
      </c>
      <c r="B2297" s="45" t="s">
        <v>6164</v>
      </c>
      <c r="C2297" s="45" t="s">
        <v>6748</v>
      </c>
      <c r="D2297" s="45" t="s">
        <v>6772</v>
      </c>
      <c r="E2297" s="44"/>
      <c r="F2297" s="37">
        <v>1</v>
      </c>
      <c r="G2297" s="37" t="s">
        <v>6864</v>
      </c>
      <c r="H2297" s="63">
        <v>52800</v>
      </c>
    </row>
    <row r="2298" spans="1:8" ht="24.75" customHeight="1">
      <c r="A2298" s="44" t="s">
        <v>3110</v>
      </c>
      <c r="B2298" s="45" t="s">
        <v>6169</v>
      </c>
      <c r="C2298" s="45" t="s">
        <v>6748</v>
      </c>
      <c r="D2298" s="45" t="s">
        <v>6772</v>
      </c>
      <c r="E2298" s="44" t="s">
        <v>4</v>
      </c>
      <c r="F2298" s="37">
        <v>1</v>
      </c>
      <c r="G2298" s="37" t="s">
        <v>6864</v>
      </c>
      <c r="H2298" s="63">
        <v>52800</v>
      </c>
    </row>
    <row r="2299" spans="1:8" ht="24.75" customHeight="1">
      <c r="A2299" s="44" t="s">
        <v>3109</v>
      </c>
      <c r="B2299" s="45" t="s">
        <v>6168</v>
      </c>
      <c r="C2299" s="45" t="s">
        <v>6748</v>
      </c>
      <c r="D2299" s="45" t="s">
        <v>6772</v>
      </c>
      <c r="E2299" s="44" t="s">
        <v>4</v>
      </c>
      <c r="F2299" s="37">
        <v>1</v>
      </c>
      <c r="G2299" s="37" t="s">
        <v>6864</v>
      </c>
      <c r="H2299" s="63">
        <v>52800</v>
      </c>
    </row>
    <row r="2300" spans="1:8" ht="24.75" customHeight="1">
      <c r="A2300" s="44" t="s">
        <v>2220</v>
      </c>
      <c r="B2300" s="45" t="s">
        <v>5939</v>
      </c>
      <c r="C2300" s="45" t="s">
        <v>6748</v>
      </c>
      <c r="D2300" s="45" t="s">
        <v>6773</v>
      </c>
      <c r="E2300" s="44"/>
      <c r="F2300" s="37">
        <v>1</v>
      </c>
      <c r="G2300" s="37" t="s">
        <v>6864</v>
      </c>
      <c r="H2300" s="63">
        <v>33762.300000000003</v>
      </c>
    </row>
    <row r="2301" spans="1:8" ht="24.75" customHeight="1">
      <c r="A2301" s="44" t="s">
        <v>1587</v>
      </c>
      <c r="B2301" s="45" t="s">
        <v>5471</v>
      </c>
      <c r="C2301" s="45" t="s">
        <v>6748</v>
      </c>
      <c r="D2301" s="45" t="s">
        <v>6773</v>
      </c>
      <c r="E2301" s="44"/>
      <c r="F2301" s="37">
        <v>1</v>
      </c>
      <c r="G2301" s="37" t="s">
        <v>6864</v>
      </c>
      <c r="H2301" s="63">
        <v>11325.6</v>
      </c>
    </row>
    <row r="2302" spans="1:8" ht="24.75" customHeight="1">
      <c r="A2302" s="44" t="s">
        <v>2221</v>
      </c>
      <c r="B2302" s="45" t="s">
        <v>5938</v>
      </c>
      <c r="C2302" s="45" t="s">
        <v>6748</v>
      </c>
      <c r="D2302" s="45" t="s">
        <v>6773</v>
      </c>
      <c r="E2302" s="44"/>
      <c r="F2302" s="37">
        <v>1</v>
      </c>
      <c r="G2302" s="37" t="s">
        <v>6864</v>
      </c>
      <c r="H2302" s="63">
        <v>33762.300000000003</v>
      </c>
    </row>
    <row r="2303" spans="1:8" ht="24.75" customHeight="1">
      <c r="A2303" s="44" t="s">
        <v>2398</v>
      </c>
      <c r="B2303" s="45" t="s">
        <v>4830</v>
      </c>
      <c r="C2303" s="45" t="s">
        <v>6748</v>
      </c>
      <c r="D2303" s="45" t="s">
        <v>6773</v>
      </c>
      <c r="E2303" s="44"/>
      <c r="F2303" s="37">
        <v>1</v>
      </c>
      <c r="G2303" s="37" t="s">
        <v>6864</v>
      </c>
      <c r="H2303" s="63">
        <v>26855.4</v>
      </c>
    </row>
    <row r="2304" spans="1:8" ht="24.75" customHeight="1">
      <c r="A2304" s="44" t="s">
        <v>2640</v>
      </c>
      <c r="B2304" s="45" t="s">
        <v>6373</v>
      </c>
      <c r="C2304" s="45" t="s">
        <v>6748</v>
      </c>
      <c r="D2304" s="45" t="s">
        <v>6773</v>
      </c>
      <c r="E2304" s="44"/>
      <c r="F2304" s="37">
        <v>1</v>
      </c>
      <c r="G2304" s="37" t="s">
        <v>6864</v>
      </c>
      <c r="H2304" s="63">
        <v>13785.2</v>
      </c>
    </row>
    <row r="2305" spans="1:8" ht="24.75" customHeight="1">
      <c r="A2305" s="44" t="s">
        <v>1407</v>
      </c>
      <c r="B2305" s="45" t="s">
        <v>4955</v>
      </c>
      <c r="C2305" s="45" t="s">
        <v>6748</v>
      </c>
      <c r="D2305" s="45" t="s">
        <v>6773</v>
      </c>
      <c r="E2305" s="44"/>
      <c r="F2305" s="37">
        <v>1</v>
      </c>
      <c r="G2305" s="37" t="s">
        <v>6864</v>
      </c>
      <c r="H2305" s="63">
        <v>30230.2</v>
      </c>
    </row>
    <row r="2306" spans="1:8" ht="24.75" customHeight="1">
      <c r="A2306" s="44" t="s">
        <v>884</v>
      </c>
      <c r="B2306" s="45" t="s">
        <v>6041</v>
      </c>
      <c r="C2306" s="45" t="s">
        <v>6748</v>
      </c>
      <c r="D2306" s="45" t="s">
        <v>6773</v>
      </c>
      <c r="E2306" s="44"/>
      <c r="F2306" s="37">
        <v>1</v>
      </c>
      <c r="G2306" s="37" t="s">
        <v>6864</v>
      </c>
      <c r="H2306" s="63">
        <v>33204.6</v>
      </c>
    </row>
    <row r="2307" spans="1:8" ht="24.75" customHeight="1">
      <c r="A2307" s="44" t="s">
        <v>1320</v>
      </c>
      <c r="B2307" s="45" t="s">
        <v>5612</v>
      </c>
      <c r="C2307" s="45" t="s">
        <v>6748</v>
      </c>
      <c r="D2307" s="45" t="s">
        <v>6773</v>
      </c>
      <c r="E2307" s="44"/>
      <c r="F2307" s="37">
        <v>1</v>
      </c>
      <c r="G2307" s="37" t="s">
        <v>6864</v>
      </c>
      <c r="H2307" s="63">
        <v>9838.4</v>
      </c>
    </row>
    <row r="2308" spans="1:8" ht="24.75" customHeight="1">
      <c r="A2308" s="44" t="s">
        <v>2234</v>
      </c>
      <c r="B2308" s="45" t="s">
        <v>5876</v>
      </c>
      <c r="C2308" s="45" t="s">
        <v>6748</v>
      </c>
      <c r="D2308" s="45" t="s">
        <v>6773</v>
      </c>
      <c r="E2308" s="44"/>
      <c r="F2308" s="37">
        <v>1</v>
      </c>
      <c r="G2308" s="37" t="s">
        <v>6864</v>
      </c>
      <c r="H2308" s="63">
        <v>7307.3</v>
      </c>
    </row>
    <row r="2309" spans="1:8" ht="24.75" customHeight="1">
      <c r="A2309" s="44" t="s">
        <v>535</v>
      </c>
      <c r="B2309" s="45" t="s">
        <v>6043</v>
      </c>
      <c r="C2309" s="45" t="s">
        <v>6748</v>
      </c>
      <c r="D2309" s="45" t="s">
        <v>6773</v>
      </c>
      <c r="E2309" s="44" t="s">
        <v>6839</v>
      </c>
      <c r="F2309" s="37">
        <v>1</v>
      </c>
      <c r="G2309" s="37" t="s">
        <v>6864</v>
      </c>
      <c r="H2309" s="63">
        <v>10067.200000000001</v>
      </c>
    </row>
    <row r="2310" spans="1:8" ht="24.75" customHeight="1">
      <c r="A2310" s="44" t="s">
        <v>2639</v>
      </c>
      <c r="B2310" s="45" t="s">
        <v>5321</v>
      </c>
      <c r="C2310" s="45" t="s">
        <v>6748</v>
      </c>
      <c r="D2310" s="45" t="s">
        <v>6773</v>
      </c>
      <c r="E2310" s="44"/>
      <c r="F2310" s="37">
        <v>1</v>
      </c>
      <c r="G2310" s="37" t="s">
        <v>6864</v>
      </c>
      <c r="H2310" s="63">
        <v>5062.2</v>
      </c>
    </row>
    <row r="2311" spans="1:8" ht="24.75" customHeight="1">
      <c r="A2311" s="44" t="s">
        <v>2492</v>
      </c>
      <c r="B2311" s="45" t="s">
        <v>6376</v>
      </c>
      <c r="C2311" s="45" t="s">
        <v>6748</v>
      </c>
      <c r="D2311" s="45" t="s">
        <v>6773</v>
      </c>
      <c r="E2311" s="44"/>
      <c r="F2311" s="37">
        <v>1</v>
      </c>
      <c r="G2311" s="37" t="s">
        <v>6864</v>
      </c>
      <c r="H2311" s="63">
        <v>9409.4</v>
      </c>
    </row>
    <row r="2312" spans="1:8" ht="24.75" customHeight="1">
      <c r="A2312" s="44" t="s">
        <v>178</v>
      </c>
      <c r="B2312" s="45" t="s">
        <v>6377</v>
      </c>
      <c r="C2312" s="45" t="s">
        <v>6748</v>
      </c>
      <c r="D2312" s="45" t="s">
        <v>6773</v>
      </c>
      <c r="E2312" s="44" t="s">
        <v>6839</v>
      </c>
      <c r="F2312" s="37">
        <v>1</v>
      </c>
      <c r="G2312" s="37" t="s">
        <v>6864</v>
      </c>
      <c r="H2312" s="63">
        <v>4561.7</v>
      </c>
    </row>
    <row r="2313" spans="1:8" ht="24.75" customHeight="1">
      <c r="A2313" s="44" t="s">
        <v>1967</v>
      </c>
      <c r="B2313" s="45" t="s">
        <v>6378</v>
      </c>
      <c r="C2313" s="45" t="s">
        <v>6748</v>
      </c>
      <c r="D2313" s="45" t="s">
        <v>6773</v>
      </c>
      <c r="E2313" s="44"/>
      <c r="F2313" s="37">
        <v>2</v>
      </c>
      <c r="G2313" s="37" t="s">
        <v>6864</v>
      </c>
      <c r="H2313" s="63">
        <v>4347.2</v>
      </c>
    </row>
    <row r="2314" spans="1:8" ht="24.75" customHeight="1">
      <c r="A2314" s="44" t="s">
        <v>1451</v>
      </c>
      <c r="B2314" s="45" t="s">
        <v>6379</v>
      </c>
      <c r="C2314" s="45" t="s">
        <v>6748</v>
      </c>
      <c r="D2314" s="45" t="s">
        <v>6773</v>
      </c>
      <c r="E2314" s="44"/>
      <c r="F2314" s="37">
        <v>10</v>
      </c>
      <c r="G2314" s="37" t="s">
        <v>6864</v>
      </c>
      <c r="H2314" s="63">
        <v>1487.2</v>
      </c>
    </row>
    <row r="2315" spans="1:8" ht="24.75" customHeight="1">
      <c r="A2315" s="44" t="s">
        <v>2489</v>
      </c>
      <c r="B2315" s="45" t="s">
        <v>4857</v>
      </c>
      <c r="C2315" s="45" t="s">
        <v>6748</v>
      </c>
      <c r="D2315" s="45" t="s">
        <v>6773</v>
      </c>
      <c r="E2315" s="44"/>
      <c r="F2315" s="37">
        <v>1</v>
      </c>
      <c r="G2315" s="37" t="s">
        <v>6864</v>
      </c>
      <c r="H2315" s="63">
        <v>5219.5</v>
      </c>
    </row>
    <row r="2316" spans="1:8" ht="24.75" customHeight="1">
      <c r="A2316" s="44" t="s">
        <v>540</v>
      </c>
      <c r="B2316" s="45" t="s">
        <v>6051</v>
      </c>
      <c r="C2316" s="45" t="s">
        <v>6748</v>
      </c>
      <c r="D2316" s="45" t="s">
        <v>6773</v>
      </c>
      <c r="E2316" s="44"/>
      <c r="F2316" s="37">
        <v>1</v>
      </c>
      <c r="G2316" s="37" t="s">
        <v>2568</v>
      </c>
      <c r="H2316" s="63">
        <v>2931.5</v>
      </c>
    </row>
    <row r="2317" spans="1:8" ht="24.75" customHeight="1">
      <c r="A2317" s="44" t="s">
        <v>1202</v>
      </c>
      <c r="B2317" s="45" t="s">
        <v>4984</v>
      </c>
      <c r="C2317" s="45" t="s">
        <v>6748</v>
      </c>
      <c r="D2317" s="45" t="s">
        <v>6773</v>
      </c>
      <c r="E2317" s="44"/>
      <c r="F2317" s="37">
        <v>1</v>
      </c>
      <c r="G2317" s="37" t="s">
        <v>6864</v>
      </c>
      <c r="H2317" s="63">
        <v>11225.5</v>
      </c>
    </row>
    <row r="2318" spans="1:8" ht="24.75" customHeight="1">
      <c r="A2318" s="44" t="s">
        <v>1590</v>
      </c>
      <c r="B2318" s="45" t="s">
        <v>5475</v>
      </c>
      <c r="C2318" s="45" t="s">
        <v>6748</v>
      </c>
      <c r="D2318" s="45" t="s">
        <v>6773</v>
      </c>
      <c r="E2318" s="44" t="s">
        <v>6839</v>
      </c>
      <c r="F2318" s="37">
        <v>5</v>
      </c>
      <c r="G2318" s="37" t="s">
        <v>6864</v>
      </c>
      <c r="H2318" s="63">
        <v>1301.3</v>
      </c>
    </row>
    <row r="2319" spans="1:8" ht="24.75" customHeight="1">
      <c r="A2319" s="44" t="s">
        <v>694</v>
      </c>
      <c r="B2319" s="45" t="s">
        <v>5103</v>
      </c>
      <c r="C2319" s="45" t="s">
        <v>6748</v>
      </c>
      <c r="D2319" s="45" t="s">
        <v>6773</v>
      </c>
      <c r="E2319" s="44" t="s">
        <v>6839</v>
      </c>
      <c r="F2319" s="37">
        <v>10</v>
      </c>
      <c r="G2319" s="37" t="s">
        <v>6864</v>
      </c>
      <c r="H2319" s="63">
        <v>586.29999999999995</v>
      </c>
    </row>
    <row r="2320" spans="1:8" ht="24.75" customHeight="1">
      <c r="A2320" s="44" t="s">
        <v>2491</v>
      </c>
      <c r="B2320" s="45" t="s">
        <v>4859</v>
      </c>
      <c r="C2320" s="45" t="s">
        <v>6748</v>
      </c>
      <c r="D2320" s="45" t="s">
        <v>6773</v>
      </c>
      <c r="E2320" s="44"/>
      <c r="F2320" s="37">
        <v>10</v>
      </c>
      <c r="G2320" s="37" t="s">
        <v>6864</v>
      </c>
      <c r="H2320" s="63">
        <v>586.29999999999995</v>
      </c>
    </row>
    <row r="2321" spans="1:8" ht="24.75" customHeight="1">
      <c r="A2321" s="44" t="s">
        <v>1061</v>
      </c>
      <c r="B2321" s="45" t="s">
        <v>5191</v>
      </c>
      <c r="C2321" s="45" t="s">
        <v>6748</v>
      </c>
      <c r="D2321" s="45" t="s">
        <v>6773</v>
      </c>
      <c r="E2321" s="44" t="s">
        <v>6839</v>
      </c>
      <c r="F2321" s="37">
        <v>10</v>
      </c>
      <c r="G2321" s="37" t="s">
        <v>6864</v>
      </c>
      <c r="H2321" s="63">
        <v>1215.5</v>
      </c>
    </row>
    <row r="2322" spans="1:8" ht="24.75" customHeight="1">
      <c r="A2322" s="44" t="s">
        <v>2604</v>
      </c>
      <c r="B2322" s="45" t="s">
        <v>5230</v>
      </c>
      <c r="C2322" s="45" t="s">
        <v>6748</v>
      </c>
      <c r="D2322" s="45" t="s">
        <v>6773</v>
      </c>
      <c r="E2322" s="44"/>
      <c r="F2322" s="37">
        <v>10</v>
      </c>
      <c r="G2322" s="37" t="s">
        <v>6864</v>
      </c>
      <c r="H2322" s="63">
        <v>1272.7</v>
      </c>
    </row>
    <row r="2323" spans="1:8" ht="24.75" customHeight="1">
      <c r="A2323" s="44" t="s">
        <v>2650</v>
      </c>
      <c r="B2323" s="45" t="s">
        <v>5332</v>
      </c>
      <c r="C2323" s="45" t="s">
        <v>6748</v>
      </c>
      <c r="D2323" s="45" t="s">
        <v>6773</v>
      </c>
      <c r="E2323" s="44"/>
      <c r="F2323" s="37">
        <v>10</v>
      </c>
      <c r="G2323" s="37" t="s">
        <v>6864</v>
      </c>
      <c r="H2323" s="63">
        <v>1558.7</v>
      </c>
    </row>
    <row r="2324" spans="1:8" ht="24.75" customHeight="1">
      <c r="A2324" s="44" t="s">
        <v>1375</v>
      </c>
      <c r="B2324" s="45" t="s">
        <v>6047</v>
      </c>
      <c r="C2324" s="45" t="s">
        <v>6748</v>
      </c>
      <c r="D2324" s="45" t="s">
        <v>6773</v>
      </c>
      <c r="E2324" s="44" t="s">
        <v>6839</v>
      </c>
      <c r="F2324" s="37">
        <v>10</v>
      </c>
      <c r="G2324" s="37" t="s">
        <v>6864</v>
      </c>
      <c r="H2324" s="63">
        <v>1129.7</v>
      </c>
    </row>
    <row r="2325" spans="1:8" ht="24.75" customHeight="1">
      <c r="A2325" s="44" t="s">
        <v>2254</v>
      </c>
      <c r="B2325" s="45" t="s">
        <v>5884</v>
      </c>
      <c r="C2325" s="45" t="s">
        <v>6748</v>
      </c>
      <c r="D2325" s="45" t="s">
        <v>6773</v>
      </c>
      <c r="E2325" s="44"/>
      <c r="F2325" s="37">
        <v>1</v>
      </c>
      <c r="G2325" s="37" t="s">
        <v>6864</v>
      </c>
      <c r="H2325" s="63">
        <v>16001.7</v>
      </c>
    </row>
    <row r="2326" spans="1:8" ht="24.75" customHeight="1">
      <c r="A2326" s="44" t="s">
        <v>2251</v>
      </c>
      <c r="B2326" s="45" t="s">
        <v>5901</v>
      </c>
      <c r="C2326" s="45" t="s">
        <v>6748</v>
      </c>
      <c r="D2326" s="45" t="s">
        <v>6773</v>
      </c>
      <c r="E2326" s="44"/>
      <c r="F2326" s="37">
        <v>1</v>
      </c>
      <c r="G2326" s="37" t="s">
        <v>6864</v>
      </c>
      <c r="H2326" s="63">
        <v>4089.8</v>
      </c>
    </row>
    <row r="2327" spans="1:8" ht="24.75" customHeight="1">
      <c r="A2327" s="44" t="s">
        <v>2252</v>
      </c>
      <c r="B2327" s="45" t="s">
        <v>5916</v>
      </c>
      <c r="C2327" s="45" t="s">
        <v>6748</v>
      </c>
      <c r="D2327" s="45" t="s">
        <v>6773</v>
      </c>
      <c r="E2327" s="44"/>
      <c r="F2327" s="37">
        <v>5</v>
      </c>
      <c r="G2327" s="37" t="s">
        <v>6864</v>
      </c>
      <c r="H2327" s="63">
        <v>2159.3000000000002</v>
      </c>
    </row>
    <row r="2328" spans="1:8" ht="24.75" customHeight="1">
      <c r="A2328" s="44" t="s">
        <v>2253</v>
      </c>
      <c r="B2328" s="45" t="s">
        <v>5907</v>
      </c>
      <c r="C2328" s="45" t="s">
        <v>6748</v>
      </c>
      <c r="D2328" s="45" t="s">
        <v>6773</v>
      </c>
      <c r="E2328" s="44"/>
      <c r="F2328" s="37">
        <v>1</v>
      </c>
      <c r="G2328" s="37" t="s">
        <v>6864</v>
      </c>
      <c r="H2328" s="63">
        <v>7750.6</v>
      </c>
    </row>
    <row r="2329" spans="1:8" ht="24.75" customHeight="1">
      <c r="A2329" s="44" t="s">
        <v>1676</v>
      </c>
      <c r="B2329" s="45" t="s">
        <v>5470</v>
      </c>
      <c r="C2329" s="45" t="s">
        <v>6748</v>
      </c>
      <c r="D2329" s="45" t="s">
        <v>6773</v>
      </c>
      <c r="E2329" s="44"/>
      <c r="F2329" s="37">
        <v>4</v>
      </c>
      <c r="G2329" s="37" t="s">
        <v>6864</v>
      </c>
      <c r="H2329" s="63">
        <v>4247.1000000000004</v>
      </c>
    </row>
    <row r="2330" spans="1:8" ht="24.75" customHeight="1">
      <c r="A2330" s="44" t="s">
        <v>2259</v>
      </c>
      <c r="B2330" s="45" t="s">
        <v>5878</v>
      </c>
      <c r="C2330" s="45" t="s">
        <v>6748</v>
      </c>
      <c r="D2330" s="45" t="s">
        <v>6773</v>
      </c>
      <c r="E2330" s="44"/>
      <c r="F2330" s="37">
        <v>1</v>
      </c>
      <c r="G2330" s="37" t="s">
        <v>6864</v>
      </c>
      <c r="H2330" s="63">
        <v>3875.3</v>
      </c>
    </row>
    <row r="2331" spans="1:8" ht="24.75" customHeight="1">
      <c r="A2331" s="44" t="s">
        <v>2260</v>
      </c>
      <c r="B2331" s="45" t="s">
        <v>5886</v>
      </c>
      <c r="C2331" s="45" t="s">
        <v>6748</v>
      </c>
      <c r="D2331" s="45" t="s">
        <v>6773</v>
      </c>
      <c r="E2331" s="44"/>
      <c r="F2331" s="37">
        <v>1</v>
      </c>
      <c r="G2331" s="37" t="s">
        <v>6864</v>
      </c>
      <c r="H2331" s="63">
        <v>3875.3</v>
      </c>
    </row>
    <row r="2332" spans="1:8" ht="24.75" customHeight="1">
      <c r="A2332" s="44" t="s">
        <v>2653</v>
      </c>
      <c r="B2332" s="45" t="s">
        <v>5335</v>
      </c>
      <c r="C2332" s="45" t="s">
        <v>6748</v>
      </c>
      <c r="D2332" s="45" t="s">
        <v>6773</v>
      </c>
      <c r="E2332" s="44"/>
      <c r="F2332" s="37">
        <v>1</v>
      </c>
      <c r="G2332" s="37" t="s">
        <v>6864</v>
      </c>
      <c r="H2332" s="63">
        <v>6477.9</v>
      </c>
    </row>
    <row r="2333" spans="1:8" ht="24.75" customHeight="1">
      <c r="A2333" s="44" t="s">
        <v>2649</v>
      </c>
      <c r="B2333" s="45" t="s">
        <v>5331</v>
      </c>
      <c r="C2333" s="45" t="s">
        <v>6748</v>
      </c>
      <c r="D2333" s="45" t="s">
        <v>6773</v>
      </c>
      <c r="E2333" s="44"/>
      <c r="F2333" s="37">
        <v>1</v>
      </c>
      <c r="G2333" s="37" t="s">
        <v>6864</v>
      </c>
      <c r="H2333" s="63">
        <v>1787.5</v>
      </c>
    </row>
    <row r="2334" spans="1:8" ht="24.75" customHeight="1">
      <c r="A2334" s="44" t="s">
        <v>2490</v>
      </c>
      <c r="B2334" s="45" t="s">
        <v>4858</v>
      </c>
      <c r="C2334" s="45" t="s">
        <v>6748</v>
      </c>
      <c r="D2334" s="45" t="s">
        <v>6773</v>
      </c>
      <c r="E2334" s="44"/>
      <c r="F2334" s="37">
        <v>1</v>
      </c>
      <c r="G2334" s="37" t="s">
        <v>6864</v>
      </c>
      <c r="H2334" s="63">
        <v>9409.4</v>
      </c>
    </row>
    <row r="2335" spans="1:8" ht="24.75" customHeight="1">
      <c r="A2335" s="44" t="s">
        <v>2397</v>
      </c>
      <c r="B2335" s="45" t="s">
        <v>4829</v>
      </c>
      <c r="C2335" s="45" t="s">
        <v>6748</v>
      </c>
      <c r="D2335" s="45" t="s">
        <v>6773</v>
      </c>
      <c r="E2335" s="44"/>
      <c r="F2335" s="37">
        <v>1</v>
      </c>
      <c r="G2335" s="37" t="s">
        <v>6864</v>
      </c>
      <c r="H2335" s="63">
        <v>4318.6000000000004</v>
      </c>
    </row>
    <row r="2336" spans="1:8" ht="24.75" customHeight="1">
      <c r="A2336" s="44" t="s">
        <v>1197</v>
      </c>
      <c r="B2336" s="45" t="s">
        <v>4956</v>
      </c>
      <c r="C2336" s="45" t="s">
        <v>6748</v>
      </c>
      <c r="D2336" s="45" t="s">
        <v>6773</v>
      </c>
      <c r="E2336" s="44"/>
      <c r="F2336" s="37">
        <v>1</v>
      </c>
      <c r="G2336" s="37" t="s">
        <v>6864</v>
      </c>
      <c r="H2336" s="63">
        <v>25897.3</v>
      </c>
    </row>
    <row r="2337" spans="1:8" ht="24.75" customHeight="1">
      <c r="A2337" s="44" t="s">
        <v>2627</v>
      </c>
      <c r="B2337" s="45" t="s">
        <v>5250</v>
      </c>
      <c r="C2337" s="45" t="s">
        <v>6748</v>
      </c>
      <c r="D2337" s="45" t="s">
        <v>6773</v>
      </c>
      <c r="E2337" s="44"/>
      <c r="F2337" s="37">
        <v>1</v>
      </c>
      <c r="G2337" s="37" t="s">
        <v>6864</v>
      </c>
      <c r="H2337" s="63">
        <v>1501.5</v>
      </c>
    </row>
    <row r="2338" spans="1:8" ht="24.75" customHeight="1">
      <c r="A2338" s="44" t="s">
        <v>1588</v>
      </c>
      <c r="B2338" s="45" t="s">
        <v>5473</v>
      </c>
      <c r="C2338" s="45" t="s">
        <v>6748</v>
      </c>
      <c r="D2338" s="45" t="s">
        <v>6773</v>
      </c>
      <c r="E2338" s="44" t="s">
        <v>6839</v>
      </c>
      <c r="F2338" s="37">
        <v>1</v>
      </c>
      <c r="G2338" s="37" t="s">
        <v>6864</v>
      </c>
      <c r="H2338" s="63">
        <v>2902.9</v>
      </c>
    </row>
    <row r="2339" spans="1:8" ht="24.75" customHeight="1">
      <c r="A2339" s="44" t="s">
        <v>1834</v>
      </c>
      <c r="B2339" s="45" t="s">
        <v>5446</v>
      </c>
      <c r="C2339" s="45" t="s">
        <v>6748</v>
      </c>
      <c r="D2339" s="45" t="s">
        <v>6773</v>
      </c>
      <c r="E2339" s="44" t="s">
        <v>6839</v>
      </c>
      <c r="F2339" s="37">
        <v>1</v>
      </c>
      <c r="G2339" s="37" t="s">
        <v>6864</v>
      </c>
      <c r="H2339" s="63">
        <v>8294</v>
      </c>
    </row>
    <row r="2340" spans="1:8" ht="24.75" customHeight="1">
      <c r="A2340" s="44" t="s">
        <v>2255</v>
      </c>
      <c r="B2340" s="45" t="s">
        <v>5877</v>
      </c>
      <c r="C2340" s="45" t="s">
        <v>6748</v>
      </c>
      <c r="D2340" s="45" t="s">
        <v>6773</v>
      </c>
      <c r="E2340" s="44"/>
      <c r="F2340" s="37">
        <v>5</v>
      </c>
      <c r="G2340" s="37" t="s">
        <v>6864</v>
      </c>
      <c r="H2340" s="63">
        <v>4704.7</v>
      </c>
    </row>
    <row r="2341" spans="1:8" ht="24.75" customHeight="1">
      <c r="A2341" s="44" t="s">
        <v>1589</v>
      </c>
      <c r="B2341" s="45" t="s">
        <v>5474</v>
      </c>
      <c r="C2341" s="45" t="s">
        <v>6748</v>
      </c>
      <c r="D2341" s="45" t="s">
        <v>6773</v>
      </c>
      <c r="E2341" s="44" t="s">
        <v>6839</v>
      </c>
      <c r="F2341" s="37">
        <v>1</v>
      </c>
      <c r="G2341" s="37" t="s">
        <v>6864</v>
      </c>
      <c r="H2341" s="63">
        <v>2974.4</v>
      </c>
    </row>
    <row r="2342" spans="1:8" ht="24.75" customHeight="1">
      <c r="A2342" s="44" t="s">
        <v>2493</v>
      </c>
      <c r="B2342" s="45" t="s">
        <v>4860</v>
      </c>
      <c r="C2342" s="45" t="s">
        <v>6748</v>
      </c>
      <c r="D2342" s="45" t="s">
        <v>6773</v>
      </c>
      <c r="E2342" s="44"/>
      <c r="F2342" s="37">
        <v>1</v>
      </c>
      <c r="G2342" s="37" t="s">
        <v>6864</v>
      </c>
      <c r="H2342" s="63">
        <v>3818.1</v>
      </c>
    </row>
    <row r="2343" spans="1:8" ht="24.75" customHeight="1">
      <c r="A2343" s="44" t="s">
        <v>1247</v>
      </c>
      <c r="B2343" s="45" t="s">
        <v>4910</v>
      </c>
      <c r="C2343" s="45" t="s">
        <v>6748</v>
      </c>
      <c r="D2343" s="45" t="s">
        <v>6773</v>
      </c>
      <c r="E2343" s="44" t="s">
        <v>6839</v>
      </c>
      <c r="F2343" s="37">
        <v>20</v>
      </c>
      <c r="G2343" s="37" t="s">
        <v>6864</v>
      </c>
      <c r="H2343" s="63">
        <v>2016.3</v>
      </c>
    </row>
    <row r="2344" spans="1:8" ht="24.75" customHeight="1">
      <c r="A2344" s="44" t="s">
        <v>2400</v>
      </c>
      <c r="B2344" s="45" t="s">
        <v>4832</v>
      </c>
      <c r="C2344" s="45" t="s">
        <v>6748</v>
      </c>
      <c r="D2344" s="45" t="s">
        <v>6773</v>
      </c>
      <c r="E2344" s="44"/>
      <c r="F2344" s="37">
        <v>10</v>
      </c>
      <c r="G2344" s="37" t="s">
        <v>6864</v>
      </c>
      <c r="H2344" s="63">
        <v>6649.5</v>
      </c>
    </row>
    <row r="2345" spans="1:8" ht="24.75" customHeight="1">
      <c r="A2345" s="44" t="s">
        <v>2399</v>
      </c>
      <c r="B2345" s="45" t="s">
        <v>4831</v>
      </c>
      <c r="C2345" s="45" t="s">
        <v>6748</v>
      </c>
      <c r="D2345" s="45" t="s">
        <v>6773</v>
      </c>
      <c r="E2345" s="44"/>
      <c r="F2345" s="37">
        <v>10</v>
      </c>
      <c r="G2345" s="37" t="s">
        <v>6864</v>
      </c>
      <c r="H2345" s="63">
        <v>6363.5</v>
      </c>
    </row>
    <row r="2346" spans="1:8" ht="24.75" customHeight="1">
      <c r="A2346" s="44" t="s">
        <v>2256</v>
      </c>
      <c r="B2346" s="45" t="s">
        <v>5903</v>
      </c>
      <c r="C2346" s="45" t="s">
        <v>6748</v>
      </c>
      <c r="D2346" s="45" t="s">
        <v>6773</v>
      </c>
      <c r="E2346" s="44"/>
      <c r="F2346" s="37">
        <v>1</v>
      </c>
      <c r="G2346" s="37" t="s">
        <v>6864</v>
      </c>
      <c r="H2346" s="63">
        <v>3045.9</v>
      </c>
    </row>
    <row r="2347" spans="1:8" ht="24.75" customHeight="1">
      <c r="A2347" s="44" t="s">
        <v>2257</v>
      </c>
      <c r="B2347" s="45" t="s">
        <v>5906</v>
      </c>
      <c r="C2347" s="45" t="s">
        <v>6748</v>
      </c>
      <c r="D2347" s="45" t="s">
        <v>6773</v>
      </c>
      <c r="E2347" s="44"/>
      <c r="F2347" s="37">
        <v>1</v>
      </c>
      <c r="G2347" s="37" t="s">
        <v>6864</v>
      </c>
      <c r="H2347" s="63">
        <v>30444.7</v>
      </c>
    </row>
    <row r="2348" spans="1:8" ht="24.75" customHeight="1">
      <c r="A2348" s="44" t="s">
        <v>3129</v>
      </c>
      <c r="B2348" s="45" t="s">
        <v>5598</v>
      </c>
      <c r="C2348" s="45" t="s">
        <v>6748</v>
      </c>
      <c r="D2348" s="45" t="s">
        <v>6773</v>
      </c>
      <c r="E2348" s="44" t="s">
        <v>956</v>
      </c>
      <c r="F2348" s="37">
        <v>1</v>
      </c>
      <c r="G2348" s="37" t="s">
        <v>6864</v>
      </c>
      <c r="H2348" s="63">
        <v>11440</v>
      </c>
    </row>
    <row r="2349" spans="1:8" ht="24.75" customHeight="1">
      <c r="A2349" s="44" t="s">
        <v>39</v>
      </c>
      <c r="B2349" s="45" t="s">
        <v>4236</v>
      </c>
      <c r="C2349" s="45" t="s">
        <v>6748</v>
      </c>
      <c r="D2349" s="45" t="s">
        <v>6773</v>
      </c>
      <c r="E2349" s="44" t="s">
        <v>6855</v>
      </c>
      <c r="F2349" s="37">
        <v>1</v>
      </c>
      <c r="G2349" s="37" t="s">
        <v>6864</v>
      </c>
      <c r="H2349" s="63">
        <v>7207.2</v>
      </c>
    </row>
    <row r="2350" spans="1:8" ht="24.75" customHeight="1">
      <c r="A2350" s="44" t="s">
        <v>1840</v>
      </c>
      <c r="B2350" s="45" t="s">
        <v>5258</v>
      </c>
      <c r="C2350" s="45" t="s">
        <v>6748</v>
      </c>
      <c r="D2350" s="45" t="s">
        <v>6773</v>
      </c>
      <c r="E2350" s="44" t="s">
        <v>6855</v>
      </c>
      <c r="F2350" s="37">
        <v>1</v>
      </c>
      <c r="G2350" s="37" t="s">
        <v>6864</v>
      </c>
      <c r="H2350" s="63">
        <v>2273.6999999999998</v>
      </c>
    </row>
    <row r="2351" spans="1:8" ht="24.75" customHeight="1">
      <c r="A2351" s="44" t="s">
        <v>2073</v>
      </c>
      <c r="B2351" s="45" t="s">
        <v>4243</v>
      </c>
      <c r="C2351" s="45" t="s">
        <v>6748</v>
      </c>
      <c r="D2351" s="45" t="s">
        <v>6773</v>
      </c>
      <c r="E2351" s="44" t="s">
        <v>6855</v>
      </c>
      <c r="F2351" s="37">
        <v>1</v>
      </c>
      <c r="G2351" s="37" t="s">
        <v>6864</v>
      </c>
      <c r="H2351" s="63">
        <v>1959.1</v>
      </c>
    </row>
    <row r="2352" spans="1:8" ht="24.75" customHeight="1">
      <c r="A2352" s="44" t="s">
        <v>1300</v>
      </c>
      <c r="B2352" s="45" t="s">
        <v>4228</v>
      </c>
      <c r="C2352" s="45" t="s">
        <v>6748</v>
      </c>
      <c r="D2352" s="45" t="s">
        <v>6773</v>
      </c>
      <c r="E2352" s="44"/>
      <c r="F2352" s="37">
        <v>4</v>
      </c>
      <c r="G2352" s="37" t="s">
        <v>6864</v>
      </c>
      <c r="H2352" s="63">
        <v>4004</v>
      </c>
    </row>
    <row r="2353" spans="1:8" ht="24.75" customHeight="1">
      <c r="A2353" s="44" t="s">
        <v>37</v>
      </c>
      <c r="B2353" s="45" t="s">
        <v>4237</v>
      </c>
      <c r="C2353" s="45" t="s">
        <v>6748</v>
      </c>
      <c r="D2353" s="45" t="s">
        <v>6773</v>
      </c>
      <c r="E2353" s="44" t="s">
        <v>6855</v>
      </c>
      <c r="F2353" s="37">
        <v>1</v>
      </c>
      <c r="G2353" s="37" t="s">
        <v>6864</v>
      </c>
      <c r="H2353" s="63">
        <v>2960.1</v>
      </c>
    </row>
    <row r="2354" spans="1:8" ht="24.75" customHeight="1">
      <c r="A2354" s="44" t="s">
        <v>38</v>
      </c>
      <c r="B2354" s="45" t="s">
        <v>4234</v>
      </c>
      <c r="C2354" s="45" t="s">
        <v>6748</v>
      </c>
      <c r="D2354" s="45" t="s">
        <v>6773</v>
      </c>
      <c r="E2354" s="44" t="s">
        <v>6855</v>
      </c>
      <c r="F2354" s="37">
        <v>1</v>
      </c>
      <c r="G2354" s="37" t="s">
        <v>6864</v>
      </c>
      <c r="H2354" s="63">
        <v>4304.3</v>
      </c>
    </row>
    <row r="2355" spans="1:8" ht="24.75" customHeight="1">
      <c r="A2355" s="44" t="s">
        <v>1303</v>
      </c>
      <c r="B2355" s="45" t="s">
        <v>4231</v>
      </c>
      <c r="C2355" s="45" t="s">
        <v>6748</v>
      </c>
      <c r="D2355" s="45" t="s">
        <v>6773</v>
      </c>
      <c r="E2355" s="44"/>
      <c r="F2355" s="37">
        <v>4</v>
      </c>
      <c r="G2355" s="37" t="s">
        <v>6864</v>
      </c>
      <c r="H2355" s="63">
        <v>3260.4</v>
      </c>
    </row>
    <row r="2356" spans="1:8" ht="24.75" customHeight="1">
      <c r="A2356" s="44" t="s">
        <v>1301</v>
      </c>
      <c r="B2356" s="45" t="s">
        <v>4229</v>
      </c>
      <c r="C2356" s="45" t="s">
        <v>6748</v>
      </c>
      <c r="D2356" s="45" t="s">
        <v>6773</v>
      </c>
      <c r="E2356" s="44"/>
      <c r="F2356" s="37">
        <v>4</v>
      </c>
      <c r="G2356" s="37" t="s">
        <v>6864</v>
      </c>
      <c r="H2356" s="63">
        <v>3260.4</v>
      </c>
    </row>
    <row r="2357" spans="1:8" ht="24.75" customHeight="1">
      <c r="A2357" s="44" t="s">
        <v>1304</v>
      </c>
      <c r="B2357" s="45" t="s">
        <v>4232</v>
      </c>
      <c r="C2357" s="45" t="s">
        <v>6748</v>
      </c>
      <c r="D2357" s="45" t="s">
        <v>6773</v>
      </c>
      <c r="E2357" s="44"/>
      <c r="F2357" s="37">
        <v>10</v>
      </c>
      <c r="G2357" s="37" t="s">
        <v>6864</v>
      </c>
      <c r="H2357" s="63">
        <v>3389.1</v>
      </c>
    </row>
    <row r="2358" spans="1:8" ht="24.75" customHeight="1">
      <c r="A2358" s="44" t="s">
        <v>2974</v>
      </c>
      <c r="B2358" s="45" t="s">
        <v>4180</v>
      </c>
      <c r="C2358" s="45" t="s">
        <v>6748</v>
      </c>
      <c r="D2358" s="45" t="s">
        <v>6773</v>
      </c>
      <c r="E2358" s="44" t="s">
        <v>6855</v>
      </c>
      <c r="F2358" s="37">
        <v>1</v>
      </c>
      <c r="G2358" s="37" t="s">
        <v>6864</v>
      </c>
      <c r="H2358" s="63">
        <v>3532.1</v>
      </c>
    </row>
    <row r="2359" spans="1:8" ht="24.75" customHeight="1">
      <c r="A2359" s="44" t="s">
        <v>1302</v>
      </c>
      <c r="B2359" s="45" t="s">
        <v>4230</v>
      </c>
      <c r="C2359" s="45" t="s">
        <v>6748</v>
      </c>
      <c r="D2359" s="45" t="s">
        <v>6773</v>
      </c>
      <c r="E2359" s="44"/>
      <c r="F2359" s="37">
        <v>4</v>
      </c>
      <c r="G2359" s="37" t="s">
        <v>6864</v>
      </c>
      <c r="H2359" s="63">
        <v>3389.1</v>
      </c>
    </row>
    <row r="2360" spans="1:8" ht="24.75" customHeight="1">
      <c r="A2360" s="44" t="s">
        <v>1968</v>
      </c>
      <c r="B2360" s="45" t="s">
        <v>4238</v>
      </c>
      <c r="C2360" s="45" t="s">
        <v>6748</v>
      </c>
      <c r="D2360" s="45" t="s">
        <v>6773</v>
      </c>
      <c r="E2360" s="44"/>
      <c r="F2360" s="37">
        <v>2</v>
      </c>
      <c r="G2360" s="37" t="s">
        <v>6864</v>
      </c>
      <c r="H2360" s="63">
        <v>3918.2</v>
      </c>
    </row>
    <row r="2361" spans="1:8" ht="24.75" customHeight="1">
      <c r="A2361" s="44" t="s">
        <v>2258</v>
      </c>
      <c r="B2361" s="45" t="s">
        <v>5899</v>
      </c>
      <c r="C2361" s="45" t="s">
        <v>6748</v>
      </c>
      <c r="D2361" s="45" t="s">
        <v>6773</v>
      </c>
      <c r="E2361" s="44"/>
      <c r="F2361" s="37">
        <v>1</v>
      </c>
      <c r="G2361" s="37" t="s">
        <v>6864</v>
      </c>
      <c r="H2361" s="63">
        <v>3932.5</v>
      </c>
    </row>
    <row r="2362" spans="1:8" ht="24.75" customHeight="1">
      <c r="A2362" s="44" t="s">
        <v>1969</v>
      </c>
      <c r="B2362" s="45" t="s">
        <v>4239</v>
      </c>
      <c r="C2362" s="45" t="s">
        <v>6748</v>
      </c>
      <c r="D2362" s="45" t="s">
        <v>6773</v>
      </c>
      <c r="E2362" s="44"/>
      <c r="F2362" s="37">
        <v>2</v>
      </c>
      <c r="G2362" s="37" t="s">
        <v>6864</v>
      </c>
      <c r="H2362" s="63">
        <v>2516.8000000000002</v>
      </c>
    </row>
    <row r="2363" spans="1:8" ht="24.75" customHeight="1">
      <c r="A2363" s="44" t="s">
        <v>1971</v>
      </c>
      <c r="B2363" s="45" t="s">
        <v>4241</v>
      </c>
      <c r="C2363" s="45" t="s">
        <v>6748</v>
      </c>
      <c r="D2363" s="45" t="s">
        <v>6773</v>
      </c>
      <c r="E2363" s="44"/>
      <c r="F2363" s="37">
        <v>2</v>
      </c>
      <c r="G2363" s="37" t="s">
        <v>6864</v>
      </c>
      <c r="H2363" s="63">
        <v>1959.1</v>
      </c>
    </row>
    <row r="2364" spans="1:8" ht="24.75" customHeight="1">
      <c r="A2364" s="44" t="s">
        <v>806</v>
      </c>
      <c r="B2364" s="45" t="s">
        <v>6063</v>
      </c>
      <c r="C2364" s="45" t="s">
        <v>6748</v>
      </c>
      <c r="D2364" s="45" t="s">
        <v>6773</v>
      </c>
      <c r="E2364" s="44"/>
      <c r="F2364" s="37">
        <v>2</v>
      </c>
      <c r="G2364" s="37" t="s">
        <v>6864</v>
      </c>
      <c r="H2364" s="63">
        <v>4161.3</v>
      </c>
    </row>
    <row r="2365" spans="1:8" ht="24.75" customHeight="1">
      <c r="A2365" s="44" t="s">
        <v>36</v>
      </c>
      <c r="B2365" s="45" t="s">
        <v>4235</v>
      </c>
      <c r="C2365" s="45" t="s">
        <v>6748</v>
      </c>
      <c r="D2365" s="45" t="s">
        <v>6773</v>
      </c>
      <c r="E2365" s="44" t="s">
        <v>6855</v>
      </c>
      <c r="F2365" s="37">
        <v>1</v>
      </c>
      <c r="G2365" s="37" t="s">
        <v>6864</v>
      </c>
      <c r="H2365" s="63">
        <v>7722</v>
      </c>
    </row>
    <row r="2366" spans="1:8" ht="24.75" customHeight="1">
      <c r="A2366" s="44" t="s">
        <v>2261</v>
      </c>
      <c r="B2366" s="45" t="s">
        <v>5922</v>
      </c>
      <c r="C2366" s="45" t="s">
        <v>6748</v>
      </c>
      <c r="D2366" s="45" t="s">
        <v>6773</v>
      </c>
      <c r="E2366" s="44" t="s">
        <v>956</v>
      </c>
      <c r="F2366" s="37">
        <v>2</v>
      </c>
      <c r="G2366" s="37" t="s">
        <v>6864</v>
      </c>
      <c r="H2366" s="63">
        <v>10853.7</v>
      </c>
    </row>
    <row r="2367" spans="1:8" ht="24.75" customHeight="1">
      <c r="A2367" s="44" t="s">
        <v>2412</v>
      </c>
      <c r="B2367" s="45" t="s">
        <v>4181</v>
      </c>
      <c r="C2367" s="45" t="s">
        <v>6748</v>
      </c>
      <c r="D2367" s="45" t="s">
        <v>6773</v>
      </c>
      <c r="E2367" s="44" t="s">
        <v>956</v>
      </c>
      <c r="F2367" s="37">
        <v>2</v>
      </c>
      <c r="G2367" s="37" t="s">
        <v>6864</v>
      </c>
      <c r="H2367" s="63">
        <v>15973.1</v>
      </c>
    </row>
    <row r="2368" spans="1:8" ht="24.75" customHeight="1">
      <c r="A2368" s="44" t="s">
        <v>1297</v>
      </c>
      <c r="B2368" s="45" t="s">
        <v>4225</v>
      </c>
      <c r="C2368" s="45" t="s">
        <v>6748</v>
      </c>
      <c r="D2368" s="45" t="s">
        <v>6773</v>
      </c>
      <c r="E2368" s="44" t="s">
        <v>6839</v>
      </c>
      <c r="F2368" s="37">
        <v>4</v>
      </c>
      <c r="G2368" s="37" t="s">
        <v>6864</v>
      </c>
      <c r="H2368" s="63">
        <v>4518.8</v>
      </c>
    </row>
    <row r="2369" spans="1:8" ht="24.75" customHeight="1">
      <c r="A2369" s="44" t="s">
        <v>35</v>
      </c>
      <c r="B2369" s="45" t="s">
        <v>4233</v>
      </c>
      <c r="C2369" s="45" t="s">
        <v>6748</v>
      </c>
      <c r="D2369" s="45" t="s">
        <v>6773</v>
      </c>
      <c r="E2369" s="44" t="s">
        <v>6855</v>
      </c>
      <c r="F2369" s="37">
        <v>1</v>
      </c>
      <c r="G2369" s="37" t="s">
        <v>6864</v>
      </c>
      <c r="H2369" s="63">
        <v>4461.6000000000004</v>
      </c>
    </row>
    <row r="2370" spans="1:8" ht="24.75" customHeight="1">
      <c r="A2370" s="44" t="s">
        <v>1298</v>
      </c>
      <c r="B2370" s="45" t="s">
        <v>4226</v>
      </c>
      <c r="C2370" s="45" t="s">
        <v>6748</v>
      </c>
      <c r="D2370" s="45" t="s">
        <v>6773</v>
      </c>
      <c r="E2370" s="44" t="s">
        <v>6839</v>
      </c>
      <c r="F2370" s="37">
        <v>4</v>
      </c>
      <c r="G2370" s="37" t="s">
        <v>6864</v>
      </c>
      <c r="H2370" s="63">
        <v>3260.4</v>
      </c>
    </row>
    <row r="2371" spans="1:8" ht="24.75" customHeight="1">
      <c r="A2371" s="44" t="s">
        <v>615</v>
      </c>
      <c r="B2371" s="45" t="s">
        <v>5661</v>
      </c>
      <c r="C2371" s="45" t="s">
        <v>6748</v>
      </c>
      <c r="D2371" s="45" t="s">
        <v>6773</v>
      </c>
      <c r="E2371" s="44" t="s">
        <v>6839</v>
      </c>
      <c r="F2371" s="37">
        <v>5</v>
      </c>
      <c r="G2371" s="37" t="s">
        <v>2568</v>
      </c>
      <c r="H2371" s="63">
        <v>4061.2</v>
      </c>
    </row>
    <row r="2372" spans="1:8" ht="24.75" customHeight="1">
      <c r="A2372" s="44" t="s">
        <v>1299</v>
      </c>
      <c r="B2372" s="45" t="s">
        <v>4227</v>
      </c>
      <c r="C2372" s="45" t="s">
        <v>6748</v>
      </c>
      <c r="D2372" s="45" t="s">
        <v>6773</v>
      </c>
      <c r="E2372" s="44" t="s">
        <v>6839</v>
      </c>
      <c r="F2372" s="37">
        <v>4</v>
      </c>
      <c r="G2372" s="37" t="s">
        <v>6864</v>
      </c>
      <c r="H2372" s="63">
        <v>3474.9</v>
      </c>
    </row>
    <row r="2373" spans="1:8" ht="24.75" customHeight="1">
      <c r="A2373" s="44" t="s">
        <v>1970</v>
      </c>
      <c r="B2373" s="45" t="s">
        <v>4240</v>
      </c>
      <c r="C2373" s="45" t="s">
        <v>6748</v>
      </c>
      <c r="D2373" s="45" t="s">
        <v>6773</v>
      </c>
      <c r="E2373" s="44" t="s">
        <v>6855</v>
      </c>
      <c r="F2373" s="37">
        <v>2</v>
      </c>
      <c r="G2373" s="37" t="s">
        <v>6864</v>
      </c>
      <c r="H2373" s="63">
        <v>1959.1</v>
      </c>
    </row>
    <row r="2374" spans="1:8" ht="24.75" customHeight="1">
      <c r="A2374" s="44" t="s">
        <v>807</v>
      </c>
      <c r="B2374" s="45" t="s">
        <v>6064</v>
      </c>
      <c r="C2374" s="45" t="s">
        <v>6748</v>
      </c>
      <c r="D2374" s="45" t="s">
        <v>6773</v>
      </c>
      <c r="E2374" s="44" t="s">
        <v>6839</v>
      </c>
      <c r="F2374" s="37">
        <v>2</v>
      </c>
      <c r="G2374" s="37" t="s">
        <v>6864</v>
      </c>
      <c r="H2374" s="63">
        <v>4161.3</v>
      </c>
    </row>
    <row r="2375" spans="1:8" ht="24.75" customHeight="1">
      <c r="A2375" s="44" t="s">
        <v>3130</v>
      </c>
      <c r="B2375" s="45" t="s">
        <v>5599</v>
      </c>
      <c r="C2375" s="45" t="s">
        <v>6748</v>
      </c>
      <c r="D2375" s="45" t="s">
        <v>6773</v>
      </c>
      <c r="E2375" s="44"/>
      <c r="F2375" s="37">
        <v>1</v>
      </c>
      <c r="G2375" s="37" t="s">
        <v>6864</v>
      </c>
      <c r="H2375" s="63">
        <v>3103.1</v>
      </c>
    </row>
    <row r="2376" spans="1:8" ht="24.75" customHeight="1">
      <c r="A2376" s="44" t="s">
        <v>22</v>
      </c>
      <c r="B2376" s="45" t="s">
        <v>5669</v>
      </c>
      <c r="C2376" s="45" t="s">
        <v>6748</v>
      </c>
      <c r="D2376" s="45" t="s">
        <v>6773</v>
      </c>
      <c r="E2376" s="44" t="s">
        <v>6839</v>
      </c>
      <c r="F2376" s="37">
        <v>1</v>
      </c>
      <c r="G2376" s="37" t="s">
        <v>6864</v>
      </c>
      <c r="H2376" s="63">
        <v>22665.5</v>
      </c>
    </row>
    <row r="2377" spans="1:8" ht="24.75" customHeight="1">
      <c r="A2377" s="44" t="s">
        <v>536</v>
      </c>
      <c r="B2377" s="45" t="s">
        <v>6044</v>
      </c>
      <c r="C2377" s="45" t="s">
        <v>6748</v>
      </c>
      <c r="D2377" s="45" t="s">
        <v>6773</v>
      </c>
      <c r="E2377" s="44" t="s">
        <v>6839</v>
      </c>
      <c r="F2377" s="37">
        <v>1</v>
      </c>
      <c r="G2377" s="37" t="s">
        <v>2568</v>
      </c>
      <c r="H2377" s="63">
        <v>2116.4</v>
      </c>
    </row>
    <row r="2378" spans="1:8" ht="24.75" customHeight="1">
      <c r="A2378" s="44" t="s">
        <v>1199</v>
      </c>
      <c r="B2378" s="45" t="s">
        <v>4982</v>
      </c>
      <c r="C2378" s="45" t="s">
        <v>6748</v>
      </c>
      <c r="D2378" s="45" t="s">
        <v>6773</v>
      </c>
      <c r="E2378" s="44"/>
      <c r="F2378" s="37">
        <v>1</v>
      </c>
      <c r="G2378" s="37" t="s">
        <v>6864</v>
      </c>
      <c r="H2378" s="63">
        <v>26526.5</v>
      </c>
    </row>
    <row r="2379" spans="1:8" ht="24.75" customHeight="1">
      <c r="A2379" s="44" t="s">
        <v>1203</v>
      </c>
      <c r="B2379" s="45" t="s">
        <v>4981</v>
      </c>
      <c r="C2379" s="45" t="s">
        <v>6748</v>
      </c>
      <c r="D2379" s="45" t="s">
        <v>6773</v>
      </c>
      <c r="E2379" s="44"/>
      <c r="F2379" s="37">
        <v>1</v>
      </c>
      <c r="G2379" s="37" t="s">
        <v>6864</v>
      </c>
      <c r="H2379" s="63">
        <v>7078.5</v>
      </c>
    </row>
    <row r="2380" spans="1:8" ht="24.75" customHeight="1">
      <c r="A2380" s="44" t="s">
        <v>537</v>
      </c>
      <c r="B2380" s="45" t="s">
        <v>6045</v>
      </c>
      <c r="C2380" s="45" t="s">
        <v>6748</v>
      </c>
      <c r="D2380" s="45" t="s">
        <v>6773</v>
      </c>
      <c r="E2380" s="44" t="s">
        <v>6839</v>
      </c>
      <c r="F2380" s="37">
        <v>1</v>
      </c>
      <c r="G2380" s="37" t="s">
        <v>6864</v>
      </c>
      <c r="H2380" s="63">
        <v>5205.2</v>
      </c>
    </row>
    <row r="2381" spans="1:8" ht="24.75" customHeight="1">
      <c r="A2381" s="44" t="s">
        <v>1417</v>
      </c>
      <c r="B2381" s="45" t="s">
        <v>4966</v>
      </c>
      <c r="C2381" s="45" t="s">
        <v>6748</v>
      </c>
      <c r="D2381" s="45" t="s">
        <v>6773</v>
      </c>
      <c r="E2381" s="44"/>
      <c r="F2381" s="37">
        <v>1</v>
      </c>
      <c r="G2381" s="37" t="s">
        <v>6864</v>
      </c>
      <c r="H2381" s="63">
        <v>5248.1</v>
      </c>
    </row>
    <row r="2382" spans="1:8" ht="24.75" customHeight="1">
      <c r="A2382" s="44" t="s">
        <v>538</v>
      </c>
      <c r="B2382" s="45" t="s">
        <v>6046</v>
      </c>
      <c r="C2382" s="45" t="s">
        <v>6748</v>
      </c>
      <c r="D2382" s="45" t="s">
        <v>6773</v>
      </c>
      <c r="E2382" s="44" t="s">
        <v>6839</v>
      </c>
      <c r="F2382" s="37">
        <v>1</v>
      </c>
      <c r="G2382" s="37" t="s">
        <v>6864</v>
      </c>
      <c r="H2382" s="63">
        <v>1487.2</v>
      </c>
    </row>
    <row r="2383" spans="1:8" ht="24.75" customHeight="1">
      <c r="A2383" s="44" t="s">
        <v>2638</v>
      </c>
      <c r="B2383" s="45" t="s">
        <v>5320</v>
      </c>
      <c r="C2383" s="45" t="s">
        <v>6748</v>
      </c>
      <c r="D2383" s="45" t="s">
        <v>6773</v>
      </c>
      <c r="E2383" s="44" t="s">
        <v>6839</v>
      </c>
      <c r="F2383" s="37">
        <v>1</v>
      </c>
      <c r="G2383" s="37" t="s">
        <v>6864</v>
      </c>
      <c r="H2383" s="63">
        <v>1773.2</v>
      </c>
    </row>
    <row r="2384" spans="1:8" ht="24.75" customHeight="1">
      <c r="A2384" s="44" t="s">
        <v>619</v>
      </c>
      <c r="B2384" s="45" t="s">
        <v>5665</v>
      </c>
      <c r="C2384" s="45" t="s">
        <v>6748</v>
      </c>
      <c r="D2384" s="45" t="s">
        <v>6773</v>
      </c>
      <c r="E2384" s="44"/>
      <c r="F2384" s="37">
        <v>1</v>
      </c>
      <c r="G2384" s="37" t="s">
        <v>6864</v>
      </c>
      <c r="H2384" s="63">
        <v>14085.5</v>
      </c>
    </row>
    <row r="2385" spans="1:8" ht="24.75" customHeight="1">
      <c r="A2385" s="44" t="s">
        <v>690</v>
      </c>
      <c r="B2385" s="45" t="s">
        <v>5099</v>
      </c>
      <c r="C2385" s="45" t="s">
        <v>6748</v>
      </c>
      <c r="D2385" s="45" t="s">
        <v>6773</v>
      </c>
      <c r="E2385" s="44"/>
      <c r="F2385" s="37">
        <v>1</v>
      </c>
      <c r="G2385" s="37" t="s">
        <v>6864</v>
      </c>
      <c r="H2385" s="63">
        <v>14085.5</v>
      </c>
    </row>
    <row r="2386" spans="1:8" ht="24.75" customHeight="1">
      <c r="A2386" s="44" t="s">
        <v>1649</v>
      </c>
      <c r="B2386" s="45" t="s">
        <v>5417</v>
      </c>
      <c r="C2386" s="45" t="s">
        <v>6748</v>
      </c>
      <c r="D2386" s="45" t="s">
        <v>6773</v>
      </c>
      <c r="E2386" s="44"/>
      <c r="F2386" s="37">
        <v>1</v>
      </c>
      <c r="G2386" s="37" t="s">
        <v>6864</v>
      </c>
      <c r="H2386" s="63">
        <v>15100.8</v>
      </c>
    </row>
    <row r="2387" spans="1:8" ht="24.75" customHeight="1">
      <c r="A2387" s="44" t="s">
        <v>2895</v>
      </c>
      <c r="B2387" s="45" t="s">
        <v>5796</v>
      </c>
      <c r="C2387" s="45" t="s">
        <v>6748</v>
      </c>
      <c r="D2387" s="45" t="s">
        <v>6773</v>
      </c>
      <c r="E2387" s="44"/>
      <c r="F2387" s="37">
        <v>1</v>
      </c>
      <c r="G2387" s="37" t="s">
        <v>6864</v>
      </c>
      <c r="H2387" s="63">
        <v>15930.2</v>
      </c>
    </row>
    <row r="2388" spans="1:8" ht="24.75" customHeight="1">
      <c r="A2388" s="44" t="s">
        <v>2654</v>
      </c>
      <c r="B2388" s="45" t="s">
        <v>5336</v>
      </c>
      <c r="C2388" s="45" t="s">
        <v>6748</v>
      </c>
      <c r="D2388" s="45" t="s">
        <v>6773</v>
      </c>
      <c r="E2388" s="44"/>
      <c r="F2388" s="37">
        <v>1</v>
      </c>
      <c r="G2388" s="37" t="s">
        <v>6864</v>
      </c>
      <c r="H2388" s="63">
        <v>11368.5</v>
      </c>
    </row>
    <row r="2389" spans="1:8" ht="24.75" customHeight="1">
      <c r="A2389" s="44" t="s">
        <v>2494</v>
      </c>
      <c r="B2389" s="45" t="s">
        <v>4861</v>
      </c>
      <c r="C2389" s="45" t="s">
        <v>6748</v>
      </c>
      <c r="D2389" s="45" t="s">
        <v>6773</v>
      </c>
      <c r="E2389" s="44"/>
      <c r="F2389" s="37">
        <v>1</v>
      </c>
      <c r="G2389" s="37" t="s">
        <v>6864</v>
      </c>
      <c r="H2389" s="63">
        <v>16316.3</v>
      </c>
    </row>
    <row r="2390" spans="1:8" ht="24.75" customHeight="1">
      <c r="A2390" s="44" t="s">
        <v>1408</v>
      </c>
      <c r="B2390" s="45" t="s">
        <v>4957</v>
      </c>
      <c r="C2390" s="45" t="s">
        <v>6748</v>
      </c>
      <c r="D2390" s="45" t="s">
        <v>6773</v>
      </c>
      <c r="E2390" s="44"/>
      <c r="F2390" s="37">
        <v>1</v>
      </c>
      <c r="G2390" s="37" t="s">
        <v>6864</v>
      </c>
      <c r="H2390" s="63">
        <v>18361.2</v>
      </c>
    </row>
    <row r="2391" spans="1:8" ht="24.75" customHeight="1">
      <c r="A2391" s="44" t="s">
        <v>810</v>
      </c>
      <c r="B2391" s="45" t="s">
        <v>6032</v>
      </c>
      <c r="C2391" s="45" t="s">
        <v>6748</v>
      </c>
      <c r="D2391" s="45" t="s">
        <v>6773</v>
      </c>
      <c r="E2391" s="44"/>
      <c r="F2391" s="37">
        <v>1</v>
      </c>
      <c r="G2391" s="37" t="s">
        <v>6864</v>
      </c>
      <c r="H2391" s="63">
        <v>15830.1</v>
      </c>
    </row>
    <row r="2392" spans="1:8" ht="24.75" customHeight="1">
      <c r="A2392" s="44" t="s">
        <v>606</v>
      </c>
      <c r="B2392" s="45" t="s">
        <v>5652</v>
      </c>
      <c r="C2392" s="45" t="s">
        <v>6748</v>
      </c>
      <c r="D2392" s="45" t="s">
        <v>6773</v>
      </c>
      <c r="E2392" s="44"/>
      <c r="F2392" s="37">
        <v>1</v>
      </c>
      <c r="G2392" s="37" t="s">
        <v>6864</v>
      </c>
      <c r="H2392" s="63">
        <v>12355.2</v>
      </c>
    </row>
    <row r="2393" spans="1:8" ht="24.75" customHeight="1">
      <c r="A2393" s="44" t="s">
        <v>2262</v>
      </c>
      <c r="B2393" s="45" t="s">
        <v>5905</v>
      </c>
      <c r="C2393" s="45" t="s">
        <v>6748</v>
      </c>
      <c r="D2393" s="45" t="s">
        <v>6773</v>
      </c>
      <c r="E2393" s="44"/>
      <c r="F2393" s="37">
        <v>1</v>
      </c>
      <c r="G2393" s="37" t="s">
        <v>6864</v>
      </c>
      <c r="H2393" s="63">
        <v>9137.7000000000007</v>
      </c>
    </row>
    <row r="2394" spans="1:8" ht="24.75" customHeight="1">
      <c r="A2394" s="44" t="s">
        <v>2263</v>
      </c>
      <c r="B2394" s="45" t="s">
        <v>5904</v>
      </c>
      <c r="C2394" s="45" t="s">
        <v>6748</v>
      </c>
      <c r="D2394" s="45" t="s">
        <v>6773</v>
      </c>
      <c r="E2394" s="44"/>
      <c r="F2394" s="37">
        <v>1</v>
      </c>
      <c r="G2394" s="37" t="s">
        <v>6864</v>
      </c>
      <c r="H2394" s="63">
        <v>9137.7000000000007</v>
      </c>
    </row>
    <row r="2395" spans="1:8" ht="24.75" customHeight="1">
      <c r="A2395" s="44" t="s">
        <v>1054</v>
      </c>
      <c r="B2395" s="45" t="s">
        <v>5184</v>
      </c>
      <c r="C2395" s="45" t="s">
        <v>6748</v>
      </c>
      <c r="D2395" s="45" t="s">
        <v>6773</v>
      </c>
      <c r="E2395" s="44"/>
      <c r="F2395" s="37">
        <v>1</v>
      </c>
      <c r="G2395" s="37" t="s">
        <v>6864</v>
      </c>
      <c r="H2395" s="63">
        <v>15444</v>
      </c>
    </row>
    <row r="2396" spans="1:8" ht="24.75" customHeight="1">
      <c r="A2396" s="44" t="s">
        <v>1601</v>
      </c>
      <c r="B2396" s="45" t="s">
        <v>5489</v>
      </c>
      <c r="C2396" s="45" t="s">
        <v>6748</v>
      </c>
      <c r="D2396" s="45" t="s">
        <v>6773</v>
      </c>
      <c r="E2396" s="44"/>
      <c r="F2396" s="37">
        <v>1</v>
      </c>
      <c r="G2396" s="37" t="s">
        <v>6865</v>
      </c>
      <c r="H2396" s="63">
        <v>41398.5</v>
      </c>
    </row>
    <row r="2397" spans="1:8" ht="24.75" customHeight="1">
      <c r="A2397" s="44" t="s">
        <v>687</v>
      </c>
      <c r="B2397" s="45" t="s">
        <v>5096</v>
      </c>
      <c r="C2397" s="45" t="s">
        <v>6748</v>
      </c>
      <c r="D2397" s="45" t="s">
        <v>6773</v>
      </c>
      <c r="E2397" s="44"/>
      <c r="F2397" s="37">
        <v>1</v>
      </c>
      <c r="G2397" s="37" t="s">
        <v>6864</v>
      </c>
      <c r="H2397" s="63">
        <v>20420.400000000001</v>
      </c>
    </row>
    <row r="2398" spans="1:8" ht="24.75" customHeight="1">
      <c r="A2398" s="44" t="s">
        <v>1405</v>
      </c>
      <c r="B2398" s="45" t="s">
        <v>4952</v>
      </c>
      <c r="C2398" s="45" t="s">
        <v>6748</v>
      </c>
      <c r="D2398" s="45" t="s">
        <v>6773</v>
      </c>
      <c r="E2398" s="44"/>
      <c r="F2398" s="37">
        <v>1</v>
      </c>
      <c r="G2398" s="37" t="s">
        <v>6864</v>
      </c>
      <c r="H2398" s="63">
        <v>19905.599999999999</v>
      </c>
    </row>
    <row r="2399" spans="1:8" ht="24.75" customHeight="1">
      <c r="A2399" s="44" t="s">
        <v>808</v>
      </c>
      <c r="B2399" s="45" t="s">
        <v>6034</v>
      </c>
      <c r="C2399" s="45" t="s">
        <v>6748</v>
      </c>
      <c r="D2399" s="45" t="s">
        <v>6773</v>
      </c>
      <c r="E2399" s="44"/>
      <c r="F2399" s="37">
        <v>1</v>
      </c>
      <c r="G2399" s="37" t="s">
        <v>6864</v>
      </c>
      <c r="H2399" s="63">
        <v>15215.2</v>
      </c>
    </row>
    <row r="2400" spans="1:8" ht="24.75" customHeight="1">
      <c r="A2400" s="44" t="s">
        <v>686</v>
      </c>
      <c r="B2400" s="45" t="s">
        <v>5095</v>
      </c>
      <c r="C2400" s="45" t="s">
        <v>6748</v>
      </c>
      <c r="D2400" s="45" t="s">
        <v>6773</v>
      </c>
      <c r="E2400" s="44"/>
      <c r="F2400" s="37">
        <v>1</v>
      </c>
      <c r="G2400" s="37" t="s">
        <v>6864</v>
      </c>
      <c r="H2400" s="63">
        <v>20420.400000000001</v>
      </c>
    </row>
    <row r="2401" spans="1:8" ht="24.75" customHeight="1">
      <c r="A2401" s="44" t="s">
        <v>608</v>
      </c>
      <c r="B2401" s="45" t="s">
        <v>5654</v>
      </c>
      <c r="C2401" s="45" t="s">
        <v>6748</v>
      </c>
      <c r="D2401" s="45" t="s">
        <v>6773</v>
      </c>
      <c r="E2401" s="44"/>
      <c r="F2401" s="37">
        <v>1</v>
      </c>
      <c r="G2401" s="37" t="s">
        <v>6864</v>
      </c>
      <c r="H2401" s="63">
        <v>12355.2</v>
      </c>
    </row>
    <row r="2402" spans="1:8" ht="24.75" customHeight="1">
      <c r="A2402" s="44" t="s">
        <v>1406</v>
      </c>
      <c r="B2402" s="45" t="s">
        <v>4953</v>
      </c>
      <c r="C2402" s="45" t="s">
        <v>6748</v>
      </c>
      <c r="D2402" s="45" t="s">
        <v>6773</v>
      </c>
      <c r="E2402" s="44"/>
      <c r="F2402" s="37">
        <v>1</v>
      </c>
      <c r="G2402" s="37" t="s">
        <v>6864</v>
      </c>
      <c r="H2402" s="63">
        <v>19905.599999999999</v>
      </c>
    </row>
    <row r="2403" spans="1:8" ht="24.75" customHeight="1">
      <c r="A2403" s="44" t="s">
        <v>809</v>
      </c>
      <c r="B2403" s="45" t="s">
        <v>6035</v>
      </c>
      <c r="C2403" s="45" t="s">
        <v>6748</v>
      </c>
      <c r="D2403" s="45" t="s">
        <v>6773</v>
      </c>
      <c r="E2403" s="44"/>
      <c r="F2403" s="37">
        <v>1</v>
      </c>
      <c r="G2403" s="37" t="s">
        <v>6864</v>
      </c>
      <c r="H2403" s="63">
        <v>15215.2</v>
      </c>
    </row>
    <row r="2404" spans="1:8" ht="24.75" customHeight="1">
      <c r="A2404" s="44" t="s">
        <v>2655</v>
      </c>
      <c r="B2404" s="45" t="s">
        <v>5337</v>
      </c>
      <c r="C2404" s="45" t="s">
        <v>6748</v>
      </c>
      <c r="D2404" s="45" t="s">
        <v>6773</v>
      </c>
      <c r="E2404" s="44"/>
      <c r="F2404" s="37">
        <v>1</v>
      </c>
      <c r="G2404" s="37" t="s">
        <v>6864</v>
      </c>
      <c r="H2404" s="63">
        <v>11368.5</v>
      </c>
    </row>
    <row r="2405" spans="1:8" ht="24.75" customHeight="1">
      <c r="A2405" s="44" t="s">
        <v>2652</v>
      </c>
      <c r="B2405" s="45" t="s">
        <v>5334</v>
      </c>
      <c r="C2405" s="45" t="s">
        <v>6748</v>
      </c>
      <c r="D2405" s="45" t="s">
        <v>6773</v>
      </c>
      <c r="E2405" s="44"/>
      <c r="F2405" s="37">
        <v>1</v>
      </c>
      <c r="G2405" s="37" t="s">
        <v>6864</v>
      </c>
      <c r="H2405" s="63">
        <v>1701.7</v>
      </c>
    </row>
    <row r="2406" spans="1:8" ht="24.75" customHeight="1">
      <c r="A2406" s="44" t="s">
        <v>2802</v>
      </c>
      <c r="B2406" s="45" t="s">
        <v>5801</v>
      </c>
      <c r="C2406" s="45" t="s">
        <v>6748</v>
      </c>
      <c r="D2406" s="45" t="s">
        <v>6773</v>
      </c>
      <c r="E2406" s="44"/>
      <c r="F2406" s="37">
        <v>1</v>
      </c>
      <c r="G2406" s="37" t="s">
        <v>6864</v>
      </c>
      <c r="H2406" s="63">
        <v>9709.7000000000007</v>
      </c>
    </row>
    <row r="2407" spans="1:8" ht="24.75" customHeight="1">
      <c r="A2407" s="44" t="s">
        <v>1117</v>
      </c>
      <c r="B2407" s="45" t="s">
        <v>5677</v>
      </c>
      <c r="C2407" s="45" t="s">
        <v>6748</v>
      </c>
      <c r="D2407" s="45" t="s">
        <v>6773</v>
      </c>
      <c r="E2407" s="44" t="s">
        <v>6839</v>
      </c>
      <c r="F2407" s="37">
        <v>5</v>
      </c>
      <c r="G2407" s="37" t="s">
        <v>6864</v>
      </c>
      <c r="H2407" s="63">
        <v>757.9</v>
      </c>
    </row>
    <row r="2408" spans="1:8" ht="24.75" customHeight="1">
      <c r="A2408" s="44" t="s">
        <v>539</v>
      </c>
      <c r="B2408" s="45" t="s">
        <v>6049</v>
      </c>
      <c r="C2408" s="45" t="s">
        <v>6748</v>
      </c>
      <c r="D2408" s="45" t="s">
        <v>6773</v>
      </c>
      <c r="E2408" s="44" t="s">
        <v>6839</v>
      </c>
      <c r="F2408" s="37">
        <v>5</v>
      </c>
      <c r="G2408" s="37" t="s">
        <v>6864</v>
      </c>
      <c r="H2408" s="63">
        <v>471.9</v>
      </c>
    </row>
    <row r="2409" spans="1:8" ht="24.75" customHeight="1">
      <c r="A2409" s="44" t="s">
        <v>1560</v>
      </c>
      <c r="B2409" s="45" t="s">
        <v>5419</v>
      </c>
      <c r="C2409" s="45" t="s">
        <v>6748</v>
      </c>
      <c r="D2409" s="45" t="s">
        <v>6773</v>
      </c>
      <c r="E2409" s="44"/>
      <c r="F2409" s="37">
        <v>1</v>
      </c>
      <c r="G2409" s="37" t="s">
        <v>6864</v>
      </c>
      <c r="H2409" s="63">
        <v>14085.5</v>
      </c>
    </row>
    <row r="2410" spans="1:8" ht="24.75" customHeight="1">
      <c r="A2410" s="44" t="s">
        <v>2651</v>
      </c>
      <c r="B2410" s="45" t="s">
        <v>5333</v>
      </c>
      <c r="C2410" s="45" t="s">
        <v>6748</v>
      </c>
      <c r="D2410" s="45" t="s">
        <v>6773</v>
      </c>
      <c r="E2410" s="44"/>
      <c r="F2410" s="37">
        <v>1</v>
      </c>
      <c r="G2410" s="37" t="s">
        <v>6864</v>
      </c>
      <c r="H2410" s="63">
        <v>4132.7</v>
      </c>
    </row>
    <row r="2411" spans="1:8" ht="24.75" customHeight="1">
      <c r="A2411" s="44" t="s">
        <v>2495</v>
      </c>
      <c r="B2411" s="45" t="s">
        <v>4862</v>
      </c>
      <c r="C2411" s="45" t="s">
        <v>6748</v>
      </c>
      <c r="D2411" s="45" t="s">
        <v>6773</v>
      </c>
      <c r="E2411" s="44"/>
      <c r="F2411" s="37">
        <v>1</v>
      </c>
      <c r="G2411" s="37" t="s">
        <v>6864</v>
      </c>
      <c r="H2411" s="63">
        <v>4290</v>
      </c>
    </row>
    <row r="2412" spans="1:8" ht="24.75" customHeight="1">
      <c r="A2412" s="44" t="s">
        <v>2264</v>
      </c>
      <c r="B2412" s="45" t="s">
        <v>5890</v>
      </c>
      <c r="C2412" s="45" t="s">
        <v>6748</v>
      </c>
      <c r="D2412" s="45" t="s">
        <v>6773</v>
      </c>
      <c r="E2412" s="44"/>
      <c r="F2412" s="37">
        <v>2</v>
      </c>
      <c r="G2412" s="37" t="s">
        <v>6864</v>
      </c>
      <c r="H2412" s="63">
        <v>4147</v>
      </c>
    </row>
    <row r="2413" spans="1:8" ht="24.75" customHeight="1">
      <c r="A2413" s="44" t="s">
        <v>502</v>
      </c>
      <c r="B2413" s="45" t="s">
        <v>4504</v>
      </c>
      <c r="C2413" s="45" t="s">
        <v>6748</v>
      </c>
      <c r="D2413" s="45" t="s">
        <v>6774</v>
      </c>
      <c r="E2413" s="44"/>
      <c r="F2413" s="37">
        <v>1</v>
      </c>
      <c r="G2413" s="37" t="s">
        <v>6864</v>
      </c>
      <c r="H2413" s="63">
        <v>5391.1</v>
      </c>
    </row>
    <row r="2414" spans="1:8" ht="24.75" customHeight="1">
      <c r="A2414" s="44" t="s">
        <v>501</v>
      </c>
      <c r="B2414" s="45" t="s">
        <v>4503</v>
      </c>
      <c r="C2414" s="45" t="s">
        <v>6748</v>
      </c>
      <c r="D2414" s="45" t="s">
        <v>6774</v>
      </c>
      <c r="E2414" s="44"/>
      <c r="F2414" s="37">
        <v>1</v>
      </c>
      <c r="G2414" s="37" t="s">
        <v>6864</v>
      </c>
      <c r="H2414" s="63">
        <v>5391.1</v>
      </c>
    </row>
    <row r="2415" spans="1:8" ht="24.75" customHeight="1">
      <c r="A2415" s="44" t="s">
        <v>500</v>
      </c>
      <c r="B2415" s="45" t="s">
        <v>4502</v>
      </c>
      <c r="C2415" s="45" t="s">
        <v>6748</v>
      </c>
      <c r="D2415" s="45" t="s">
        <v>6774</v>
      </c>
      <c r="E2415" s="44"/>
      <c r="F2415" s="37">
        <v>1</v>
      </c>
      <c r="G2415" s="37" t="s">
        <v>6864</v>
      </c>
      <c r="H2415" s="63">
        <v>5391.1</v>
      </c>
    </row>
    <row r="2416" spans="1:8" ht="24.75" customHeight="1">
      <c r="A2416" s="44" t="s">
        <v>161</v>
      </c>
      <c r="B2416" s="45" t="s">
        <v>4501</v>
      </c>
      <c r="C2416" s="45" t="s">
        <v>6748</v>
      </c>
      <c r="D2416" s="45" t="s">
        <v>6774</v>
      </c>
      <c r="E2416" s="44"/>
      <c r="F2416" s="37">
        <v>1</v>
      </c>
      <c r="G2416" s="37" t="s">
        <v>6864</v>
      </c>
      <c r="H2416" s="63">
        <v>5391.1</v>
      </c>
    </row>
    <row r="2417" spans="1:8" ht="24.75" customHeight="1">
      <c r="A2417" s="44" t="s">
        <v>504</v>
      </c>
      <c r="B2417" s="45" t="s">
        <v>4506</v>
      </c>
      <c r="C2417" s="45" t="s">
        <v>6748</v>
      </c>
      <c r="D2417" s="45" t="s">
        <v>6774</v>
      </c>
      <c r="E2417" s="44"/>
      <c r="F2417" s="37">
        <v>1</v>
      </c>
      <c r="G2417" s="37" t="s">
        <v>6864</v>
      </c>
      <c r="H2417" s="63">
        <v>5391.1</v>
      </c>
    </row>
    <row r="2418" spans="1:8" ht="24.75" customHeight="1">
      <c r="A2418" s="44" t="s">
        <v>503</v>
      </c>
      <c r="B2418" s="45" t="s">
        <v>4505</v>
      </c>
      <c r="C2418" s="45" t="s">
        <v>6748</v>
      </c>
      <c r="D2418" s="45" t="s">
        <v>6774</v>
      </c>
      <c r="E2418" s="44"/>
      <c r="F2418" s="37">
        <v>1</v>
      </c>
      <c r="G2418" s="37" t="s">
        <v>6864</v>
      </c>
      <c r="H2418" s="63">
        <v>5391.1</v>
      </c>
    </row>
    <row r="2419" spans="1:8" ht="24.75" customHeight="1">
      <c r="A2419" s="44" t="s">
        <v>6880</v>
      </c>
      <c r="B2419" s="45" t="s">
        <v>6882</v>
      </c>
      <c r="C2419" s="45" t="s">
        <v>6748</v>
      </c>
      <c r="D2419" s="45" t="s">
        <v>6774</v>
      </c>
      <c r="E2419" s="44" t="s">
        <v>956</v>
      </c>
      <c r="F2419" s="37">
        <v>1</v>
      </c>
      <c r="G2419" s="37" t="s">
        <v>6864</v>
      </c>
      <c r="H2419" s="63">
        <v>138938.79999999999</v>
      </c>
    </row>
    <row r="2420" spans="1:8" ht="24.75" customHeight="1">
      <c r="A2420" s="44" t="s">
        <v>1622</v>
      </c>
      <c r="B2420" s="45" t="s">
        <v>5517</v>
      </c>
      <c r="C2420" s="45" t="s">
        <v>6748</v>
      </c>
      <c r="D2420" s="45" t="s">
        <v>6774</v>
      </c>
      <c r="E2420" s="44" t="s">
        <v>6839</v>
      </c>
      <c r="F2420" s="37">
        <v>1</v>
      </c>
      <c r="G2420" s="37" t="s">
        <v>6864</v>
      </c>
      <c r="H2420" s="63">
        <v>30473.3</v>
      </c>
    </row>
    <row r="2421" spans="1:8" ht="24.75" customHeight="1">
      <c r="A2421" s="44" t="s">
        <v>1118</v>
      </c>
      <c r="B2421" s="45" t="s">
        <v>5678</v>
      </c>
      <c r="C2421" s="45" t="s">
        <v>6748</v>
      </c>
      <c r="D2421" s="45" t="s">
        <v>6774</v>
      </c>
      <c r="E2421" s="44" t="s">
        <v>6839</v>
      </c>
      <c r="F2421" s="37">
        <v>1</v>
      </c>
      <c r="G2421" s="37" t="s">
        <v>6864</v>
      </c>
      <c r="H2421" s="63">
        <v>30416.1</v>
      </c>
    </row>
    <row r="2422" spans="1:8" ht="24.75" customHeight="1">
      <c r="A2422" s="44" t="s">
        <v>434</v>
      </c>
      <c r="B2422" s="45" t="s">
        <v>5183</v>
      </c>
      <c r="C2422" s="45" t="s">
        <v>6748</v>
      </c>
      <c r="D2422" s="45" t="s">
        <v>6774</v>
      </c>
      <c r="E2422" s="44" t="s">
        <v>6839</v>
      </c>
      <c r="F2422" s="37">
        <v>1</v>
      </c>
      <c r="G2422" s="37" t="s">
        <v>6864</v>
      </c>
      <c r="H2422" s="63">
        <v>28271.1</v>
      </c>
    </row>
    <row r="2423" spans="1:8" ht="24.75" customHeight="1">
      <c r="A2423" s="44" t="s">
        <v>1207</v>
      </c>
      <c r="B2423" s="45" t="s">
        <v>6072</v>
      </c>
      <c r="C2423" s="45" t="s">
        <v>6748</v>
      </c>
      <c r="D2423" s="45" t="s">
        <v>6774</v>
      </c>
      <c r="E2423" s="44" t="s">
        <v>6839</v>
      </c>
      <c r="F2423" s="37">
        <v>1</v>
      </c>
      <c r="G2423" s="37" t="s">
        <v>6864</v>
      </c>
      <c r="H2423" s="63">
        <v>49892.7</v>
      </c>
    </row>
    <row r="2424" spans="1:8" ht="24.75" customHeight="1">
      <c r="A2424" s="44" t="s">
        <v>811</v>
      </c>
      <c r="B2424" s="45" t="s">
        <v>5987</v>
      </c>
      <c r="C2424" s="45" t="s">
        <v>6748</v>
      </c>
      <c r="D2424" s="45" t="s">
        <v>6774</v>
      </c>
      <c r="E2424" s="44" t="s">
        <v>6839</v>
      </c>
      <c r="F2424" s="37">
        <v>1</v>
      </c>
      <c r="G2424" s="37" t="s">
        <v>6864</v>
      </c>
      <c r="H2424" s="63">
        <v>64378.6</v>
      </c>
    </row>
    <row r="2425" spans="1:8" ht="24.75" customHeight="1">
      <c r="A2425" s="44" t="s">
        <v>2787</v>
      </c>
      <c r="B2425" s="45" t="s">
        <v>5784</v>
      </c>
      <c r="C2425" s="45" t="s">
        <v>6748</v>
      </c>
      <c r="D2425" s="45" t="s">
        <v>6774</v>
      </c>
      <c r="E2425" s="44" t="s">
        <v>6839</v>
      </c>
      <c r="F2425" s="37">
        <v>1</v>
      </c>
      <c r="G2425" s="37" t="s">
        <v>6864</v>
      </c>
      <c r="H2425" s="63">
        <v>30830.799999999999</v>
      </c>
    </row>
    <row r="2426" spans="1:8" ht="24.75" customHeight="1">
      <c r="A2426" s="44" t="s">
        <v>2617</v>
      </c>
      <c r="B2426" s="45" t="s">
        <v>4509</v>
      </c>
      <c r="C2426" s="45" t="s">
        <v>6748</v>
      </c>
      <c r="D2426" s="45" t="s">
        <v>6774</v>
      </c>
      <c r="E2426" s="44" t="s">
        <v>6839</v>
      </c>
      <c r="F2426" s="37">
        <v>1</v>
      </c>
      <c r="G2426" s="37" t="s">
        <v>6864</v>
      </c>
      <c r="H2426" s="63">
        <v>35664.199999999997</v>
      </c>
    </row>
    <row r="2427" spans="1:8" ht="24.75" customHeight="1">
      <c r="A2427" s="44" t="s">
        <v>1867</v>
      </c>
      <c r="B2427" s="45" t="s">
        <v>5284</v>
      </c>
      <c r="C2427" s="45" t="s">
        <v>6748</v>
      </c>
      <c r="D2427" s="45" t="s">
        <v>6774</v>
      </c>
      <c r="E2427" s="44" t="s">
        <v>6855</v>
      </c>
      <c r="F2427" s="37">
        <v>1</v>
      </c>
      <c r="G2427" s="37" t="s">
        <v>6864</v>
      </c>
      <c r="H2427" s="63">
        <v>94051.1</v>
      </c>
    </row>
    <row r="2428" spans="1:8" ht="24.75" customHeight="1">
      <c r="A2428" s="44" t="s">
        <v>829</v>
      </c>
      <c r="B2428" s="45" t="s">
        <v>4734</v>
      </c>
      <c r="C2428" s="45" t="s">
        <v>6748</v>
      </c>
      <c r="D2428" s="45" t="s">
        <v>6774</v>
      </c>
      <c r="E2428" s="44" t="s">
        <v>6855</v>
      </c>
      <c r="F2428" s="37">
        <v>1</v>
      </c>
      <c r="G2428" s="37" t="s">
        <v>6864</v>
      </c>
      <c r="H2428" s="63">
        <v>27656.2</v>
      </c>
    </row>
    <row r="2429" spans="1:8" ht="24.75" customHeight="1">
      <c r="A2429" s="44" t="s">
        <v>2352</v>
      </c>
      <c r="B2429" s="45" t="s">
        <v>4510</v>
      </c>
      <c r="C2429" s="45" t="s">
        <v>6748</v>
      </c>
      <c r="D2429" s="45" t="s">
        <v>6774</v>
      </c>
      <c r="E2429" s="44" t="s">
        <v>6855</v>
      </c>
      <c r="F2429" s="37">
        <v>1</v>
      </c>
      <c r="G2429" s="37" t="s">
        <v>6864</v>
      </c>
      <c r="H2429" s="63">
        <v>25697.1</v>
      </c>
    </row>
    <row r="2430" spans="1:8" ht="24.75" customHeight="1">
      <c r="A2430" s="44" t="s">
        <v>53</v>
      </c>
      <c r="B2430" s="45" t="s">
        <v>4740</v>
      </c>
      <c r="C2430" s="45" t="s">
        <v>6748</v>
      </c>
      <c r="D2430" s="45" t="s">
        <v>6774</v>
      </c>
      <c r="E2430" s="44" t="s">
        <v>6855</v>
      </c>
      <c r="F2430" s="37">
        <v>1</v>
      </c>
      <c r="G2430" s="37" t="s">
        <v>6864</v>
      </c>
      <c r="H2430" s="63">
        <v>53181.7</v>
      </c>
    </row>
    <row r="2431" spans="1:8" ht="24.75" customHeight="1">
      <c r="A2431" s="44" t="s">
        <v>834</v>
      </c>
      <c r="B2431" s="45" t="s">
        <v>4739</v>
      </c>
      <c r="C2431" s="45" t="s">
        <v>6748</v>
      </c>
      <c r="D2431" s="45" t="s">
        <v>6774</v>
      </c>
      <c r="E2431" s="44" t="s">
        <v>6855</v>
      </c>
      <c r="F2431" s="37">
        <v>1</v>
      </c>
      <c r="G2431" s="37" t="s">
        <v>6864</v>
      </c>
      <c r="H2431" s="63">
        <v>30730.7</v>
      </c>
    </row>
    <row r="2432" spans="1:8" ht="24.75" customHeight="1">
      <c r="A2432" s="44" t="s">
        <v>831</v>
      </c>
      <c r="B2432" s="45" t="s">
        <v>4736</v>
      </c>
      <c r="C2432" s="45" t="s">
        <v>6748</v>
      </c>
      <c r="D2432" s="45" t="s">
        <v>6774</v>
      </c>
      <c r="E2432" s="44" t="s">
        <v>6855</v>
      </c>
      <c r="F2432" s="37">
        <v>1</v>
      </c>
      <c r="G2432" s="37" t="s">
        <v>6864</v>
      </c>
      <c r="H2432" s="63">
        <v>33519.199999999997</v>
      </c>
    </row>
    <row r="2433" spans="1:8" ht="24.75" customHeight="1">
      <c r="A2433" s="44" t="s">
        <v>830</v>
      </c>
      <c r="B2433" s="45" t="s">
        <v>4735</v>
      </c>
      <c r="C2433" s="45" t="s">
        <v>6748</v>
      </c>
      <c r="D2433" s="45" t="s">
        <v>6774</v>
      </c>
      <c r="E2433" s="44" t="s">
        <v>6855</v>
      </c>
      <c r="F2433" s="37">
        <v>1</v>
      </c>
      <c r="G2433" s="37" t="s">
        <v>6864</v>
      </c>
      <c r="H2433" s="63">
        <v>31574.400000000001</v>
      </c>
    </row>
    <row r="2434" spans="1:8" ht="24.75" customHeight="1">
      <c r="A2434" s="44" t="s">
        <v>832</v>
      </c>
      <c r="B2434" s="45" t="s">
        <v>4737</v>
      </c>
      <c r="C2434" s="45" t="s">
        <v>6748</v>
      </c>
      <c r="D2434" s="45" t="s">
        <v>6774</v>
      </c>
      <c r="E2434" s="44" t="s">
        <v>6855</v>
      </c>
      <c r="F2434" s="37">
        <v>1</v>
      </c>
      <c r="G2434" s="37" t="s">
        <v>6864</v>
      </c>
      <c r="H2434" s="63">
        <v>22350.9</v>
      </c>
    </row>
    <row r="2435" spans="1:8" ht="24.75" customHeight="1">
      <c r="A2435" s="44" t="s">
        <v>2968</v>
      </c>
      <c r="B2435" s="45" t="s">
        <v>4511</v>
      </c>
      <c r="C2435" s="45" t="s">
        <v>6748</v>
      </c>
      <c r="D2435" s="45" t="s">
        <v>6774</v>
      </c>
      <c r="E2435" s="44" t="s">
        <v>6855</v>
      </c>
      <c r="F2435" s="37">
        <v>1</v>
      </c>
      <c r="G2435" s="37" t="s">
        <v>6864</v>
      </c>
      <c r="H2435" s="63">
        <v>23480.6</v>
      </c>
    </row>
    <row r="2436" spans="1:8" ht="24.75" customHeight="1">
      <c r="A2436" s="44" t="s">
        <v>2403</v>
      </c>
      <c r="B2436" s="45" t="s">
        <v>4512</v>
      </c>
      <c r="C2436" s="45" t="s">
        <v>6748</v>
      </c>
      <c r="D2436" s="45" t="s">
        <v>6774</v>
      </c>
      <c r="E2436" s="44" t="s">
        <v>6855</v>
      </c>
      <c r="F2436" s="37">
        <v>1</v>
      </c>
      <c r="G2436" s="37" t="s">
        <v>6864</v>
      </c>
      <c r="H2436" s="63">
        <v>32003.4</v>
      </c>
    </row>
    <row r="2437" spans="1:8" ht="24.75" customHeight="1">
      <c r="A2437" s="44" t="s">
        <v>2265</v>
      </c>
      <c r="B2437" s="45" t="s">
        <v>5885</v>
      </c>
      <c r="C2437" s="45" t="s">
        <v>6748</v>
      </c>
      <c r="D2437" s="45" t="s">
        <v>6774</v>
      </c>
      <c r="E2437" s="44" t="s">
        <v>6855</v>
      </c>
      <c r="F2437" s="37">
        <v>1</v>
      </c>
      <c r="G2437" s="37" t="s">
        <v>6864</v>
      </c>
      <c r="H2437" s="63">
        <v>27398.799999999999</v>
      </c>
    </row>
    <row r="2438" spans="1:8" ht="24.75" customHeight="1">
      <c r="A2438" s="44" t="s">
        <v>2008</v>
      </c>
      <c r="B2438" s="45" t="s">
        <v>4507</v>
      </c>
      <c r="C2438" s="45" t="s">
        <v>6748</v>
      </c>
      <c r="D2438" s="45" t="s">
        <v>6774</v>
      </c>
      <c r="E2438" s="44" t="s">
        <v>6855</v>
      </c>
      <c r="F2438" s="37">
        <v>1</v>
      </c>
      <c r="G2438" s="37" t="s">
        <v>6864</v>
      </c>
      <c r="H2438" s="63">
        <v>23752.3</v>
      </c>
    </row>
    <row r="2439" spans="1:8" ht="24.75" customHeight="1">
      <c r="A2439" s="44" t="s">
        <v>55</v>
      </c>
      <c r="B2439" s="45" t="s">
        <v>4742</v>
      </c>
      <c r="C2439" s="45" t="s">
        <v>6748</v>
      </c>
      <c r="D2439" s="45" t="s">
        <v>6774</v>
      </c>
      <c r="E2439" s="44" t="s">
        <v>6855</v>
      </c>
      <c r="F2439" s="37">
        <v>1</v>
      </c>
      <c r="G2439" s="37" t="s">
        <v>6864</v>
      </c>
      <c r="H2439" s="63">
        <v>19548.099999999999</v>
      </c>
    </row>
    <row r="2440" spans="1:8" ht="24.75" customHeight="1">
      <c r="A2440" s="44" t="s">
        <v>2009</v>
      </c>
      <c r="B2440" s="45" t="s">
        <v>4508</v>
      </c>
      <c r="C2440" s="45" t="s">
        <v>6748</v>
      </c>
      <c r="D2440" s="45" t="s">
        <v>6774</v>
      </c>
      <c r="E2440" s="44" t="s">
        <v>6855</v>
      </c>
      <c r="F2440" s="37">
        <v>1</v>
      </c>
      <c r="G2440" s="37" t="s">
        <v>6864</v>
      </c>
      <c r="H2440" s="63">
        <v>23752.3</v>
      </c>
    </row>
    <row r="2441" spans="1:8" ht="24.75" customHeight="1">
      <c r="A2441" s="44" t="s">
        <v>833</v>
      </c>
      <c r="B2441" s="45" t="s">
        <v>4738</v>
      </c>
      <c r="C2441" s="45" t="s">
        <v>6748</v>
      </c>
      <c r="D2441" s="45" t="s">
        <v>6774</v>
      </c>
      <c r="E2441" s="44" t="s">
        <v>6855</v>
      </c>
      <c r="F2441" s="37">
        <v>1</v>
      </c>
      <c r="G2441" s="37" t="s">
        <v>6864</v>
      </c>
      <c r="H2441" s="63">
        <v>38824.5</v>
      </c>
    </row>
    <row r="2442" spans="1:8" ht="24.75" customHeight="1">
      <c r="A2442" s="44" t="s">
        <v>1481</v>
      </c>
      <c r="B2442" s="45" t="s">
        <v>5053</v>
      </c>
      <c r="C2442" s="45" t="s">
        <v>6748</v>
      </c>
      <c r="D2442" s="45" t="s">
        <v>6774</v>
      </c>
      <c r="E2442" s="44" t="s">
        <v>6855</v>
      </c>
      <c r="F2442" s="37">
        <v>1</v>
      </c>
      <c r="G2442" s="37" t="s">
        <v>6864</v>
      </c>
      <c r="H2442" s="63">
        <v>62734.1</v>
      </c>
    </row>
    <row r="2443" spans="1:8" ht="24.75" customHeight="1">
      <c r="A2443" s="44" t="s">
        <v>69</v>
      </c>
      <c r="B2443" s="45" t="s">
        <v>4938</v>
      </c>
      <c r="C2443" s="45" t="s">
        <v>6748</v>
      </c>
      <c r="D2443" s="45" t="s">
        <v>6774</v>
      </c>
      <c r="E2443" s="44" t="s">
        <v>6855</v>
      </c>
      <c r="F2443" s="37">
        <v>1</v>
      </c>
      <c r="G2443" s="37" t="s">
        <v>6864</v>
      </c>
      <c r="H2443" s="63">
        <v>62734.1</v>
      </c>
    </row>
    <row r="2444" spans="1:8" ht="24.75" customHeight="1">
      <c r="A2444" s="44" t="s">
        <v>1851</v>
      </c>
      <c r="B2444" s="45" t="s">
        <v>5268</v>
      </c>
      <c r="C2444" s="45" t="s">
        <v>6748</v>
      </c>
      <c r="D2444" s="45" t="s">
        <v>6774</v>
      </c>
      <c r="E2444" s="44" t="s">
        <v>6855</v>
      </c>
      <c r="F2444" s="37">
        <v>1</v>
      </c>
      <c r="G2444" s="37" t="s">
        <v>6864</v>
      </c>
      <c r="H2444" s="63">
        <v>109881.2</v>
      </c>
    </row>
    <row r="2445" spans="1:8" ht="24.75" customHeight="1">
      <c r="A2445" s="44" t="s">
        <v>2069</v>
      </c>
      <c r="B2445" s="45" t="s">
        <v>5309</v>
      </c>
      <c r="C2445" s="45" t="s">
        <v>6748</v>
      </c>
      <c r="D2445" s="45" t="s">
        <v>6774</v>
      </c>
      <c r="E2445" s="44" t="s">
        <v>6855</v>
      </c>
      <c r="F2445" s="37">
        <v>1</v>
      </c>
      <c r="G2445" s="37" t="s">
        <v>6864</v>
      </c>
      <c r="H2445" s="63">
        <v>124152.6</v>
      </c>
    </row>
    <row r="2446" spans="1:8" ht="24.75" customHeight="1">
      <c r="A2446" s="44" t="s">
        <v>54</v>
      </c>
      <c r="B2446" s="45" t="s">
        <v>4741</v>
      </c>
      <c r="C2446" s="45" t="s">
        <v>6748</v>
      </c>
      <c r="D2446" s="45" t="s">
        <v>6774</v>
      </c>
      <c r="E2446" s="44" t="s">
        <v>6855</v>
      </c>
      <c r="F2446" s="37">
        <v>1</v>
      </c>
      <c r="G2446" s="37" t="s">
        <v>6864</v>
      </c>
      <c r="H2446" s="63">
        <v>86057.4</v>
      </c>
    </row>
    <row r="2447" spans="1:8" ht="24.75" customHeight="1">
      <c r="A2447" s="44" t="s">
        <v>92</v>
      </c>
      <c r="B2447" s="45" t="s">
        <v>4744</v>
      </c>
      <c r="C2447" s="45" t="s">
        <v>6748</v>
      </c>
      <c r="D2447" s="45" t="s">
        <v>6775</v>
      </c>
      <c r="E2447" s="44" t="s">
        <v>956</v>
      </c>
      <c r="F2447" s="37">
        <v>1</v>
      </c>
      <c r="G2447" s="37" t="s">
        <v>6864</v>
      </c>
      <c r="H2447" s="63">
        <v>6249.1</v>
      </c>
    </row>
    <row r="2448" spans="1:8" ht="24.75" customHeight="1">
      <c r="A2448" s="44" t="s">
        <v>93</v>
      </c>
      <c r="B2448" s="45" t="s">
        <v>4745</v>
      </c>
      <c r="C2448" s="45" t="s">
        <v>6748</v>
      </c>
      <c r="D2448" s="45" t="s">
        <v>6775</v>
      </c>
      <c r="E2448" s="44" t="s">
        <v>956</v>
      </c>
      <c r="F2448" s="37">
        <v>1</v>
      </c>
      <c r="G2448" s="37" t="s">
        <v>6864</v>
      </c>
      <c r="H2448" s="63">
        <v>1687.4</v>
      </c>
    </row>
    <row r="2449" spans="1:8" ht="24.75" customHeight="1">
      <c r="A2449" s="44" t="s">
        <v>1631</v>
      </c>
      <c r="B2449" s="45" t="s">
        <v>5527</v>
      </c>
      <c r="C2449" s="45" t="s">
        <v>6748</v>
      </c>
      <c r="D2449" s="45" t="s">
        <v>6775</v>
      </c>
      <c r="E2449" s="44" t="s">
        <v>6839</v>
      </c>
      <c r="F2449" s="37">
        <v>1</v>
      </c>
      <c r="G2449" s="37" t="s">
        <v>6864</v>
      </c>
      <c r="H2449" s="63">
        <v>10467.6</v>
      </c>
    </row>
    <row r="2450" spans="1:8" ht="24.75" customHeight="1">
      <c r="A2450" s="44" t="s">
        <v>855</v>
      </c>
      <c r="B2450" s="45" t="s">
        <v>5600</v>
      </c>
      <c r="C2450" s="45" t="s">
        <v>6748</v>
      </c>
      <c r="D2450" s="45" t="s">
        <v>6775</v>
      </c>
      <c r="E2450" s="44" t="s">
        <v>6839</v>
      </c>
      <c r="F2450" s="37">
        <v>1</v>
      </c>
      <c r="G2450" s="37" t="s">
        <v>6864</v>
      </c>
      <c r="H2450" s="63">
        <v>1873.3</v>
      </c>
    </row>
    <row r="2451" spans="1:8" ht="24.75" customHeight="1">
      <c r="A2451" s="44" t="s">
        <v>681</v>
      </c>
      <c r="B2451" s="45" t="s">
        <v>5715</v>
      </c>
      <c r="C2451" s="45" t="s">
        <v>6748</v>
      </c>
      <c r="D2451" s="45" t="s">
        <v>6775</v>
      </c>
      <c r="E2451" s="44" t="s">
        <v>6839</v>
      </c>
      <c r="F2451" s="37">
        <v>1</v>
      </c>
      <c r="G2451" s="37" t="s">
        <v>6864</v>
      </c>
      <c r="H2451" s="63">
        <v>2187.9</v>
      </c>
    </row>
    <row r="2452" spans="1:8" ht="24.75" customHeight="1">
      <c r="A2452" s="44" t="s">
        <v>1477</v>
      </c>
      <c r="B2452" s="45" t="s">
        <v>5047</v>
      </c>
      <c r="C2452" s="45" t="s">
        <v>6748</v>
      </c>
      <c r="D2452" s="45" t="s">
        <v>6775</v>
      </c>
      <c r="E2452" s="44" t="s">
        <v>956</v>
      </c>
      <c r="F2452" s="37">
        <v>1</v>
      </c>
      <c r="G2452" s="37" t="s">
        <v>6864</v>
      </c>
      <c r="H2452" s="63">
        <v>12884.3</v>
      </c>
    </row>
    <row r="2453" spans="1:8" ht="24.75" customHeight="1">
      <c r="A2453" s="44" t="s">
        <v>91</v>
      </c>
      <c r="B2453" s="45" t="s">
        <v>4743</v>
      </c>
      <c r="C2453" s="45" t="s">
        <v>6748</v>
      </c>
      <c r="D2453" s="45" t="s">
        <v>6775</v>
      </c>
      <c r="E2453" s="44" t="s">
        <v>956</v>
      </c>
      <c r="F2453" s="37">
        <v>1</v>
      </c>
      <c r="G2453" s="37" t="s">
        <v>6864</v>
      </c>
      <c r="H2453" s="63">
        <v>4461.6000000000004</v>
      </c>
    </row>
    <row r="2454" spans="1:8" ht="24.75" customHeight="1">
      <c r="A2454" s="44" t="s">
        <v>94</v>
      </c>
      <c r="B2454" s="45" t="s">
        <v>4746</v>
      </c>
      <c r="C2454" s="45" t="s">
        <v>6748</v>
      </c>
      <c r="D2454" s="45" t="s">
        <v>6775</v>
      </c>
      <c r="E2454" s="44" t="s">
        <v>956</v>
      </c>
      <c r="F2454" s="37">
        <v>1</v>
      </c>
      <c r="G2454" s="37" t="s">
        <v>6864</v>
      </c>
      <c r="H2454" s="63">
        <v>6692.4</v>
      </c>
    </row>
    <row r="2455" spans="1:8" ht="24.75" customHeight="1">
      <c r="A2455" s="44" t="s">
        <v>95</v>
      </c>
      <c r="B2455" s="45" t="s">
        <v>4747</v>
      </c>
      <c r="C2455" s="45" t="s">
        <v>6748</v>
      </c>
      <c r="D2455" s="45" t="s">
        <v>6775</v>
      </c>
      <c r="E2455" s="44" t="s">
        <v>956</v>
      </c>
      <c r="F2455" s="37">
        <v>1</v>
      </c>
      <c r="G2455" s="37" t="s">
        <v>6864</v>
      </c>
      <c r="H2455" s="63">
        <v>8751.6</v>
      </c>
    </row>
    <row r="2456" spans="1:8" ht="24.75" customHeight="1">
      <c r="A2456" s="44" t="s">
        <v>882</v>
      </c>
      <c r="B2456" s="45" t="s">
        <v>6013</v>
      </c>
      <c r="C2456" s="45" t="s">
        <v>6748</v>
      </c>
      <c r="D2456" s="45" t="s">
        <v>6775</v>
      </c>
      <c r="E2456" s="44" t="s">
        <v>6839</v>
      </c>
      <c r="F2456" s="37">
        <v>1</v>
      </c>
      <c r="G2456" s="37" t="s">
        <v>6864</v>
      </c>
      <c r="H2456" s="63">
        <v>14114.1</v>
      </c>
    </row>
    <row r="2457" spans="1:8" ht="24.75" customHeight="1">
      <c r="A2457" s="44" t="s">
        <v>1538</v>
      </c>
      <c r="B2457" s="45" t="s">
        <v>4777</v>
      </c>
      <c r="C2457" s="45" t="s">
        <v>6748</v>
      </c>
      <c r="D2457" s="45" t="s">
        <v>6776</v>
      </c>
      <c r="E2457" s="44" t="s">
        <v>956</v>
      </c>
      <c r="F2457" s="37">
        <v>50</v>
      </c>
      <c r="G2457" s="37" t="s">
        <v>6864</v>
      </c>
      <c r="H2457" s="63">
        <v>157.30000000000001</v>
      </c>
    </row>
    <row r="2458" spans="1:8" ht="24.75" customHeight="1">
      <c r="A2458" s="44" t="s">
        <v>1529</v>
      </c>
      <c r="B2458" s="45" t="s">
        <v>4768</v>
      </c>
      <c r="C2458" s="45" t="s">
        <v>6748</v>
      </c>
      <c r="D2458" s="45" t="s">
        <v>6776</v>
      </c>
      <c r="E2458" s="44" t="s">
        <v>956</v>
      </c>
      <c r="F2458" s="37">
        <v>50</v>
      </c>
      <c r="G2458" s="37" t="s">
        <v>6864</v>
      </c>
      <c r="H2458" s="63">
        <v>200.2</v>
      </c>
    </row>
    <row r="2459" spans="1:8" ht="24.75" customHeight="1">
      <c r="A2459" s="44" t="s">
        <v>1824</v>
      </c>
      <c r="B2459" s="45" t="s">
        <v>4768</v>
      </c>
      <c r="C2459" s="45" t="s">
        <v>6748</v>
      </c>
      <c r="D2459" s="45" t="s">
        <v>6776</v>
      </c>
      <c r="E2459" s="44" t="s">
        <v>956</v>
      </c>
      <c r="F2459" s="37">
        <v>50</v>
      </c>
      <c r="G2459" s="37" t="s">
        <v>6864</v>
      </c>
      <c r="H2459" s="63">
        <v>171.6</v>
      </c>
    </row>
    <row r="2460" spans="1:8" ht="24.75" customHeight="1">
      <c r="A2460" s="44" t="s">
        <v>1537</v>
      </c>
      <c r="B2460" s="45" t="s">
        <v>4776</v>
      </c>
      <c r="C2460" s="45" t="s">
        <v>6748</v>
      </c>
      <c r="D2460" s="45" t="s">
        <v>6776</v>
      </c>
      <c r="E2460" s="44" t="s">
        <v>956</v>
      </c>
      <c r="F2460" s="37">
        <v>50</v>
      </c>
      <c r="G2460" s="37" t="s">
        <v>6864</v>
      </c>
      <c r="H2460" s="63">
        <v>214.5</v>
      </c>
    </row>
    <row r="2461" spans="1:8" ht="24.75" customHeight="1">
      <c r="A2461" s="44" t="s">
        <v>1536</v>
      </c>
      <c r="B2461" s="45" t="s">
        <v>4775</v>
      </c>
      <c r="C2461" s="45" t="s">
        <v>6748</v>
      </c>
      <c r="D2461" s="45" t="s">
        <v>6776</v>
      </c>
      <c r="E2461" s="44" t="s">
        <v>956</v>
      </c>
      <c r="F2461" s="37">
        <v>50</v>
      </c>
      <c r="G2461" s="37" t="s">
        <v>6864</v>
      </c>
      <c r="H2461" s="63">
        <v>243.1</v>
      </c>
    </row>
    <row r="2462" spans="1:8" ht="24.75" customHeight="1">
      <c r="A2462" s="44" t="s">
        <v>1534</v>
      </c>
      <c r="B2462" s="45" t="s">
        <v>4773</v>
      </c>
      <c r="C2462" s="45" t="s">
        <v>6748</v>
      </c>
      <c r="D2462" s="45" t="s">
        <v>6776</v>
      </c>
      <c r="E2462" s="44" t="s">
        <v>956</v>
      </c>
      <c r="F2462" s="37">
        <v>50</v>
      </c>
      <c r="G2462" s="37" t="s">
        <v>6864</v>
      </c>
      <c r="H2462" s="63">
        <v>271.7</v>
      </c>
    </row>
    <row r="2463" spans="1:8" ht="24.75" customHeight="1">
      <c r="A2463" s="44" t="s">
        <v>1535</v>
      </c>
      <c r="B2463" s="45" t="s">
        <v>4774</v>
      </c>
      <c r="C2463" s="45" t="s">
        <v>6748</v>
      </c>
      <c r="D2463" s="45" t="s">
        <v>6776</v>
      </c>
      <c r="E2463" s="44" t="s">
        <v>956</v>
      </c>
      <c r="F2463" s="37">
        <v>20</v>
      </c>
      <c r="G2463" s="37" t="s">
        <v>6864</v>
      </c>
      <c r="H2463" s="63">
        <v>386.1</v>
      </c>
    </row>
    <row r="2464" spans="1:8" ht="24.75" customHeight="1">
      <c r="A2464" s="44" t="s">
        <v>1549</v>
      </c>
      <c r="B2464" s="45" t="s">
        <v>4788</v>
      </c>
      <c r="C2464" s="45" t="s">
        <v>6748</v>
      </c>
      <c r="D2464" s="45" t="s">
        <v>6776</v>
      </c>
      <c r="E2464" s="44" t="s">
        <v>956</v>
      </c>
      <c r="F2464" s="37">
        <v>25</v>
      </c>
      <c r="G2464" s="37" t="s">
        <v>6864</v>
      </c>
      <c r="H2464" s="63">
        <v>386.1</v>
      </c>
    </row>
    <row r="2465" spans="1:8" ht="24.75" customHeight="1">
      <c r="A2465" s="44" t="s">
        <v>1548</v>
      </c>
      <c r="B2465" s="45" t="s">
        <v>4787</v>
      </c>
      <c r="C2465" s="45" t="s">
        <v>6748</v>
      </c>
      <c r="D2465" s="45" t="s">
        <v>6776</v>
      </c>
      <c r="E2465" s="44" t="s">
        <v>956</v>
      </c>
      <c r="F2465" s="37">
        <v>25</v>
      </c>
      <c r="G2465" s="37" t="s">
        <v>6864</v>
      </c>
      <c r="H2465" s="63">
        <v>257.39999999999998</v>
      </c>
    </row>
    <row r="2466" spans="1:8" ht="24.75" customHeight="1">
      <c r="A2466" s="44" t="s">
        <v>1545</v>
      </c>
      <c r="B2466" s="45" t="s">
        <v>4784</v>
      </c>
      <c r="C2466" s="45" t="s">
        <v>6748</v>
      </c>
      <c r="D2466" s="45" t="s">
        <v>6776</v>
      </c>
      <c r="E2466" s="44" t="s">
        <v>956</v>
      </c>
      <c r="F2466" s="37">
        <v>25</v>
      </c>
      <c r="G2466" s="37" t="s">
        <v>6864</v>
      </c>
      <c r="H2466" s="63">
        <v>829.4</v>
      </c>
    </row>
    <row r="2467" spans="1:8" ht="24.75" customHeight="1">
      <c r="A2467" s="44" t="s">
        <v>1544</v>
      </c>
      <c r="B2467" s="45" t="s">
        <v>4783</v>
      </c>
      <c r="C2467" s="45" t="s">
        <v>6748</v>
      </c>
      <c r="D2467" s="45" t="s">
        <v>6776</v>
      </c>
      <c r="E2467" s="44" t="s">
        <v>956</v>
      </c>
      <c r="F2467" s="37">
        <v>25</v>
      </c>
      <c r="G2467" s="37" t="s">
        <v>6864</v>
      </c>
      <c r="H2467" s="63">
        <v>243.1</v>
      </c>
    </row>
    <row r="2468" spans="1:8" ht="24.75" customHeight="1">
      <c r="A2468" s="44" t="s">
        <v>1547</v>
      </c>
      <c r="B2468" s="45" t="s">
        <v>4786</v>
      </c>
      <c r="C2468" s="45" t="s">
        <v>6748</v>
      </c>
      <c r="D2468" s="45" t="s">
        <v>6776</v>
      </c>
      <c r="E2468" s="44" t="s">
        <v>956</v>
      </c>
      <c r="F2468" s="37">
        <v>25</v>
      </c>
      <c r="G2468" s="37" t="s">
        <v>6864</v>
      </c>
      <c r="H2468" s="63">
        <v>471.9</v>
      </c>
    </row>
    <row r="2469" spans="1:8" ht="24.75" customHeight="1">
      <c r="A2469" s="44" t="s">
        <v>1550</v>
      </c>
      <c r="B2469" s="45" t="s">
        <v>4789</v>
      </c>
      <c r="C2469" s="45" t="s">
        <v>6748</v>
      </c>
      <c r="D2469" s="45" t="s">
        <v>6776</v>
      </c>
      <c r="E2469" s="44" t="s">
        <v>956</v>
      </c>
      <c r="F2469" s="37">
        <v>50</v>
      </c>
      <c r="G2469" s="37" t="s">
        <v>6864</v>
      </c>
      <c r="H2469" s="63">
        <v>57.2</v>
      </c>
    </row>
    <row r="2470" spans="1:8" ht="24.75" customHeight="1">
      <c r="A2470" s="44" t="s">
        <v>1539</v>
      </c>
      <c r="B2470" s="45" t="s">
        <v>4778</v>
      </c>
      <c r="C2470" s="45" t="s">
        <v>6748</v>
      </c>
      <c r="D2470" s="45" t="s">
        <v>6776</v>
      </c>
      <c r="E2470" s="44" t="s">
        <v>956</v>
      </c>
      <c r="F2470" s="37">
        <v>50</v>
      </c>
      <c r="G2470" s="37" t="s">
        <v>6864</v>
      </c>
      <c r="H2470" s="63">
        <v>85.8</v>
      </c>
    </row>
    <row r="2471" spans="1:8" ht="24.75" customHeight="1">
      <c r="A2471" s="44" t="s">
        <v>1532</v>
      </c>
      <c r="B2471" s="45" t="s">
        <v>4771</v>
      </c>
      <c r="C2471" s="45" t="s">
        <v>6748</v>
      </c>
      <c r="D2471" s="45" t="s">
        <v>6776</v>
      </c>
      <c r="E2471" s="44" t="s">
        <v>956</v>
      </c>
      <c r="F2471" s="37">
        <v>50</v>
      </c>
      <c r="G2471" s="37" t="s">
        <v>6864</v>
      </c>
      <c r="H2471" s="63">
        <v>71.5</v>
      </c>
    </row>
    <row r="2472" spans="1:8" ht="24.75" customHeight="1">
      <c r="A2472" s="44" t="s">
        <v>1541</v>
      </c>
      <c r="B2472" s="45" t="s">
        <v>4780</v>
      </c>
      <c r="C2472" s="45" t="s">
        <v>6748</v>
      </c>
      <c r="D2472" s="45" t="s">
        <v>6776</v>
      </c>
      <c r="E2472" s="44" t="s">
        <v>956</v>
      </c>
      <c r="F2472" s="37">
        <v>50</v>
      </c>
      <c r="G2472" s="37" t="s">
        <v>6864</v>
      </c>
      <c r="H2472" s="63">
        <v>71.5</v>
      </c>
    </row>
    <row r="2473" spans="1:8" ht="24.75" customHeight="1">
      <c r="A2473" s="44" t="s">
        <v>1543</v>
      </c>
      <c r="B2473" s="45" t="s">
        <v>4782</v>
      </c>
      <c r="C2473" s="45" t="s">
        <v>6748</v>
      </c>
      <c r="D2473" s="45" t="s">
        <v>6776</v>
      </c>
      <c r="E2473" s="44" t="s">
        <v>956</v>
      </c>
      <c r="F2473" s="37">
        <v>50</v>
      </c>
      <c r="G2473" s="37" t="s">
        <v>6864</v>
      </c>
      <c r="H2473" s="63">
        <v>85.8</v>
      </c>
    </row>
    <row r="2474" spans="1:8" ht="24.75" customHeight="1">
      <c r="A2474" s="44" t="s">
        <v>1540</v>
      </c>
      <c r="B2474" s="45" t="s">
        <v>4779</v>
      </c>
      <c r="C2474" s="45" t="s">
        <v>6748</v>
      </c>
      <c r="D2474" s="45" t="s">
        <v>6776</v>
      </c>
      <c r="E2474" s="44" t="s">
        <v>956</v>
      </c>
      <c r="F2474" s="37">
        <v>50</v>
      </c>
      <c r="G2474" s="37" t="s">
        <v>6864</v>
      </c>
      <c r="H2474" s="63">
        <v>100.1</v>
      </c>
    </row>
    <row r="2475" spans="1:8" ht="24.75" customHeight="1">
      <c r="A2475" s="44" t="s">
        <v>1533</v>
      </c>
      <c r="B2475" s="45" t="s">
        <v>4772</v>
      </c>
      <c r="C2475" s="45" t="s">
        <v>6748</v>
      </c>
      <c r="D2475" s="45" t="s">
        <v>6776</v>
      </c>
      <c r="E2475" s="44" t="s">
        <v>956</v>
      </c>
      <c r="F2475" s="37">
        <v>50</v>
      </c>
      <c r="G2475" s="37" t="s">
        <v>6864</v>
      </c>
      <c r="H2475" s="63">
        <v>100.1</v>
      </c>
    </row>
    <row r="2476" spans="1:8" ht="24.75" customHeight="1">
      <c r="A2476" s="44" t="s">
        <v>1542</v>
      </c>
      <c r="B2476" s="45" t="s">
        <v>4781</v>
      </c>
      <c r="C2476" s="45" t="s">
        <v>6748</v>
      </c>
      <c r="D2476" s="45" t="s">
        <v>6776</v>
      </c>
      <c r="E2476" s="44" t="s">
        <v>956</v>
      </c>
      <c r="F2476" s="37">
        <v>50</v>
      </c>
      <c r="G2476" s="37" t="s">
        <v>6864</v>
      </c>
      <c r="H2476" s="63">
        <v>171.6</v>
      </c>
    </row>
    <row r="2477" spans="1:8" ht="24.75" customHeight="1">
      <c r="A2477" s="44" t="s">
        <v>1530</v>
      </c>
      <c r="B2477" s="45" t="s">
        <v>4769</v>
      </c>
      <c r="C2477" s="45" t="s">
        <v>6748</v>
      </c>
      <c r="D2477" s="45" t="s">
        <v>6776</v>
      </c>
      <c r="E2477" s="44" t="s">
        <v>956</v>
      </c>
      <c r="F2477" s="37">
        <v>50</v>
      </c>
      <c r="G2477" s="37" t="s">
        <v>6864</v>
      </c>
      <c r="H2477" s="63">
        <v>214.5</v>
      </c>
    </row>
    <row r="2478" spans="1:8" ht="24.75" customHeight="1">
      <c r="A2478" s="44" t="s">
        <v>1531</v>
      </c>
      <c r="B2478" s="45" t="s">
        <v>4770</v>
      </c>
      <c r="C2478" s="45" t="s">
        <v>6748</v>
      </c>
      <c r="D2478" s="45" t="s">
        <v>6776</v>
      </c>
      <c r="E2478" s="44" t="s">
        <v>956</v>
      </c>
      <c r="F2478" s="37">
        <v>50</v>
      </c>
      <c r="G2478" s="37" t="s">
        <v>6864</v>
      </c>
      <c r="H2478" s="63">
        <v>243.1</v>
      </c>
    </row>
    <row r="2479" spans="1:8" ht="24.75" customHeight="1">
      <c r="A2479" s="44" t="s">
        <v>1546</v>
      </c>
      <c r="B2479" s="45" t="s">
        <v>4785</v>
      </c>
      <c r="C2479" s="45" t="s">
        <v>6748</v>
      </c>
      <c r="D2479" s="45" t="s">
        <v>6776</v>
      </c>
      <c r="E2479" s="44" t="s">
        <v>956</v>
      </c>
      <c r="F2479" s="37">
        <v>25</v>
      </c>
      <c r="G2479" s="37" t="s">
        <v>6864</v>
      </c>
      <c r="H2479" s="63">
        <v>386.1</v>
      </c>
    </row>
    <row r="2480" spans="1:8" ht="24.75" customHeight="1">
      <c r="A2480" s="44" t="s">
        <v>1160</v>
      </c>
      <c r="B2480" s="45" t="s">
        <v>4799</v>
      </c>
      <c r="C2480" s="45" t="s">
        <v>6748</v>
      </c>
      <c r="D2480" s="45" t="s">
        <v>6776</v>
      </c>
      <c r="E2480" s="44"/>
      <c r="F2480" s="37">
        <v>50</v>
      </c>
      <c r="G2480" s="37" t="s">
        <v>6864</v>
      </c>
      <c r="H2480" s="63">
        <v>214.5</v>
      </c>
    </row>
    <row r="2481" spans="1:8" ht="24.75" customHeight="1">
      <c r="A2481" s="44" t="s">
        <v>1556</v>
      </c>
      <c r="B2481" s="45" t="s">
        <v>4795</v>
      </c>
      <c r="C2481" s="45" t="s">
        <v>6748</v>
      </c>
      <c r="D2481" s="45" t="s">
        <v>6776</v>
      </c>
      <c r="E2481" s="44" t="s">
        <v>956</v>
      </c>
      <c r="F2481" s="37">
        <v>50</v>
      </c>
      <c r="G2481" s="37" t="s">
        <v>6864</v>
      </c>
      <c r="H2481" s="63">
        <v>343.2</v>
      </c>
    </row>
    <row r="2482" spans="1:8" ht="24.75" customHeight="1">
      <c r="A2482" s="44" t="s">
        <v>1554</v>
      </c>
      <c r="B2482" s="45" t="s">
        <v>4793</v>
      </c>
      <c r="C2482" s="45" t="s">
        <v>6748</v>
      </c>
      <c r="D2482" s="45" t="s">
        <v>6776</v>
      </c>
      <c r="E2482" s="44" t="s">
        <v>956</v>
      </c>
      <c r="F2482" s="37">
        <v>50</v>
      </c>
      <c r="G2482" s="37" t="s">
        <v>6864</v>
      </c>
      <c r="H2482" s="63">
        <v>200.2</v>
      </c>
    </row>
    <row r="2483" spans="1:8" ht="24.75" customHeight="1">
      <c r="A2483" s="44" t="s">
        <v>1555</v>
      </c>
      <c r="B2483" s="45" t="s">
        <v>4794</v>
      </c>
      <c r="C2483" s="45" t="s">
        <v>6748</v>
      </c>
      <c r="D2483" s="45" t="s">
        <v>6776</v>
      </c>
      <c r="E2483" s="44" t="s">
        <v>956</v>
      </c>
      <c r="F2483" s="37">
        <v>50</v>
      </c>
      <c r="G2483" s="37" t="s">
        <v>6864</v>
      </c>
      <c r="H2483" s="63">
        <v>271.7</v>
      </c>
    </row>
    <row r="2484" spans="1:8" ht="24.75" customHeight="1">
      <c r="A2484" s="44" t="s">
        <v>1264</v>
      </c>
      <c r="B2484" s="45" t="s">
        <v>4932</v>
      </c>
      <c r="C2484" s="45" t="s">
        <v>6748</v>
      </c>
      <c r="D2484" s="45" t="s">
        <v>6777</v>
      </c>
      <c r="E2484" s="44" t="s">
        <v>6839</v>
      </c>
      <c r="F2484" s="37">
        <v>20</v>
      </c>
      <c r="G2484" s="37" t="s">
        <v>2568</v>
      </c>
      <c r="H2484" s="63">
        <v>1744.6</v>
      </c>
    </row>
    <row r="2485" spans="1:8" ht="24.75" customHeight="1">
      <c r="A2485" s="44" t="s">
        <v>905</v>
      </c>
      <c r="B2485" s="45" t="s">
        <v>4763</v>
      </c>
      <c r="C2485" s="45" t="s">
        <v>6748</v>
      </c>
      <c r="D2485" s="45" t="s">
        <v>6777</v>
      </c>
      <c r="E2485" s="44" t="s">
        <v>6837</v>
      </c>
      <c r="F2485" s="37">
        <v>1</v>
      </c>
      <c r="G2485" s="37" t="s">
        <v>6864</v>
      </c>
      <c r="H2485" s="63">
        <v>5591.3</v>
      </c>
    </row>
    <row r="2486" spans="1:8" ht="24.75" customHeight="1">
      <c r="A2486" s="44" t="s">
        <v>906</v>
      </c>
      <c r="B2486" s="45" t="s">
        <v>4764</v>
      </c>
      <c r="C2486" s="45" t="s">
        <v>6748</v>
      </c>
      <c r="D2486" s="45" t="s">
        <v>6777</v>
      </c>
      <c r="E2486" s="44" t="s">
        <v>6837</v>
      </c>
      <c r="F2486" s="37">
        <v>1</v>
      </c>
      <c r="G2486" s="37" t="s">
        <v>6864</v>
      </c>
      <c r="H2486" s="63">
        <v>5591.3</v>
      </c>
    </row>
    <row r="2487" spans="1:8" ht="24.75" customHeight="1">
      <c r="A2487" s="44" t="s">
        <v>907</v>
      </c>
      <c r="B2487" s="45" t="s">
        <v>4765</v>
      </c>
      <c r="C2487" s="45" t="s">
        <v>6748</v>
      </c>
      <c r="D2487" s="45" t="s">
        <v>6777</v>
      </c>
      <c r="E2487" s="44" t="s">
        <v>6837</v>
      </c>
      <c r="F2487" s="37">
        <v>1</v>
      </c>
      <c r="G2487" s="37" t="s">
        <v>6864</v>
      </c>
      <c r="H2487" s="63">
        <v>5591.3</v>
      </c>
    </row>
    <row r="2488" spans="1:8" ht="24.75" customHeight="1">
      <c r="A2488" s="44" t="s">
        <v>1156</v>
      </c>
      <c r="B2488" s="45" t="s">
        <v>4766</v>
      </c>
      <c r="C2488" s="45" t="s">
        <v>6748</v>
      </c>
      <c r="D2488" s="45" t="s">
        <v>6777</v>
      </c>
      <c r="E2488" s="44" t="s">
        <v>6837</v>
      </c>
      <c r="F2488" s="37">
        <v>1</v>
      </c>
      <c r="G2488" s="37" t="s">
        <v>6864</v>
      </c>
      <c r="H2488" s="63">
        <v>5591.3</v>
      </c>
    </row>
    <row r="2489" spans="1:8" ht="24.75" customHeight="1">
      <c r="A2489" s="44" t="s">
        <v>1157</v>
      </c>
      <c r="B2489" s="45" t="s">
        <v>4767</v>
      </c>
      <c r="C2489" s="45" t="s">
        <v>6748</v>
      </c>
      <c r="D2489" s="45" t="s">
        <v>6777</v>
      </c>
      <c r="E2489" s="44" t="s">
        <v>6837</v>
      </c>
      <c r="F2489" s="37">
        <v>1</v>
      </c>
      <c r="G2489" s="37" t="s">
        <v>6864</v>
      </c>
      <c r="H2489" s="63">
        <v>5548.4</v>
      </c>
    </row>
    <row r="2490" spans="1:8" ht="24.75" customHeight="1">
      <c r="A2490" s="47" t="s">
        <v>1040</v>
      </c>
      <c r="B2490" s="45" t="s">
        <v>5718</v>
      </c>
      <c r="C2490" s="45" t="s">
        <v>6748</v>
      </c>
      <c r="D2490" s="45" t="s">
        <v>6777</v>
      </c>
      <c r="E2490" s="44"/>
      <c r="F2490" s="37">
        <v>10</v>
      </c>
      <c r="G2490" s="37" t="s">
        <v>6864</v>
      </c>
      <c r="H2490" s="63">
        <v>700.7</v>
      </c>
    </row>
    <row r="2491" spans="1:8" ht="24.75" customHeight="1">
      <c r="A2491" s="44" t="s">
        <v>842</v>
      </c>
      <c r="B2491" s="45" t="s">
        <v>5229</v>
      </c>
      <c r="C2491" s="45" t="s">
        <v>6748</v>
      </c>
      <c r="D2491" s="45" t="s">
        <v>6777</v>
      </c>
      <c r="E2491" s="44"/>
      <c r="F2491" s="37">
        <v>25</v>
      </c>
      <c r="G2491" s="37" t="s">
        <v>6864</v>
      </c>
      <c r="H2491" s="63">
        <v>400.4</v>
      </c>
    </row>
    <row r="2492" spans="1:8" ht="24.75" customHeight="1">
      <c r="A2492" s="44" t="s">
        <v>839</v>
      </c>
      <c r="B2492" s="45" t="s">
        <v>5228</v>
      </c>
      <c r="C2492" s="45" t="s">
        <v>6748</v>
      </c>
      <c r="D2492" s="45" t="s">
        <v>6777</v>
      </c>
      <c r="E2492" s="44"/>
      <c r="F2492" s="37">
        <v>25</v>
      </c>
      <c r="G2492" s="37" t="s">
        <v>6864</v>
      </c>
      <c r="H2492" s="63">
        <v>400.4</v>
      </c>
    </row>
    <row r="2493" spans="1:8" ht="24.75" customHeight="1">
      <c r="A2493" s="44" t="s">
        <v>1108</v>
      </c>
      <c r="B2493" s="45" t="s">
        <v>6381</v>
      </c>
      <c r="C2493" s="45" t="s">
        <v>6682</v>
      </c>
      <c r="D2493" s="45" t="s">
        <v>6778</v>
      </c>
      <c r="E2493" s="44" t="s">
        <v>6839</v>
      </c>
      <c r="F2493" s="37">
        <v>1</v>
      </c>
      <c r="G2493" s="37" t="s">
        <v>6864</v>
      </c>
      <c r="H2493" s="63">
        <v>3589.3</v>
      </c>
    </row>
    <row r="2494" spans="1:8" ht="24.75" customHeight="1">
      <c r="A2494" s="44" t="s">
        <v>955</v>
      </c>
      <c r="B2494" s="45" t="s">
        <v>5131</v>
      </c>
      <c r="C2494" s="45" t="s">
        <v>6682</v>
      </c>
      <c r="D2494" s="45" t="s">
        <v>6778</v>
      </c>
      <c r="E2494" s="44" t="s">
        <v>6839</v>
      </c>
      <c r="F2494" s="37">
        <v>1</v>
      </c>
      <c r="G2494" s="37" t="s">
        <v>6864</v>
      </c>
      <c r="H2494" s="63">
        <v>3260.4</v>
      </c>
    </row>
    <row r="2495" spans="1:8" ht="24.75" customHeight="1">
      <c r="A2495" s="44" t="s">
        <v>2503</v>
      </c>
      <c r="B2495" s="45" t="s">
        <v>4867</v>
      </c>
      <c r="C2495" s="45" t="s">
        <v>6682</v>
      </c>
      <c r="D2495" s="45" t="s">
        <v>6683</v>
      </c>
      <c r="E2495" s="44"/>
      <c r="F2495" s="37">
        <v>1</v>
      </c>
      <c r="G2495" s="37" t="s">
        <v>6864</v>
      </c>
      <c r="H2495" s="63">
        <v>4633.2</v>
      </c>
    </row>
    <row r="2496" spans="1:8" ht="24.75" customHeight="1">
      <c r="A2496" s="44" t="s">
        <v>2413</v>
      </c>
      <c r="B2496" s="45" t="s">
        <v>4870</v>
      </c>
      <c r="C2496" s="45" t="s">
        <v>6682</v>
      </c>
      <c r="D2496" s="45" t="s">
        <v>6683</v>
      </c>
      <c r="E2496" s="44"/>
      <c r="F2496" s="37">
        <v>1</v>
      </c>
      <c r="G2496" s="37" t="s">
        <v>6864</v>
      </c>
      <c r="H2496" s="63">
        <v>4633.2</v>
      </c>
    </row>
    <row r="2497" spans="1:8" ht="24.75" customHeight="1">
      <c r="A2497" s="44" t="s">
        <v>1628</v>
      </c>
      <c r="B2497" s="45" t="s">
        <v>5523</v>
      </c>
      <c r="C2497" s="45" t="s">
        <v>6682</v>
      </c>
      <c r="D2497" s="45" t="s">
        <v>6683</v>
      </c>
      <c r="E2497" s="44" t="s">
        <v>6839</v>
      </c>
      <c r="F2497" s="37">
        <v>1</v>
      </c>
      <c r="G2497" s="37" t="s">
        <v>6864</v>
      </c>
      <c r="H2497" s="63">
        <v>27441.7</v>
      </c>
    </row>
    <row r="2498" spans="1:8" ht="24.75" customHeight="1">
      <c r="A2498" s="44" t="s">
        <v>1048</v>
      </c>
      <c r="B2498" s="45" t="s">
        <v>5726</v>
      </c>
      <c r="C2498" s="45" t="s">
        <v>6748</v>
      </c>
      <c r="D2498" s="45" t="s">
        <v>6779</v>
      </c>
      <c r="E2498" s="44"/>
      <c r="F2498" s="37">
        <v>20</v>
      </c>
      <c r="G2498" s="37" t="s">
        <v>6864</v>
      </c>
      <c r="H2498" s="63">
        <v>228.8</v>
      </c>
    </row>
    <row r="2499" spans="1:8" ht="24.75" customHeight="1">
      <c r="A2499" s="44" t="s">
        <v>1553</v>
      </c>
      <c r="B2499" s="45" t="s">
        <v>4792</v>
      </c>
      <c r="C2499" s="45" t="s">
        <v>6748</v>
      </c>
      <c r="D2499" s="45" t="s">
        <v>6779</v>
      </c>
      <c r="E2499" s="44" t="s">
        <v>956</v>
      </c>
      <c r="F2499" s="37">
        <v>50</v>
      </c>
      <c r="G2499" s="37" t="s">
        <v>6864</v>
      </c>
      <c r="H2499" s="63">
        <v>128.69999999999999</v>
      </c>
    </row>
    <row r="2500" spans="1:8" ht="24.75" customHeight="1">
      <c r="A2500" s="44" t="s">
        <v>1551</v>
      </c>
      <c r="B2500" s="45" t="s">
        <v>4790</v>
      </c>
      <c r="C2500" s="45" t="s">
        <v>6748</v>
      </c>
      <c r="D2500" s="45" t="s">
        <v>6779</v>
      </c>
      <c r="E2500" s="44" t="s">
        <v>956</v>
      </c>
      <c r="F2500" s="37">
        <v>50</v>
      </c>
      <c r="G2500" s="37" t="s">
        <v>6864</v>
      </c>
      <c r="H2500" s="63">
        <v>42.9</v>
      </c>
    </row>
    <row r="2501" spans="1:8" ht="24.75" customHeight="1">
      <c r="A2501" s="44" t="s">
        <v>1552</v>
      </c>
      <c r="B2501" s="45" t="s">
        <v>4791</v>
      </c>
      <c r="C2501" s="45" t="s">
        <v>6748</v>
      </c>
      <c r="D2501" s="45" t="s">
        <v>6779</v>
      </c>
      <c r="E2501" s="44" t="s">
        <v>956</v>
      </c>
      <c r="F2501" s="37">
        <v>50</v>
      </c>
      <c r="G2501" s="37" t="s">
        <v>6864</v>
      </c>
      <c r="H2501" s="63">
        <v>71.5</v>
      </c>
    </row>
    <row r="2502" spans="1:8" ht="24.75" customHeight="1">
      <c r="A2502" s="44" t="s">
        <v>1515</v>
      </c>
      <c r="B2502" s="45" t="s">
        <v>5057</v>
      </c>
      <c r="C2502" s="45" t="s">
        <v>6780</v>
      </c>
      <c r="D2502" s="45" t="s">
        <v>6781</v>
      </c>
      <c r="E2502" s="44"/>
      <c r="F2502" s="37">
        <v>5</v>
      </c>
      <c r="G2502" s="37" t="s">
        <v>6864</v>
      </c>
      <c r="H2502" s="63">
        <v>2960.1</v>
      </c>
    </row>
    <row r="2503" spans="1:8" ht="24.75" customHeight="1">
      <c r="A2503" s="44" t="s">
        <v>978</v>
      </c>
      <c r="B2503" s="45" t="s">
        <v>5692</v>
      </c>
      <c r="C2503" s="45" t="s">
        <v>6780</v>
      </c>
      <c r="D2503" s="45" t="s">
        <v>6781</v>
      </c>
      <c r="E2503" s="44"/>
      <c r="F2503" s="37">
        <v>5</v>
      </c>
      <c r="G2503" s="37" t="s">
        <v>6864</v>
      </c>
      <c r="H2503" s="63">
        <v>2230.8000000000002</v>
      </c>
    </row>
    <row r="2504" spans="1:8" ht="24.75" customHeight="1">
      <c r="A2504" s="44" t="s">
        <v>1426</v>
      </c>
      <c r="B2504" s="45" t="s">
        <v>4980</v>
      </c>
      <c r="C2504" s="45" t="s">
        <v>6780</v>
      </c>
      <c r="D2504" s="45" t="s">
        <v>6781</v>
      </c>
      <c r="E2504" s="44"/>
      <c r="F2504" s="37">
        <v>5</v>
      </c>
      <c r="G2504" s="37" t="s">
        <v>6864</v>
      </c>
      <c r="H2504" s="63">
        <v>972.4</v>
      </c>
    </row>
    <row r="2505" spans="1:8" ht="24.75" customHeight="1">
      <c r="A2505" s="44" t="s">
        <v>1577</v>
      </c>
      <c r="B2505" s="45" t="s">
        <v>5455</v>
      </c>
      <c r="C2505" s="45" t="s">
        <v>6780</v>
      </c>
      <c r="D2505" s="45" t="s">
        <v>6781</v>
      </c>
      <c r="E2505" s="44"/>
      <c r="F2505" s="37">
        <v>5</v>
      </c>
      <c r="G2505" s="37" t="s">
        <v>6864</v>
      </c>
      <c r="H2505" s="63">
        <v>2917.2</v>
      </c>
    </row>
    <row r="2506" spans="1:8" ht="24.75" customHeight="1">
      <c r="A2506" s="44" t="s">
        <v>1599</v>
      </c>
      <c r="B2506" s="45" t="s">
        <v>5486</v>
      </c>
      <c r="C2506" s="45" t="s">
        <v>6780</v>
      </c>
      <c r="D2506" s="45" t="s">
        <v>6781</v>
      </c>
      <c r="E2506" s="44" t="s">
        <v>6839</v>
      </c>
      <c r="F2506" s="37">
        <v>1</v>
      </c>
      <c r="G2506" s="37" t="s">
        <v>6864</v>
      </c>
      <c r="H2506" s="63">
        <v>2373.8000000000002</v>
      </c>
    </row>
    <row r="2507" spans="1:8" ht="24.75" customHeight="1">
      <c r="A2507" s="44" t="s">
        <v>804</v>
      </c>
      <c r="B2507" s="45" t="s">
        <v>6346</v>
      </c>
      <c r="C2507" s="45" t="s">
        <v>6780</v>
      </c>
      <c r="D2507" s="45" t="s">
        <v>6781</v>
      </c>
      <c r="E2507" s="44"/>
      <c r="F2507" s="37">
        <v>10</v>
      </c>
      <c r="G2507" s="37" t="s">
        <v>6864</v>
      </c>
      <c r="H2507" s="63">
        <v>1758.9</v>
      </c>
    </row>
    <row r="2508" spans="1:8" ht="24.75" customHeight="1">
      <c r="A2508" s="44" t="s">
        <v>805</v>
      </c>
      <c r="B2508" s="45" t="s">
        <v>6008</v>
      </c>
      <c r="C2508" s="45" t="s">
        <v>6780</v>
      </c>
      <c r="D2508" s="45" t="s">
        <v>6781</v>
      </c>
      <c r="E2508" s="44"/>
      <c r="F2508" s="37">
        <v>10</v>
      </c>
      <c r="G2508" s="37" t="s">
        <v>6864</v>
      </c>
      <c r="H2508" s="63">
        <v>2102.1</v>
      </c>
    </row>
    <row r="2509" spans="1:8" ht="24.75" customHeight="1">
      <c r="A2509" s="44" t="s">
        <v>152</v>
      </c>
      <c r="B2509" s="45" t="s">
        <v>5120</v>
      </c>
      <c r="C2509" s="45" t="s">
        <v>6780</v>
      </c>
      <c r="D2509" s="45" t="s">
        <v>6781</v>
      </c>
      <c r="E2509" s="44"/>
      <c r="F2509" s="37">
        <v>10</v>
      </c>
      <c r="G2509" s="37" t="s">
        <v>6864</v>
      </c>
      <c r="H2509" s="63">
        <v>1158.3</v>
      </c>
    </row>
    <row r="2510" spans="1:8" ht="24.75" customHeight="1">
      <c r="A2510" s="44" t="s">
        <v>1235</v>
      </c>
      <c r="B2510" s="45" t="s">
        <v>5119</v>
      </c>
      <c r="C2510" s="45" t="s">
        <v>6780</v>
      </c>
      <c r="D2510" s="45" t="s">
        <v>6781</v>
      </c>
      <c r="E2510" s="44"/>
      <c r="F2510" s="37">
        <v>10</v>
      </c>
      <c r="G2510" s="37" t="s">
        <v>6864</v>
      </c>
      <c r="H2510" s="63">
        <v>1773.2</v>
      </c>
    </row>
    <row r="2511" spans="1:8" ht="24.75" customHeight="1">
      <c r="A2511" s="44" t="s">
        <v>1112</v>
      </c>
      <c r="B2511" s="45" t="s">
        <v>5673</v>
      </c>
      <c r="C2511" s="45" t="s">
        <v>6780</v>
      </c>
      <c r="D2511" s="45" t="s">
        <v>6781</v>
      </c>
      <c r="E2511" s="44"/>
      <c r="F2511" s="37">
        <v>10</v>
      </c>
      <c r="G2511" s="37" t="s">
        <v>6864</v>
      </c>
      <c r="H2511" s="63">
        <v>1301.3</v>
      </c>
    </row>
    <row r="2512" spans="1:8" ht="24.75" customHeight="1">
      <c r="A2512" s="44" t="s">
        <v>2805</v>
      </c>
      <c r="B2512" s="45" t="s">
        <v>5804</v>
      </c>
      <c r="C2512" s="45" t="s">
        <v>6780</v>
      </c>
      <c r="D2512" s="45" t="s">
        <v>6781</v>
      </c>
      <c r="E2512" s="44"/>
      <c r="F2512" s="37">
        <v>5</v>
      </c>
      <c r="G2512" s="37" t="s">
        <v>6864</v>
      </c>
      <c r="H2512" s="63">
        <v>1644.5</v>
      </c>
    </row>
    <row r="2513" spans="1:8" ht="24.75" customHeight="1">
      <c r="A2513" s="44" t="s">
        <v>2248</v>
      </c>
      <c r="B2513" s="45" t="s">
        <v>5580</v>
      </c>
      <c r="C2513" s="45" t="s">
        <v>6780</v>
      </c>
      <c r="D2513" s="45" t="s">
        <v>6781</v>
      </c>
      <c r="E2513" s="44"/>
      <c r="F2513" s="37">
        <v>5</v>
      </c>
      <c r="G2513" s="37" t="s">
        <v>6864</v>
      </c>
      <c r="H2513" s="63">
        <v>1215.5</v>
      </c>
    </row>
    <row r="2514" spans="1:8" ht="24.75" customHeight="1">
      <c r="A2514" s="44" t="s">
        <v>2488</v>
      </c>
      <c r="B2514" s="45" t="s">
        <v>4856</v>
      </c>
      <c r="C2514" s="45" t="s">
        <v>6780</v>
      </c>
      <c r="D2514" s="45" t="s">
        <v>6781</v>
      </c>
      <c r="E2514" s="44" t="s">
        <v>956</v>
      </c>
      <c r="F2514" s="37">
        <v>1</v>
      </c>
      <c r="G2514" s="37" t="s">
        <v>2568</v>
      </c>
      <c r="H2514" s="63">
        <v>4976.3999999999996</v>
      </c>
    </row>
    <row r="2515" spans="1:8" ht="24.75" customHeight="1">
      <c r="A2515" s="44" t="s">
        <v>984</v>
      </c>
      <c r="B2515" s="45" t="s">
        <v>5699</v>
      </c>
      <c r="C2515" s="45" t="s">
        <v>6780</v>
      </c>
      <c r="D2515" s="45" t="s">
        <v>6781</v>
      </c>
      <c r="E2515" s="44"/>
      <c r="F2515" s="37">
        <v>5</v>
      </c>
      <c r="G2515" s="37" t="s">
        <v>6864</v>
      </c>
      <c r="H2515" s="63">
        <v>1987.7</v>
      </c>
    </row>
    <row r="2516" spans="1:8" ht="24.75" customHeight="1">
      <c r="A2516" s="44" t="s">
        <v>3187</v>
      </c>
      <c r="B2516" s="45" t="s">
        <v>5400</v>
      </c>
      <c r="C2516" s="45" t="s">
        <v>6780</v>
      </c>
      <c r="D2516" s="45" t="s">
        <v>6781</v>
      </c>
      <c r="E2516" s="44"/>
      <c r="F2516" s="37">
        <v>1</v>
      </c>
      <c r="G2516" s="37" t="s">
        <v>2568</v>
      </c>
      <c r="H2516" s="63">
        <v>4990.7</v>
      </c>
    </row>
    <row r="2517" spans="1:8" ht="24.75" customHeight="1">
      <c r="A2517" s="44" t="s">
        <v>3188</v>
      </c>
      <c r="B2517" s="45" t="s">
        <v>5401</v>
      </c>
      <c r="C2517" s="45" t="s">
        <v>6780</v>
      </c>
      <c r="D2517" s="45" t="s">
        <v>6781</v>
      </c>
      <c r="E2517" s="44"/>
      <c r="F2517" s="37">
        <v>5</v>
      </c>
      <c r="G2517" s="37" t="s">
        <v>6864</v>
      </c>
      <c r="H2517" s="63">
        <v>3918.2</v>
      </c>
    </row>
    <row r="2518" spans="1:8" ht="24.75" customHeight="1">
      <c r="A2518" s="44" t="s">
        <v>1466</v>
      </c>
      <c r="B2518" s="45" t="s">
        <v>5032</v>
      </c>
      <c r="C2518" s="45" t="s">
        <v>6780</v>
      </c>
      <c r="D2518" s="45" t="s">
        <v>6781</v>
      </c>
      <c r="E2518" s="44"/>
      <c r="F2518" s="37">
        <v>5</v>
      </c>
      <c r="G2518" s="37" t="s">
        <v>6864</v>
      </c>
      <c r="H2518" s="63">
        <v>1144</v>
      </c>
    </row>
    <row r="2519" spans="1:8" ht="24.75" customHeight="1">
      <c r="A2519" s="44" t="s">
        <v>1430</v>
      </c>
      <c r="B2519" s="45" t="s">
        <v>4987</v>
      </c>
      <c r="C2519" s="45" t="s">
        <v>6780</v>
      </c>
      <c r="D2519" s="45" t="s">
        <v>6781</v>
      </c>
      <c r="E2519" s="44"/>
      <c r="F2519" s="37">
        <v>1</v>
      </c>
      <c r="G2519" s="37" t="s">
        <v>2568</v>
      </c>
      <c r="H2519" s="63">
        <v>3417.7</v>
      </c>
    </row>
    <row r="2520" spans="1:8" ht="24.75" customHeight="1">
      <c r="A2520" s="44" t="s">
        <v>1038</v>
      </c>
      <c r="B2520" s="45" t="s">
        <v>5716</v>
      </c>
      <c r="C2520" s="45" t="s">
        <v>6780</v>
      </c>
      <c r="D2520" s="45" t="s">
        <v>6781</v>
      </c>
      <c r="E2520" s="44" t="s">
        <v>6839</v>
      </c>
      <c r="F2520" s="37">
        <v>10</v>
      </c>
      <c r="G2520" s="37" t="s">
        <v>2568</v>
      </c>
      <c r="H2520" s="63">
        <v>3675.1</v>
      </c>
    </row>
    <row r="2521" spans="1:8" ht="24.75" customHeight="1">
      <c r="A2521" s="44" t="s">
        <v>1163</v>
      </c>
      <c r="B2521" s="45" t="s">
        <v>5139</v>
      </c>
      <c r="C2521" s="45" t="s">
        <v>6780</v>
      </c>
      <c r="D2521" s="45" t="s">
        <v>6781</v>
      </c>
      <c r="E2521" s="44" t="s">
        <v>6839</v>
      </c>
      <c r="F2521" s="37">
        <v>10</v>
      </c>
      <c r="G2521" s="37" t="s">
        <v>2568</v>
      </c>
      <c r="H2521" s="63">
        <v>3918.2</v>
      </c>
    </row>
    <row r="2522" spans="1:8" ht="24.75" customHeight="1">
      <c r="A2522" s="44" t="s">
        <v>2247</v>
      </c>
      <c r="B2522" s="45" t="s">
        <v>5583</v>
      </c>
      <c r="C2522" s="45" t="s">
        <v>6780</v>
      </c>
      <c r="D2522" s="45" t="s">
        <v>6781</v>
      </c>
      <c r="E2522" s="44" t="s">
        <v>956</v>
      </c>
      <c r="F2522" s="37">
        <v>1</v>
      </c>
      <c r="G2522" s="37" t="s">
        <v>2568</v>
      </c>
      <c r="H2522" s="63">
        <v>3603.6</v>
      </c>
    </row>
    <row r="2523" spans="1:8" ht="24.75" customHeight="1">
      <c r="A2523" s="44" t="s">
        <v>2804</v>
      </c>
      <c r="B2523" s="45" t="s">
        <v>5803</v>
      </c>
      <c r="C2523" s="45" t="s">
        <v>6780</v>
      </c>
      <c r="D2523" s="45" t="s">
        <v>6781</v>
      </c>
      <c r="E2523" s="44"/>
      <c r="F2523" s="37">
        <v>5</v>
      </c>
      <c r="G2523" s="37" t="s">
        <v>6864</v>
      </c>
      <c r="H2523" s="63">
        <v>4290</v>
      </c>
    </row>
    <row r="2524" spans="1:8" ht="24.75" customHeight="1">
      <c r="A2524" s="44" t="s">
        <v>1111</v>
      </c>
      <c r="B2524" s="45" t="s">
        <v>5672</v>
      </c>
      <c r="C2524" s="45" t="s">
        <v>6780</v>
      </c>
      <c r="D2524" s="45" t="s">
        <v>6781</v>
      </c>
      <c r="E2524" s="44" t="s">
        <v>6839</v>
      </c>
      <c r="F2524" s="37">
        <v>5</v>
      </c>
      <c r="G2524" s="37" t="s">
        <v>2568</v>
      </c>
      <c r="H2524" s="63">
        <v>2802.8</v>
      </c>
    </row>
    <row r="2525" spans="1:8" ht="24.75" customHeight="1">
      <c r="A2525" s="44" t="s">
        <v>6436</v>
      </c>
      <c r="B2525" s="46" t="s">
        <v>6437</v>
      </c>
      <c r="C2525" s="46" t="s">
        <v>6780</v>
      </c>
      <c r="D2525" s="46" t="s">
        <v>6782</v>
      </c>
      <c r="E2525" s="62" t="s">
        <v>6853</v>
      </c>
      <c r="F2525" s="37">
        <v>1</v>
      </c>
      <c r="G2525" s="37" t="s">
        <v>6864</v>
      </c>
      <c r="H2525" s="63">
        <v>3646.5</v>
      </c>
    </row>
    <row r="2526" spans="1:8" ht="24.75" customHeight="1">
      <c r="A2526" s="44" t="s">
        <v>6430</v>
      </c>
      <c r="B2526" s="46" t="s">
        <v>6431</v>
      </c>
      <c r="C2526" s="46" t="s">
        <v>6780</v>
      </c>
      <c r="D2526" s="46" t="s">
        <v>6782</v>
      </c>
      <c r="E2526" s="62" t="s">
        <v>6853</v>
      </c>
      <c r="F2526" s="37">
        <v>1</v>
      </c>
      <c r="G2526" s="37" t="s">
        <v>6864</v>
      </c>
      <c r="H2526" s="63">
        <v>4361.5</v>
      </c>
    </row>
    <row r="2527" spans="1:8" ht="24.75" customHeight="1">
      <c r="A2527" s="44" t="s">
        <v>6422</v>
      </c>
      <c r="B2527" s="46" t="s">
        <v>6423</v>
      </c>
      <c r="C2527" s="46" t="s">
        <v>6780</v>
      </c>
      <c r="D2527" s="46" t="s">
        <v>6782</v>
      </c>
      <c r="E2527" s="62" t="s">
        <v>6853</v>
      </c>
      <c r="F2527" s="37">
        <v>1</v>
      </c>
      <c r="G2527" s="37" t="s">
        <v>6864</v>
      </c>
      <c r="H2527" s="63">
        <v>2902.9</v>
      </c>
    </row>
    <row r="2528" spans="1:8" ht="24.75" customHeight="1">
      <c r="A2528" s="44" t="s">
        <v>6408</v>
      </c>
      <c r="B2528" s="46" t="s">
        <v>6409</v>
      </c>
      <c r="C2528" s="46" t="s">
        <v>6780</v>
      </c>
      <c r="D2528" s="46" t="s">
        <v>6782</v>
      </c>
      <c r="E2528" s="62" t="s">
        <v>6853</v>
      </c>
      <c r="F2528" s="37">
        <v>1</v>
      </c>
      <c r="G2528" s="37" t="s">
        <v>6864</v>
      </c>
      <c r="H2528" s="63">
        <v>2445.3000000000002</v>
      </c>
    </row>
    <row r="2529" spans="1:8" ht="24.75" customHeight="1">
      <c r="A2529" s="44" t="s">
        <v>6426</v>
      </c>
      <c r="B2529" s="46" t="s">
        <v>6427</v>
      </c>
      <c r="C2529" s="46" t="s">
        <v>6780</v>
      </c>
      <c r="D2529" s="46" t="s">
        <v>6782</v>
      </c>
      <c r="E2529" s="62" t="s">
        <v>6853</v>
      </c>
      <c r="F2529" s="37">
        <v>1</v>
      </c>
      <c r="G2529" s="37" t="s">
        <v>6864</v>
      </c>
      <c r="H2529" s="63">
        <v>2960.1</v>
      </c>
    </row>
    <row r="2530" spans="1:8" ht="24.75" customHeight="1">
      <c r="A2530" s="44" t="s">
        <v>6414</v>
      </c>
      <c r="B2530" s="46" t="s">
        <v>6415</v>
      </c>
      <c r="C2530" s="46" t="s">
        <v>6780</v>
      </c>
      <c r="D2530" s="46" t="s">
        <v>6782</v>
      </c>
      <c r="E2530" s="62" t="s">
        <v>6853</v>
      </c>
      <c r="F2530" s="37">
        <v>1</v>
      </c>
      <c r="G2530" s="37" t="s">
        <v>6864</v>
      </c>
      <c r="H2530" s="63">
        <v>2731.3</v>
      </c>
    </row>
    <row r="2531" spans="1:8" ht="24.75" customHeight="1">
      <c r="A2531" s="44" t="s">
        <v>6410</v>
      </c>
      <c r="B2531" s="46" t="s">
        <v>6411</v>
      </c>
      <c r="C2531" s="46" t="s">
        <v>6780</v>
      </c>
      <c r="D2531" s="46" t="s">
        <v>6782</v>
      </c>
      <c r="E2531" s="62" t="s">
        <v>6853</v>
      </c>
      <c r="F2531" s="37">
        <v>1</v>
      </c>
      <c r="G2531" s="37" t="s">
        <v>6864</v>
      </c>
      <c r="H2531" s="63">
        <v>2574</v>
      </c>
    </row>
    <row r="2532" spans="1:8" ht="24.75" customHeight="1">
      <c r="A2532" s="44" t="s">
        <v>6420</v>
      </c>
      <c r="B2532" s="46" t="s">
        <v>6421</v>
      </c>
      <c r="C2532" s="46" t="s">
        <v>6780</v>
      </c>
      <c r="D2532" s="46" t="s">
        <v>6782</v>
      </c>
      <c r="E2532" s="62" t="s">
        <v>6853</v>
      </c>
      <c r="F2532" s="37">
        <v>1</v>
      </c>
      <c r="G2532" s="37" t="s">
        <v>6864</v>
      </c>
      <c r="H2532" s="63">
        <v>2445.3000000000002</v>
      </c>
    </row>
    <row r="2533" spans="1:8" ht="24.75" customHeight="1">
      <c r="A2533" s="44" t="s">
        <v>6412</v>
      </c>
      <c r="B2533" s="46" t="s">
        <v>6413</v>
      </c>
      <c r="C2533" s="46" t="s">
        <v>6780</v>
      </c>
      <c r="D2533" s="46" t="s">
        <v>6782</v>
      </c>
      <c r="E2533" s="62" t="s">
        <v>6853</v>
      </c>
      <c r="F2533" s="37">
        <v>1</v>
      </c>
      <c r="G2533" s="37" t="s">
        <v>6864</v>
      </c>
      <c r="H2533" s="63">
        <v>2817.1</v>
      </c>
    </row>
    <row r="2534" spans="1:8" ht="24.75" customHeight="1">
      <c r="A2534" s="44" t="s">
        <v>6444</v>
      </c>
      <c r="B2534" s="46" t="s">
        <v>6445</v>
      </c>
      <c r="C2534" s="46" t="s">
        <v>6780</v>
      </c>
      <c r="D2534" s="46" t="s">
        <v>6782</v>
      </c>
      <c r="E2534" s="62"/>
      <c r="F2534" s="37">
        <v>1</v>
      </c>
      <c r="G2534" s="37" t="s">
        <v>6864</v>
      </c>
      <c r="H2534" s="63">
        <v>2931.5</v>
      </c>
    </row>
    <row r="2535" spans="1:8" ht="24.75" customHeight="1">
      <c r="A2535" s="44" t="s">
        <v>6416</v>
      </c>
      <c r="B2535" s="46" t="s">
        <v>6417</v>
      </c>
      <c r="C2535" s="46" t="s">
        <v>6780</v>
      </c>
      <c r="D2535" s="46" t="s">
        <v>6782</v>
      </c>
      <c r="E2535" s="62" t="s">
        <v>6853</v>
      </c>
      <c r="F2535" s="37">
        <v>1</v>
      </c>
      <c r="G2535" s="37" t="s">
        <v>6864</v>
      </c>
      <c r="H2535" s="63">
        <v>2831.4</v>
      </c>
    </row>
    <row r="2536" spans="1:8" ht="24.75" customHeight="1">
      <c r="A2536" s="44" t="s">
        <v>6432</v>
      </c>
      <c r="B2536" s="46" t="s">
        <v>6433</v>
      </c>
      <c r="C2536" s="46" t="s">
        <v>6780</v>
      </c>
      <c r="D2536" s="46" t="s">
        <v>6782</v>
      </c>
      <c r="E2536" s="62" t="s">
        <v>6853</v>
      </c>
      <c r="F2536" s="37">
        <v>1</v>
      </c>
      <c r="G2536" s="37" t="s">
        <v>6864</v>
      </c>
      <c r="H2536" s="63">
        <v>2902.9</v>
      </c>
    </row>
    <row r="2537" spans="1:8" ht="24.75" customHeight="1">
      <c r="A2537" s="44" t="s">
        <v>6428</v>
      </c>
      <c r="B2537" s="46" t="s">
        <v>6429</v>
      </c>
      <c r="C2537" s="46" t="s">
        <v>6780</v>
      </c>
      <c r="D2537" s="46" t="s">
        <v>6782</v>
      </c>
      <c r="E2537" s="62" t="s">
        <v>6853</v>
      </c>
      <c r="F2537" s="37">
        <v>1</v>
      </c>
      <c r="G2537" s="37" t="s">
        <v>6864</v>
      </c>
      <c r="H2537" s="63">
        <v>2917.2</v>
      </c>
    </row>
    <row r="2538" spans="1:8" ht="24.75" customHeight="1">
      <c r="A2538" s="44" t="s">
        <v>6406</v>
      </c>
      <c r="B2538" s="46" t="s">
        <v>6407</v>
      </c>
      <c r="C2538" s="46" t="s">
        <v>6780</v>
      </c>
      <c r="D2538" s="46" t="s">
        <v>6782</v>
      </c>
      <c r="E2538" s="62" t="s">
        <v>6853</v>
      </c>
      <c r="F2538" s="37">
        <v>1</v>
      </c>
      <c r="G2538" s="37" t="s">
        <v>6864</v>
      </c>
      <c r="H2538" s="63">
        <v>2817.1</v>
      </c>
    </row>
    <row r="2539" spans="1:8" ht="24.75" customHeight="1">
      <c r="A2539" s="44" t="s">
        <v>6418</v>
      </c>
      <c r="B2539" s="46" t="s">
        <v>6419</v>
      </c>
      <c r="C2539" s="46" t="s">
        <v>6780</v>
      </c>
      <c r="D2539" s="46" t="s">
        <v>6782</v>
      </c>
      <c r="E2539" s="62" t="s">
        <v>6853</v>
      </c>
      <c r="F2539" s="37">
        <v>1</v>
      </c>
      <c r="G2539" s="37" t="s">
        <v>6864</v>
      </c>
      <c r="H2539" s="63">
        <v>2931.5</v>
      </c>
    </row>
    <row r="2540" spans="1:8" ht="24.75" customHeight="1">
      <c r="A2540" s="44" t="s">
        <v>6440</v>
      </c>
      <c r="B2540" s="46" t="s">
        <v>6441</v>
      </c>
      <c r="C2540" s="46" t="s">
        <v>6780</v>
      </c>
      <c r="D2540" s="46" t="s">
        <v>6782</v>
      </c>
      <c r="E2540" s="62" t="s">
        <v>6853</v>
      </c>
      <c r="F2540" s="37">
        <v>1</v>
      </c>
      <c r="G2540" s="37" t="s">
        <v>6864</v>
      </c>
      <c r="H2540" s="63">
        <v>3932.5</v>
      </c>
    </row>
    <row r="2541" spans="1:8" ht="24.75" customHeight="1">
      <c r="A2541" s="44" t="s">
        <v>6438</v>
      </c>
      <c r="B2541" s="46" t="s">
        <v>6439</v>
      </c>
      <c r="C2541" s="46" t="s">
        <v>6780</v>
      </c>
      <c r="D2541" s="46" t="s">
        <v>6782</v>
      </c>
      <c r="E2541" s="62" t="s">
        <v>6853</v>
      </c>
      <c r="F2541" s="37">
        <v>1</v>
      </c>
      <c r="G2541" s="37" t="s">
        <v>6864</v>
      </c>
      <c r="H2541" s="63">
        <v>3932.5</v>
      </c>
    </row>
    <row r="2542" spans="1:8" ht="24.75" customHeight="1">
      <c r="A2542" s="44" t="s">
        <v>6446</v>
      </c>
      <c r="B2542" s="46" t="s">
        <v>6447</v>
      </c>
      <c r="C2542" s="46" t="s">
        <v>6780</v>
      </c>
      <c r="D2542" s="46" t="s">
        <v>6782</v>
      </c>
      <c r="E2542" s="62" t="s">
        <v>6853</v>
      </c>
      <c r="F2542" s="37">
        <v>1</v>
      </c>
      <c r="G2542" s="37" t="s">
        <v>6864</v>
      </c>
      <c r="H2542" s="63">
        <v>3489.2</v>
      </c>
    </row>
    <row r="2543" spans="1:8" ht="24.75" customHeight="1">
      <c r="A2543" s="44" t="s">
        <v>6424</v>
      </c>
      <c r="B2543" s="46" t="s">
        <v>6425</v>
      </c>
      <c r="C2543" s="46" t="s">
        <v>6780</v>
      </c>
      <c r="D2543" s="46" t="s">
        <v>6782</v>
      </c>
      <c r="E2543" s="62" t="s">
        <v>6853</v>
      </c>
      <c r="F2543" s="37">
        <v>1</v>
      </c>
      <c r="G2543" s="37" t="s">
        <v>6864</v>
      </c>
      <c r="H2543" s="63">
        <v>3289</v>
      </c>
    </row>
    <row r="2544" spans="1:8" ht="24.75" customHeight="1">
      <c r="A2544" s="44" t="s">
        <v>6442</v>
      </c>
      <c r="B2544" s="46" t="s">
        <v>6443</v>
      </c>
      <c r="C2544" s="46" t="s">
        <v>6780</v>
      </c>
      <c r="D2544" s="46" t="s">
        <v>6782</v>
      </c>
      <c r="E2544" s="62" t="s">
        <v>6853</v>
      </c>
      <c r="F2544" s="37">
        <v>1</v>
      </c>
      <c r="G2544" s="37" t="s">
        <v>6864</v>
      </c>
      <c r="H2544" s="63">
        <v>3103.1</v>
      </c>
    </row>
    <row r="2545" spans="1:8" ht="24.75" customHeight="1">
      <c r="A2545" s="44" t="s">
        <v>6434</v>
      </c>
      <c r="B2545" s="46" t="s">
        <v>6435</v>
      </c>
      <c r="C2545" s="46" t="s">
        <v>6780</v>
      </c>
      <c r="D2545" s="46" t="s">
        <v>6782</v>
      </c>
      <c r="E2545" s="62" t="s">
        <v>6853</v>
      </c>
      <c r="F2545" s="37">
        <v>1</v>
      </c>
      <c r="G2545" s="37" t="s">
        <v>6864</v>
      </c>
      <c r="H2545" s="63">
        <v>3260.4</v>
      </c>
    </row>
    <row r="2546" spans="1:8" ht="24.75" customHeight="1">
      <c r="A2546" s="44" t="s">
        <v>974</v>
      </c>
      <c r="B2546" s="45" t="s">
        <v>3623</v>
      </c>
      <c r="C2546" s="45" t="s">
        <v>6780</v>
      </c>
      <c r="D2546" s="45" t="s">
        <v>6782</v>
      </c>
      <c r="E2546" s="44" t="s">
        <v>6858</v>
      </c>
      <c r="F2546" s="37">
        <v>1</v>
      </c>
      <c r="G2546" s="37" t="s">
        <v>6864</v>
      </c>
      <c r="H2546" s="63">
        <v>3646.5</v>
      </c>
    </row>
    <row r="2547" spans="1:8" ht="24.75" customHeight="1">
      <c r="A2547" s="44" t="s">
        <v>973</v>
      </c>
      <c r="B2547" s="45" t="s">
        <v>3622</v>
      </c>
      <c r="C2547" s="45" t="s">
        <v>6780</v>
      </c>
      <c r="D2547" s="45" t="s">
        <v>6782</v>
      </c>
      <c r="E2547" s="44" t="s">
        <v>6858</v>
      </c>
      <c r="F2547" s="37">
        <v>1</v>
      </c>
      <c r="G2547" s="37" t="s">
        <v>6864</v>
      </c>
      <c r="H2547" s="63">
        <v>2902.9</v>
      </c>
    </row>
    <row r="2548" spans="1:8" ht="24.75" customHeight="1">
      <c r="A2548" s="44" t="s">
        <v>966</v>
      </c>
      <c r="B2548" s="45" t="s">
        <v>3615</v>
      </c>
      <c r="C2548" s="45" t="s">
        <v>6780</v>
      </c>
      <c r="D2548" s="45" t="s">
        <v>6782</v>
      </c>
      <c r="E2548" s="44" t="s">
        <v>6858</v>
      </c>
      <c r="F2548" s="37">
        <v>1</v>
      </c>
      <c r="G2548" s="37" t="s">
        <v>6864</v>
      </c>
      <c r="H2548" s="63">
        <v>2445.3000000000002</v>
      </c>
    </row>
    <row r="2549" spans="1:8" ht="24.75" customHeight="1">
      <c r="A2549" s="44" t="s">
        <v>969</v>
      </c>
      <c r="B2549" s="45" t="s">
        <v>3618</v>
      </c>
      <c r="C2549" s="45" t="s">
        <v>6780</v>
      </c>
      <c r="D2549" s="45" t="s">
        <v>6782</v>
      </c>
      <c r="E2549" s="44" t="s">
        <v>6858</v>
      </c>
      <c r="F2549" s="37">
        <v>1</v>
      </c>
      <c r="G2549" s="37" t="s">
        <v>6864</v>
      </c>
      <c r="H2549" s="63">
        <v>2931.5</v>
      </c>
    </row>
    <row r="2550" spans="1:8" ht="24.75" customHeight="1">
      <c r="A2550" s="44" t="s">
        <v>970</v>
      </c>
      <c r="B2550" s="45" t="s">
        <v>3619</v>
      </c>
      <c r="C2550" s="45" t="s">
        <v>6780</v>
      </c>
      <c r="D2550" s="45" t="s">
        <v>6782</v>
      </c>
      <c r="E2550" s="44" t="s">
        <v>6858</v>
      </c>
      <c r="F2550" s="37">
        <v>1</v>
      </c>
      <c r="G2550" s="37" t="s">
        <v>6864</v>
      </c>
      <c r="H2550" s="63">
        <v>2445.3000000000002</v>
      </c>
    </row>
    <row r="2551" spans="1:8" ht="24.75" customHeight="1">
      <c r="A2551" s="44" t="s">
        <v>965</v>
      </c>
      <c r="B2551" s="45" t="s">
        <v>3614</v>
      </c>
      <c r="C2551" s="45" t="s">
        <v>6780</v>
      </c>
      <c r="D2551" s="45" t="s">
        <v>6782</v>
      </c>
      <c r="E2551" s="44" t="s">
        <v>6858</v>
      </c>
      <c r="F2551" s="37">
        <v>1</v>
      </c>
      <c r="G2551" s="37" t="s">
        <v>6864</v>
      </c>
      <c r="H2551" s="63">
        <v>2817.1</v>
      </c>
    </row>
    <row r="2552" spans="1:8" ht="24.75" customHeight="1">
      <c r="A2552" s="44" t="s">
        <v>967</v>
      </c>
      <c r="B2552" s="45" t="s">
        <v>3616</v>
      </c>
      <c r="C2552" s="45" t="s">
        <v>6780</v>
      </c>
      <c r="D2552" s="45" t="s">
        <v>6782</v>
      </c>
      <c r="E2552" s="44" t="s">
        <v>6858</v>
      </c>
      <c r="F2552" s="37">
        <v>1</v>
      </c>
      <c r="G2552" s="37" t="s">
        <v>6864</v>
      </c>
      <c r="H2552" s="63">
        <v>2817.1</v>
      </c>
    </row>
    <row r="2553" spans="1:8" ht="24.75" customHeight="1">
      <c r="A2553" s="44" t="s">
        <v>968</v>
      </c>
      <c r="B2553" s="45" t="s">
        <v>3617</v>
      </c>
      <c r="C2553" s="45" t="s">
        <v>6780</v>
      </c>
      <c r="D2553" s="45" t="s">
        <v>6782</v>
      </c>
      <c r="E2553" s="44" t="s">
        <v>6858</v>
      </c>
      <c r="F2553" s="37">
        <v>1</v>
      </c>
      <c r="G2553" s="37" t="s">
        <v>6864</v>
      </c>
      <c r="H2553" s="63">
        <v>2831.4</v>
      </c>
    </row>
    <row r="2554" spans="1:8" ht="24.75" customHeight="1">
      <c r="A2554" s="44" t="s">
        <v>972</v>
      </c>
      <c r="B2554" s="45" t="s">
        <v>3621</v>
      </c>
      <c r="C2554" s="45" t="s">
        <v>6780</v>
      </c>
      <c r="D2554" s="45" t="s">
        <v>6782</v>
      </c>
      <c r="E2554" s="44" t="s">
        <v>6858</v>
      </c>
      <c r="F2554" s="37">
        <v>1</v>
      </c>
      <c r="G2554" s="37" t="s">
        <v>6864</v>
      </c>
      <c r="H2554" s="63">
        <v>4361.5</v>
      </c>
    </row>
    <row r="2555" spans="1:8" ht="24.75" customHeight="1">
      <c r="A2555" s="44" t="s">
        <v>971</v>
      </c>
      <c r="B2555" s="45" t="s">
        <v>3620</v>
      </c>
      <c r="C2555" s="45" t="s">
        <v>6780</v>
      </c>
      <c r="D2555" s="45" t="s">
        <v>6782</v>
      </c>
      <c r="E2555" s="44" t="s">
        <v>6858</v>
      </c>
      <c r="F2555" s="37">
        <v>1</v>
      </c>
      <c r="G2555" s="37" t="s">
        <v>6864</v>
      </c>
      <c r="H2555" s="63">
        <v>2902.9</v>
      </c>
    </row>
    <row r="2556" spans="1:8" ht="24.75" customHeight="1">
      <c r="A2556" s="44" t="s">
        <v>369</v>
      </c>
      <c r="B2556" s="45" t="s">
        <v>3625</v>
      </c>
      <c r="C2556" s="45" t="s">
        <v>6780</v>
      </c>
      <c r="D2556" s="45" t="s">
        <v>6782</v>
      </c>
      <c r="E2556" s="44" t="s">
        <v>6858</v>
      </c>
      <c r="F2556" s="37">
        <v>1</v>
      </c>
      <c r="G2556" s="37" t="s">
        <v>6864</v>
      </c>
      <c r="H2556" s="63">
        <v>3489.2</v>
      </c>
    </row>
    <row r="2557" spans="1:8" ht="24.75" customHeight="1">
      <c r="A2557" s="44" t="s">
        <v>975</v>
      </c>
      <c r="B2557" s="45" t="s">
        <v>3624</v>
      </c>
      <c r="C2557" s="45" t="s">
        <v>6780</v>
      </c>
      <c r="D2557" s="45" t="s">
        <v>6782</v>
      </c>
      <c r="E2557" s="44" t="s">
        <v>6858</v>
      </c>
      <c r="F2557" s="37">
        <v>1</v>
      </c>
      <c r="G2557" s="37" t="s">
        <v>6864</v>
      </c>
      <c r="H2557" s="63">
        <v>3103.1</v>
      </c>
    </row>
    <row r="2558" spans="1:8" ht="24.75" customHeight="1">
      <c r="A2558" s="44" t="s">
        <v>1640</v>
      </c>
      <c r="B2558" s="45" t="s">
        <v>3669</v>
      </c>
      <c r="C2558" s="45" t="s">
        <v>6780</v>
      </c>
      <c r="D2558" s="45" t="s">
        <v>6783</v>
      </c>
      <c r="E2558" s="44" t="s">
        <v>6858</v>
      </c>
      <c r="F2558" s="37">
        <v>1</v>
      </c>
      <c r="G2558" s="37" t="s">
        <v>6864</v>
      </c>
      <c r="H2558" s="63">
        <v>50593.4</v>
      </c>
    </row>
    <row r="2559" spans="1:8" ht="24.75" customHeight="1">
      <c r="A2559" s="44" t="s">
        <v>2101</v>
      </c>
      <c r="B2559" s="45" t="s">
        <v>3655</v>
      </c>
      <c r="C2559" s="45" t="s">
        <v>6780</v>
      </c>
      <c r="D2559" s="45" t="s">
        <v>6783</v>
      </c>
      <c r="E2559" s="44" t="s">
        <v>6858</v>
      </c>
      <c r="F2559" s="37">
        <v>1</v>
      </c>
      <c r="G2559" s="37" t="s">
        <v>6864</v>
      </c>
      <c r="H2559" s="63">
        <v>40869.4</v>
      </c>
    </row>
    <row r="2560" spans="1:8" ht="24.75" customHeight="1">
      <c r="A2560" s="44" t="s">
        <v>1215</v>
      </c>
      <c r="B2560" s="45" t="s">
        <v>3654</v>
      </c>
      <c r="C2560" s="45" t="s">
        <v>6780</v>
      </c>
      <c r="D2560" s="45" t="s">
        <v>6783</v>
      </c>
      <c r="E2560" s="44" t="s">
        <v>6858</v>
      </c>
      <c r="F2560" s="37">
        <v>1</v>
      </c>
      <c r="G2560" s="37" t="s">
        <v>6864</v>
      </c>
      <c r="H2560" s="63">
        <v>38509.9</v>
      </c>
    </row>
    <row r="2561" spans="1:8" ht="24.75" customHeight="1">
      <c r="A2561" s="44" t="s">
        <v>2290</v>
      </c>
      <c r="B2561" s="45" t="s">
        <v>3673</v>
      </c>
      <c r="C2561" s="45" t="s">
        <v>6780</v>
      </c>
      <c r="D2561" s="45" t="s">
        <v>6783</v>
      </c>
      <c r="E2561" s="44" t="s">
        <v>6858</v>
      </c>
      <c r="F2561" s="37">
        <v>1</v>
      </c>
      <c r="G2561" s="37" t="s">
        <v>6864</v>
      </c>
      <c r="H2561" s="63">
        <v>51179.7</v>
      </c>
    </row>
    <row r="2562" spans="1:8" ht="24.75" customHeight="1">
      <c r="A2562" s="44" t="s">
        <v>8</v>
      </c>
      <c r="B2562" s="45" t="s">
        <v>3663</v>
      </c>
      <c r="C2562" s="45" t="s">
        <v>6780</v>
      </c>
      <c r="D2562" s="45" t="s">
        <v>6783</v>
      </c>
      <c r="E2562" s="44" t="s">
        <v>6858</v>
      </c>
      <c r="F2562" s="37">
        <v>1</v>
      </c>
      <c r="G2562" s="37" t="s">
        <v>6864</v>
      </c>
      <c r="H2562" s="63">
        <v>36436.400000000001</v>
      </c>
    </row>
    <row r="2563" spans="1:8" ht="24.75" customHeight="1">
      <c r="A2563" s="44" t="s">
        <v>7</v>
      </c>
      <c r="B2563" s="45" t="s">
        <v>3662</v>
      </c>
      <c r="C2563" s="45" t="s">
        <v>6780</v>
      </c>
      <c r="D2563" s="45" t="s">
        <v>6783</v>
      </c>
      <c r="E2563" s="44" t="s">
        <v>6858</v>
      </c>
      <c r="F2563" s="37">
        <v>1</v>
      </c>
      <c r="G2563" s="37" t="s">
        <v>6864</v>
      </c>
      <c r="H2563" s="63">
        <v>41026.699999999997</v>
      </c>
    </row>
    <row r="2564" spans="1:8" ht="24.75" customHeight="1">
      <c r="A2564" s="44" t="s">
        <v>569</v>
      </c>
      <c r="B2564" s="45" t="s">
        <v>3643</v>
      </c>
      <c r="C2564" s="45" t="s">
        <v>6780</v>
      </c>
      <c r="D2564" s="45" t="s">
        <v>6783</v>
      </c>
      <c r="E2564" s="44" t="s">
        <v>6858</v>
      </c>
      <c r="F2564" s="37">
        <v>1</v>
      </c>
      <c r="G2564" s="37" t="s">
        <v>6864</v>
      </c>
      <c r="H2564" s="63">
        <v>29686.799999999999</v>
      </c>
    </row>
    <row r="2565" spans="1:8" ht="24.75" customHeight="1">
      <c r="A2565" s="44" t="s">
        <v>570</v>
      </c>
      <c r="B2565" s="45" t="s">
        <v>3644</v>
      </c>
      <c r="C2565" s="45" t="s">
        <v>6780</v>
      </c>
      <c r="D2565" s="45" t="s">
        <v>6783</v>
      </c>
      <c r="E2565" s="44" t="s">
        <v>6858</v>
      </c>
      <c r="F2565" s="37">
        <v>1</v>
      </c>
      <c r="G2565" s="37" t="s">
        <v>6864</v>
      </c>
      <c r="H2565" s="63">
        <v>40097.199999999997</v>
      </c>
    </row>
    <row r="2566" spans="1:8" ht="24.75" customHeight="1">
      <c r="A2566" s="44" t="s">
        <v>2103</v>
      </c>
      <c r="B2566" s="45" t="s">
        <v>3675</v>
      </c>
      <c r="C2566" s="45" t="s">
        <v>6780</v>
      </c>
      <c r="D2566" s="45" t="s">
        <v>6783</v>
      </c>
      <c r="E2566" s="44" t="s">
        <v>6858</v>
      </c>
      <c r="F2566" s="37">
        <v>1</v>
      </c>
      <c r="G2566" s="37" t="s">
        <v>6864</v>
      </c>
      <c r="H2566" s="63">
        <v>48276.800000000003</v>
      </c>
    </row>
    <row r="2567" spans="1:8" ht="24.75" customHeight="1">
      <c r="A2567" s="44" t="s">
        <v>1496</v>
      </c>
      <c r="B2567" s="45" t="s">
        <v>3665</v>
      </c>
      <c r="C2567" s="45" t="s">
        <v>6780</v>
      </c>
      <c r="D2567" s="45" t="s">
        <v>6783</v>
      </c>
      <c r="E2567" s="44" t="s">
        <v>6858</v>
      </c>
      <c r="F2567" s="37">
        <v>1</v>
      </c>
      <c r="G2567" s="37" t="s">
        <v>6864</v>
      </c>
      <c r="H2567" s="63">
        <v>38209.599999999999</v>
      </c>
    </row>
    <row r="2568" spans="1:8" ht="24.75" customHeight="1">
      <c r="A2568" s="44" t="s">
        <v>10</v>
      </c>
      <c r="B2568" s="45" t="s">
        <v>3666</v>
      </c>
      <c r="C2568" s="45" t="s">
        <v>6780</v>
      </c>
      <c r="D2568" s="45" t="s">
        <v>6783</v>
      </c>
      <c r="E2568" s="44" t="s">
        <v>6858</v>
      </c>
      <c r="F2568" s="37">
        <v>1</v>
      </c>
      <c r="G2568" s="37" t="s">
        <v>6864</v>
      </c>
      <c r="H2568" s="63">
        <v>38009.4</v>
      </c>
    </row>
    <row r="2569" spans="1:8" ht="24.75" customHeight="1">
      <c r="A2569" s="44" t="s">
        <v>9</v>
      </c>
      <c r="B2569" s="45" t="s">
        <v>3664</v>
      </c>
      <c r="C2569" s="45" t="s">
        <v>6780</v>
      </c>
      <c r="D2569" s="45" t="s">
        <v>6783</v>
      </c>
      <c r="E2569" s="44" t="s">
        <v>6858</v>
      </c>
      <c r="F2569" s="37">
        <v>1</v>
      </c>
      <c r="G2569" s="37" t="s">
        <v>6864</v>
      </c>
      <c r="H2569" s="63">
        <v>50550.5</v>
      </c>
    </row>
    <row r="2570" spans="1:8" ht="24.75" customHeight="1">
      <c r="A2570" s="44" t="s">
        <v>1641</v>
      </c>
      <c r="B2570" s="45" t="s">
        <v>3670</v>
      </c>
      <c r="C2570" s="45" t="s">
        <v>6780</v>
      </c>
      <c r="D2570" s="45" t="s">
        <v>6783</v>
      </c>
      <c r="E2570" s="44" t="s">
        <v>6858</v>
      </c>
      <c r="F2570" s="37">
        <v>1</v>
      </c>
      <c r="G2570" s="37" t="s">
        <v>6864</v>
      </c>
      <c r="H2570" s="63">
        <v>66495</v>
      </c>
    </row>
    <row r="2571" spans="1:8" ht="24.75" customHeight="1">
      <c r="A2571" s="44" t="s">
        <v>1211</v>
      </c>
      <c r="B2571" s="45" t="s">
        <v>3651</v>
      </c>
      <c r="C2571" s="45" t="s">
        <v>6780</v>
      </c>
      <c r="D2571" s="45" t="s">
        <v>6783</v>
      </c>
      <c r="E2571" s="44" t="s">
        <v>6858</v>
      </c>
      <c r="F2571" s="37">
        <v>1</v>
      </c>
      <c r="G2571" s="37" t="s">
        <v>6864</v>
      </c>
      <c r="H2571" s="63">
        <v>16931.2</v>
      </c>
    </row>
    <row r="2572" spans="1:8" ht="24.75" customHeight="1">
      <c r="A2572" s="44" t="s">
        <v>574</v>
      </c>
      <c r="B2572" s="45" t="s">
        <v>3650</v>
      </c>
      <c r="C2572" s="45" t="s">
        <v>6780</v>
      </c>
      <c r="D2572" s="45" t="s">
        <v>6783</v>
      </c>
      <c r="E2572" s="44" t="s">
        <v>6858</v>
      </c>
      <c r="F2572" s="37">
        <v>1</v>
      </c>
      <c r="G2572" s="37" t="s">
        <v>6864</v>
      </c>
      <c r="H2572" s="63">
        <v>17760.599999999999</v>
      </c>
    </row>
    <row r="2573" spans="1:8" ht="24.75" customHeight="1">
      <c r="A2573" s="44" t="s">
        <v>575</v>
      </c>
      <c r="B2573" s="45" t="s">
        <v>3652</v>
      </c>
      <c r="C2573" s="45" t="s">
        <v>6780</v>
      </c>
      <c r="D2573" s="45" t="s">
        <v>6783</v>
      </c>
      <c r="E2573" s="44" t="s">
        <v>6858</v>
      </c>
      <c r="F2573" s="37">
        <v>1</v>
      </c>
      <c r="G2573" s="37" t="s">
        <v>6864</v>
      </c>
      <c r="H2573" s="63">
        <v>18475.599999999999</v>
      </c>
    </row>
    <row r="2574" spans="1:8" ht="24.75" customHeight="1">
      <c r="A2574" s="44" t="s">
        <v>576</v>
      </c>
      <c r="B2574" s="45" t="s">
        <v>3653</v>
      </c>
      <c r="C2574" s="45" t="s">
        <v>6780</v>
      </c>
      <c r="D2574" s="45" t="s">
        <v>6783</v>
      </c>
      <c r="E2574" s="44" t="s">
        <v>6858</v>
      </c>
      <c r="F2574" s="37">
        <v>1</v>
      </c>
      <c r="G2574" s="37" t="s">
        <v>6864</v>
      </c>
      <c r="H2574" s="63">
        <v>20920.900000000001</v>
      </c>
    </row>
    <row r="2575" spans="1:8" ht="24.75" customHeight="1">
      <c r="A2575" s="44" t="s">
        <v>566</v>
      </c>
      <c r="B2575" s="45" t="s">
        <v>3640</v>
      </c>
      <c r="C2575" s="45" t="s">
        <v>6780</v>
      </c>
      <c r="D2575" s="45" t="s">
        <v>6783</v>
      </c>
      <c r="E2575" s="44" t="s">
        <v>6858</v>
      </c>
      <c r="F2575" s="37">
        <v>1</v>
      </c>
      <c r="G2575" s="37" t="s">
        <v>6864</v>
      </c>
      <c r="H2575" s="63">
        <v>20820.8</v>
      </c>
    </row>
    <row r="2576" spans="1:8" ht="24.75" customHeight="1">
      <c r="A2576" s="44" t="s">
        <v>571</v>
      </c>
      <c r="B2576" s="45" t="s">
        <v>3645</v>
      </c>
      <c r="C2576" s="45" t="s">
        <v>6780</v>
      </c>
      <c r="D2576" s="45" t="s">
        <v>6783</v>
      </c>
      <c r="E2576" s="44" t="s">
        <v>6858</v>
      </c>
      <c r="F2576" s="37">
        <v>1</v>
      </c>
      <c r="G2576" s="37" t="s">
        <v>6864</v>
      </c>
      <c r="H2576" s="63">
        <v>29214.9</v>
      </c>
    </row>
    <row r="2577" spans="1:8" ht="24.75" customHeight="1">
      <c r="A2577" s="44" t="s">
        <v>1214</v>
      </c>
      <c r="B2577" s="45" t="s">
        <v>3656</v>
      </c>
      <c r="C2577" s="45" t="s">
        <v>6780</v>
      </c>
      <c r="D2577" s="45" t="s">
        <v>6783</v>
      </c>
      <c r="E2577" s="44" t="s">
        <v>6858</v>
      </c>
      <c r="F2577" s="37">
        <v>1</v>
      </c>
      <c r="G2577" s="37" t="s">
        <v>6864</v>
      </c>
      <c r="H2577" s="63">
        <v>29786.9</v>
      </c>
    </row>
    <row r="2578" spans="1:8" ht="24.75" customHeight="1">
      <c r="A2578" s="44" t="s">
        <v>1212</v>
      </c>
      <c r="B2578" s="45" t="s">
        <v>3660</v>
      </c>
      <c r="C2578" s="45" t="s">
        <v>6780</v>
      </c>
      <c r="D2578" s="45" t="s">
        <v>6783</v>
      </c>
      <c r="E2578" s="44" t="s">
        <v>6858</v>
      </c>
      <c r="F2578" s="37">
        <v>1</v>
      </c>
      <c r="G2578" s="37" t="s">
        <v>6864</v>
      </c>
      <c r="H2578" s="63">
        <v>15830.1</v>
      </c>
    </row>
    <row r="2579" spans="1:8" ht="24.75" customHeight="1">
      <c r="A2579" s="44" t="s">
        <v>1642</v>
      </c>
      <c r="B2579" s="45" t="s">
        <v>3671</v>
      </c>
      <c r="C2579" s="45" t="s">
        <v>6780</v>
      </c>
      <c r="D2579" s="45" t="s">
        <v>6783</v>
      </c>
      <c r="E2579" s="44" t="s">
        <v>6858</v>
      </c>
      <c r="F2579" s="37">
        <v>1</v>
      </c>
      <c r="G2579" s="37" t="s">
        <v>6864</v>
      </c>
      <c r="H2579" s="63">
        <v>26583.7</v>
      </c>
    </row>
    <row r="2580" spans="1:8" ht="24.75" customHeight="1">
      <c r="A2580" s="44" t="s">
        <v>1210</v>
      </c>
      <c r="B2580" s="45" t="s">
        <v>3659</v>
      </c>
      <c r="C2580" s="45" t="s">
        <v>6780</v>
      </c>
      <c r="D2580" s="45" t="s">
        <v>6783</v>
      </c>
      <c r="E2580" s="44" t="s">
        <v>6858</v>
      </c>
      <c r="F2580" s="37">
        <v>1</v>
      </c>
      <c r="G2580" s="37" t="s">
        <v>6864</v>
      </c>
      <c r="H2580" s="63">
        <v>26826.799999999999</v>
      </c>
    </row>
    <row r="2581" spans="1:8" ht="24.75" customHeight="1">
      <c r="A2581" s="44" t="s">
        <v>1209</v>
      </c>
      <c r="B2581" s="45" t="s">
        <v>3658</v>
      </c>
      <c r="C2581" s="45" t="s">
        <v>6780</v>
      </c>
      <c r="D2581" s="45" t="s">
        <v>6783</v>
      </c>
      <c r="E2581" s="44" t="s">
        <v>6858</v>
      </c>
      <c r="F2581" s="37">
        <v>1</v>
      </c>
      <c r="G2581" s="37" t="s">
        <v>6864</v>
      </c>
      <c r="H2581" s="63">
        <v>26826.799999999999</v>
      </c>
    </row>
    <row r="2582" spans="1:8" ht="24.75" customHeight="1">
      <c r="A2582" s="44" t="s">
        <v>1213</v>
      </c>
      <c r="B2582" s="45" t="s">
        <v>3649</v>
      </c>
      <c r="C2582" s="45" t="s">
        <v>6780</v>
      </c>
      <c r="D2582" s="45" t="s">
        <v>6783</v>
      </c>
      <c r="E2582" s="44" t="s">
        <v>6858</v>
      </c>
      <c r="F2582" s="37">
        <v>1</v>
      </c>
      <c r="G2582" s="37" t="s">
        <v>6864</v>
      </c>
      <c r="H2582" s="63">
        <v>42456.7</v>
      </c>
    </row>
    <row r="2583" spans="1:8" ht="24.75" customHeight="1">
      <c r="A2583" s="44" t="s">
        <v>573</v>
      </c>
      <c r="B2583" s="45" t="s">
        <v>3647</v>
      </c>
      <c r="C2583" s="45" t="s">
        <v>6780</v>
      </c>
      <c r="D2583" s="45" t="s">
        <v>6783</v>
      </c>
      <c r="E2583" s="44" t="s">
        <v>6858</v>
      </c>
      <c r="F2583" s="37">
        <v>1</v>
      </c>
      <c r="G2583" s="37" t="s">
        <v>6864</v>
      </c>
      <c r="H2583" s="63">
        <v>42456.7</v>
      </c>
    </row>
    <row r="2584" spans="1:8" ht="24.75" customHeight="1">
      <c r="A2584" s="44" t="s">
        <v>2123</v>
      </c>
      <c r="B2584" s="45" t="s">
        <v>3648</v>
      </c>
      <c r="C2584" s="45" t="s">
        <v>6780</v>
      </c>
      <c r="D2584" s="45" t="s">
        <v>6783</v>
      </c>
      <c r="E2584" s="44" t="s">
        <v>6858</v>
      </c>
      <c r="F2584" s="37">
        <v>1</v>
      </c>
      <c r="G2584" s="37" t="s">
        <v>6864</v>
      </c>
      <c r="H2584" s="63">
        <v>42456.7</v>
      </c>
    </row>
    <row r="2585" spans="1:8" ht="24.75" customHeight="1">
      <c r="A2585" s="44" t="s">
        <v>2289</v>
      </c>
      <c r="B2585" s="45" t="s">
        <v>3672</v>
      </c>
      <c r="C2585" s="45" t="s">
        <v>6780</v>
      </c>
      <c r="D2585" s="45" t="s">
        <v>6783</v>
      </c>
      <c r="E2585" s="44" t="s">
        <v>6858</v>
      </c>
      <c r="F2585" s="37">
        <v>1</v>
      </c>
      <c r="G2585" s="37" t="s">
        <v>6864</v>
      </c>
      <c r="H2585" s="63">
        <v>46346.3</v>
      </c>
    </row>
    <row r="2586" spans="1:8" ht="24.75" customHeight="1">
      <c r="A2586" s="44" t="s">
        <v>572</v>
      </c>
      <c r="B2586" s="45" t="s">
        <v>3646</v>
      </c>
      <c r="C2586" s="45" t="s">
        <v>6780</v>
      </c>
      <c r="D2586" s="45" t="s">
        <v>6783</v>
      </c>
      <c r="E2586" s="44" t="s">
        <v>6858</v>
      </c>
      <c r="F2586" s="37">
        <v>1</v>
      </c>
      <c r="G2586" s="37" t="s">
        <v>6864</v>
      </c>
      <c r="H2586" s="63">
        <v>20606.3</v>
      </c>
    </row>
    <row r="2587" spans="1:8" ht="24.75" customHeight="1">
      <c r="A2587" s="44" t="s">
        <v>11</v>
      </c>
      <c r="B2587" s="45" t="s">
        <v>3667</v>
      </c>
      <c r="C2587" s="45" t="s">
        <v>6780</v>
      </c>
      <c r="D2587" s="45" t="s">
        <v>6783</v>
      </c>
      <c r="E2587" s="44" t="s">
        <v>6858</v>
      </c>
      <c r="F2587" s="37">
        <v>1</v>
      </c>
      <c r="G2587" s="37" t="s">
        <v>6864</v>
      </c>
      <c r="H2587" s="63">
        <v>30330.3</v>
      </c>
    </row>
    <row r="2588" spans="1:8" ht="24.75" customHeight="1">
      <c r="A2588" s="44" t="s">
        <v>6</v>
      </c>
      <c r="B2588" s="45" t="s">
        <v>3661</v>
      </c>
      <c r="C2588" s="45" t="s">
        <v>6780</v>
      </c>
      <c r="D2588" s="45" t="s">
        <v>6783</v>
      </c>
      <c r="E2588" s="44" t="s">
        <v>6858</v>
      </c>
      <c r="F2588" s="37">
        <v>1</v>
      </c>
      <c r="G2588" s="37" t="s">
        <v>6864</v>
      </c>
      <c r="H2588" s="63">
        <v>25582.7</v>
      </c>
    </row>
    <row r="2589" spans="1:8" ht="24.75" customHeight="1">
      <c r="A2589" s="44" t="s">
        <v>2102</v>
      </c>
      <c r="B2589" s="45" t="s">
        <v>3668</v>
      </c>
      <c r="C2589" s="45" t="s">
        <v>6780</v>
      </c>
      <c r="D2589" s="45" t="s">
        <v>6783</v>
      </c>
      <c r="E2589" s="44" t="s">
        <v>6858</v>
      </c>
      <c r="F2589" s="37">
        <v>1</v>
      </c>
      <c r="G2589" s="37" t="s">
        <v>6864</v>
      </c>
      <c r="H2589" s="63">
        <v>33848.1</v>
      </c>
    </row>
    <row r="2590" spans="1:8" ht="24.75" customHeight="1">
      <c r="A2590" s="44" t="s">
        <v>567</v>
      </c>
      <c r="B2590" s="45" t="s">
        <v>3641</v>
      </c>
      <c r="C2590" s="45" t="s">
        <v>6780</v>
      </c>
      <c r="D2590" s="45" t="s">
        <v>6783</v>
      </c>
      <c r="E2590" s="44" t="s">
        <v>6858</v>
      </c>
      <c r="F2590" s="37">
        <v>1</v>
      </c>
      <c r="G2590" s="37" t="s">
        <v>6864</v>
      </c>
      <c r="H2590" s="63">
        <v>27127.1</v>
      </c>
    </row>
    <row r="2591" spans="1:8" ht="24.75" customHeight="1">
      <c r="A2591" s="44" t="s">
        <v>568</v>
      </c>
      <c r="B2591" s="45" t="s">
        <v>3642</v>
      </c>
      <c r="C2591" s="45" t="s">
        <v>6780</v>
      </c>
      <c r="D2591" s="45" t="s">
        <v>6783</v>
      </c>
      <c r="E2591" s="44" t="s">
        <v>6858</v>
      </c>
      <c r="F2591" s="37">
        <v>1</v>
      </c>
      <c r="G2591" s="37" t="s">
        <v>6864</v>
      </c>
      <c r="H2591" s="63">
        <v>29057.599999999999</v>
      </c>
    </row>
    <row r="2592" spans="1:8" ht="24.75" customHeight="1">
      <c r="A2592" s="44" t="s">
        <v>2567</v>
      </c>
      <c r="B2592" s="45" t="s">
        <v>3674</v>
      </c>
      <c r="C2592" s="45" t="s">
        <v>6780</v>
      </c>
      <c r="D2592" s="45" t="s">
        <v>6783</v>
      </c>
      <c r="E2592" s="44" t="s">
        <v>6858</v>
      </c>
      <c r="F2592" s="37">
        <v>1</v>
      </c>
      <c r="G2592" s="37" t="s">
        <v>6864</v>
      </c>
      <c r="H2592" s="63">
        <v>35549.800000000003</v>
      </c>
    </row>
    <row r="2593" spans="1:8" ht="24.75" customHeight="1">
      <c r="A2593" s="44" t="s">
        <v>2100</v>
      </c>
      <c r="B2593" s="45" t="s">
        <v>3657</v>
      </c>
      <c r="C2593" s="45" t="s">
        <v>6780</v>
      </c>
      <c r="D2593" s="45" t="s">
        <v>6783</v>
      </c>
      <c r="E2593" s="44" t="s">
        <v>6858</v>
      </c>
      <c r="F2593" s="37">
        <v>1</v>
      </c>
      <c r="G2593" s="37" t="s">
        <v>6864</v>
      </c>
      <c r="H2593" s="63">
        <v>36507.9</v>
      </c>
    </row>
    <row r="2594" spans="1:8" ht="24.75" customHeight="1">
      <c r="A2594" s="44" t="s">
        <v>1597</v>
      </c>
      <c r="B2594" s="45" t="s">
        <v>6350</v>
      </c>
      <c r="C2594" s="45" t="s">
        <v>6780</v>
      </c>
      <c r="D2594" s="45" t="s">
        <v>6784</v>
      </c>
      <c r="E2594" s="44" t="s">
        <v>6839</v>
      </c>
      <c r="F2594" s="37">
        <v>1</v>
      </c>
      <c r="G2594" s="37" t="s">
        <v>6864</v>
      </c>
      <c r="H2594" s="63">
        <v>3374.8</v>
      </c>
    </row>
    <row r="2595" spans="1:8" ht="24.75" customHeight="1">
      <c r="A2595" s="44" t="s">
        <v>1598</v>
      </c>
      <c r="B2595" s="45" t="s">
        <v>6351</v>
      </c>
      <c r="C2595" s="45" t="s">
        <v>6780</v>
      </c>
      <c r="D2595" s="45" t="s">
        <v>6784</v>
      </c>
      <c r="E2595" s="44" t="s">
        <v>6839</v>
      </c>
      <c r="F2595" s="37">
        <v>1</v>
      </c>
      <c r="G2595" s="37" t="s">
        <v>6864</v>
      </c>
      <c r="H2595" s="63">
        <v>4504.5</v>
      </c>
    </row>
    <row r="2596" spans="1:8" ht="24.75" customHeight="1">
      <c r="A2596" s="44" t="s">
        <v>689</v>
      </c>
      <c r="B2596" s="45" t="s">
        <v>5098</v>
      </c>
      <c r="C2596" s="45" t="s">
        <v>6780</v>
      </c>
      <c r="D2596" s="45" t="s">
        <v>6784</v>
      </c>
      <c r="E2596" s="44"/>
      <c r="F2596" s="37">
        <v>5</v>
      </c>
      <c r="G2596" s="37" t="s">
        <v>6864</v>
      </c>
      <c r="H2596" s="63">
        <v>2516.8000000000002</v>
      </c>
    </row>
    <row r="2597" spans="1:8" ht="24.75" customHeight="1">
      <c r="A2597" s="44" t="s">
        <v>3176</v>
      </c>
      <c r="B2597" s="45" t="s">
        <v>5350</v>
      </c>
      <c r="C2597" s="45" t="s">
        <v>6780</v>
      </c>
      <c r="D2597" s="45" t="s">
        <v>6784</v>
      </c>
      <c r="E2597" s="44"/>
      <c r="F2597" s="37">
        <v>2</v>
      </c>
      <c r="G2597" s="37" t="s">
        <v>6864</v>
      </c>
      <c r="H2597" s="63">
        <v>2731.3</v>
      </c>
    </row>
    <row r="2598" spans="1:8" ht="24.75" customHeight="1">
      <c r="A2598" s="44" t="s">
        <v>1115</v>
      </c>
      <c r="B2598" s="45" t="s">
        <v>5676</v>
      </c>
      <c r="C2598" s="45" t="s">
        <v>6780</v>
      </c>
      <c r="D2598" s="45" t="s">
        <v>6784</v>
      </c>
      <c r="E2598" s="44"/>
      <c r="F2598" s="37">
        <v>5</v>
      </c>
      <c r="G2598" s="37" t="s">
        <v>6864</v>
      </c>
      <c r="H2598" s="63">
        <v>2588.3000000000002</v>
      </c>
    </row>
    <row r="2599" spans="1:8" ht="24.75" customHeight="1">
      <c r="A2599" s="44" t="s">
        <v>2367</v>
      </c>
      <c r="B2599" s="45" t="s">
        <v>4817</v>
      </c>
      <c r="C2599" s="45" t="s">
        <v>6780</v>
      </c>
      <c r="D2599" s="45" t="s">
        <v>6784</v>
      </c>
      <c r="E2599" s="44"/>
      <c r="F2599" s="37">
        <v>5</v>
      </c>
      <c r="G2599" s="37" t="s">
        <v>6864</v>
      </c>
      <c r="H2599" s="63">
        <v>3003</v>
      </c>
    </row>
    <row r="2600" spans="1:8" ht="24.75" customHeight="1">
      <c r="A2600" s="44" t="s">
        <v>2196</v>
      </c>
      <c r="B2600" s="45" t="s">
        <v>5579</v>
      </c>
      <c r="C2600" s="45" t="s">
        <v>6780</v>
      </c>
      <c r="D2600" s="45" t="s">
        <v>6784</v>
      </c>
      <c r="E2600" s="44"/>
      <c r="F2600" s="37">
        <v>5</v>
      </c>
      <c r="G2600" s="37" t="s">
        <v>6864</v>
      </c>
      <c r="H2600" s="63">
        <v>2602.6</v>
      </c>
    </row>
    <row r="2601" spans="1:8" ht="24.75" customHeight="1">
      <c r="A2601" s="44" t="s">
        <v>2465</v>
      </c>
      <c r="B2601" s="45" t="s">
        <v>4842</v>
      </c>
      <c r="C2601" s="45" t="s">
        <v>6780</v>
      </c>
      <c r="D2601" s="45" t="s">
        <v>6784</v>
      </c>
      <c r="E2601" s="44"/>
      <c r="F2601" s="37">
        <v>5</v>
      </c>
      <c r="G2601" s="37" t="s">
        <v>6864</v>
      </c>
      <c r="H2601" s="63">
        <v>2259.4</v>
      </c>
    </row>
    <row r="2602" spans="1:8" ht="24.75" customHeight="1">
      <c r="A2602" s="44" t="s">
        <v>2368</v>
      </c>
      <c r="B2602" s="45" t="s">
        <v>4818</v>
      </c>
      <c r="C2602" s="45" t="s">
        <v>6780</v>
      </c>
      <c r="D2602" s="45" t="s">
        <v>6784</v>
      </c>
      <c r="E2602" s="44"/>
      <c r="F2602" s="37">
        <v>5</v>
      </c>
      <c r="G2602" s="37" t="s">
        <v>6864</v>
      </c>
      <c r="H2602" s="63">
        <v>3603.6</v>
      </c>
    </row>
    <row r="2603" spans="1:8" ht="24.75" customHeight="1">
      <c r="A2603" s="44" t="s">
        <v>1433</v>
      </c>
      <c r="B2603" s="45" t="s">
        <v>4991</v>
      </c>
      <c r="C2603" s="45" t="s">
        <v>6780</v>
      </c>
      <c r="D2603" s="45" t="s">
        <v>6784</v>
      </c>
      <c r="E2603" s="44"/>
      <c r="F2603" s="37">
        <v>5</v>
      </c>
      <c r="G2603" s="37" t="s">
        <v>6864</v>
      </c>
      <c r="H2603" s="63">
        <v>2731.3</v>
      </c>
    </row>
    <row r="2604" spans="1:8" ht="24.75" customHeight="1">
      <c r="A2604" s="44" t="s">
        <v>708</v>
      </c>
      <c r="B2604" s="45" t="s">
        <v>5117</v>
      </c>
      <c r="C2604" s="45" t="s">
        <v>6780</v>
      </c>
      <c r="D2604" s="45" t="s">
        <v>6784</v>
      </c>
      <c r="E2604" s="44"/>
      <c r="F2604" s="37">
        <v>6</v>
      </c>
      <c r="G2604" s="37" t="s">
        <v>6864</v>
      </c>
      <c r="H2604" s="63">
        <v>2516.8000000000002</v>
      </c>
    </row>
    <row r="2605" spans="1:8" ht="24.75" customHeight="1">
      <c r="A2605" s="44" t="s">
        <v>777</v>
      </c>
      <c r="B2605" s="45" t="s">
        <v>6009</v>
      </c>
      <c r="C2605" s="45" t="s">
        <v>6780</v>
      </c>
      <c r="D2605" s="45" t="s">
        <v>6784</v>
      </c>
      <c r="E2605" s="44" t="s">
        <v>6839</v>
      </c>
      <c r="F2605" s="37">
        <v>1</v>
      </c>
      <c r="G2605" s="37" t="s">
        <v>2568</v>
      </c>
      <c r="H2605" s="63">
        <v>3160.3</v>
      </c>
    </row>
    <row r="2606" spans="1:8" ht="24.75" customHeight="1">
      <c r="A2606" s="44" t="s">
        <v>1127</v>
      </c>
      <c r="B2606" s="45" t="s">
        <v>5687</v>
      </c>
      <c r="C2606" s="45" t="s">
        <v>6780</v>
      </c>
      <c r="D2606" s="45" t="s">
        <v>6784</v>
      </c>
      <c r="E2606" s="44" t="s">
        <v>6839</v>
      </c>
      <c r="F2606" s="37">
        <v>5</v>
      </c>
      <c r="G2606" s="37" t="s">
        <v>2568</v>
      </c>
      <c r="H2606" s="63">
        <v>2330.9</v>
      </c>
    </row>
    <row r="2607" spans="1:8" ht="24.75" customHeight="1">
      <c r="A2607" s="44" t="s">
        <v>155</v>
      </c>
      <c r="B2607" s="45" t="s">
        <v>5123</v>
      </c>
      <c r="C2607" s="45" t="s">
        <v>6780</v>
      </c>
      <c r="D2607" s="45" t="s">
        <v>6784</v>
      </c>
      <c r="E2607" s="44"/>
      <c r="F2607" s="37">
        <v>6</v>
      </c>
      <c r="G2607" s="37" t="s">
        <v>6864</v>
      </c>
      <c r="H2607" s="63">
        <v>2402.4</v>
      </c>
    </row>
    <row r="2608" spans="1:8" ht="24.75" customHeight="1">
      <c r="A2608" s="44" t="s">
        <v>3199</v>
      </c>
      <c r="B2608" s="45" t="s">
        <v>5351</v>
      </c>
      <c r="C2608" s="45" t="s">
        <v>6780</v>
      </c>
      <c r="D2608" s="45" t="s">
        <v>6784</v>
      </c>
      <c r="E2608" s="44" t="s">
        <v>956</v>
      </c>
      <c r="F2608" s="37">
        <v>1</v>
      </c>
      <c r="G2608" s="37" t="s">
        <v>6864</v>
      </c>
      <c r="H2608" s="63">
        <v>3532.1</v>
      </c>
    </row>
    <row r="2609" spans="1:8" ht="24.75" customHeight="1">
      <c r="A2609" s="44" t="s">
        <v>2369</v>
      </c>
      <c r="B2609" s="45" t="s">
        <v>4819</v>
      </c>
      <c r="C2609" s="45" t="s">
        <v>6780</v>
      </c>
      <c r="D2609" s="45" t="s">
        <v>6784</v>
      </c>
      <c r="E2609" s="44"/>
      <c r="F2609" s="37">
        <v>5</v>
      </c>
      <c r="G2609" s="37" t="s">
        <v>6864</v>
      </c>
      <c r="H2609" s="63">
        <v>4690.3999999999996</v>
      </c>
    </row>
    <row r="2610" spans="1:8" ht="24.75" customHeight="1">
      <c r="A2610" s="44" t="s">
        <v>2197</v>
      </c>
      <c r="B2610" s="45" t="s">
        <v>5582</v>
      </c>
      <c r="C2610" s="45" t="s">
        <v>6780</v>
      </c>
      <c r="D2610" s="45" t="s">
        <v>6784</v>
      </c>
      <c r="E2610" s="44"/>
      <c r="F2610" s="37">
        <v>5</v>
      </c>
      <c r="G2610" s="37" t="s">
        <v>6864</v>
      </c>
      <c r="H2610" s="63">
        <v>3603.6</v>
      </c>
    </row>
    <row r="2611" spans="1:8" ht="24.75" customHeight="1">
      <c r="A2611" s="44" t="s">
        <v>2466</v>
      </c>
      <c r="B2611" s="45" t="s">
        <v>4843</v>
      </c>
      <c r="C2611" s="45" t="s">
        <v>6780</v>
      </c>
      <c r="D2611" s="45" t="s">
        <v>6784</v>
      </c>
      <c r="E2611" s="44"/>
      <c r="F2611" s="37">
        <v>5</v>
      </c>
      <c r="G2611" s="37" t="s">
        <v>6864</v>
      </c>
      <c r="H2611" s="63">
        <v>3074.5</v>
      </c>
    </row>
    <row r="2612" spans="1:8" ht="24.75" customHeight="1">
      <c r="A2612" s="44" t="s">
        <v>2370</v>
      </c>
      <c r="B2612" s="45" t="s">
        <v>4820</v>
      </c>
      <c r="C2612" s="45" t="s">
        <v>6780</v>
      </c>
      <c r="D2612" s="45" t="s">
        <v>6784</v>
      </c>
      <c r="E2612" s="44"/>
      <c r="F2612" s="37">
        <v>5</v>
      </c>
      <c r="G2612" s="37" t="s">
        <v>6864</v>
      </c>
      <c r="H2612" s="63">
        <v>4347.2</v>
      </c>
    </row>
    <row r="2613" spans="1:8" ht="24.75" customHeight="1">
      <c r="A2613" s="44" t="s">
        <v>1429</v>
      </c>
      <c r="B2613" s="45" t="s">
        <v>4986</v>
      </c>
      <c r="C2613" s="45" t="s">
        <v>6780</v>
      </c>
      <c r="D2613" s="45" t="s">
        <v>6784</v>
      </c>
      <c r="E2613" s="44"/>
      <c r="F2613" s="37">
        <v>5</v>
      </c>
      <c r="G2613" s="37" t="s">
        <v>6864</v>
      </c>
      <c r="H2613" s="63">
        <v>3703.7</v>
      </c>
    </row>
    <row r="2614" spans="1:8" ht="24.75" customHeight="1">
      <c r="A2614" s="44" t="s">
        <v>778</v>
      </c>
      <c r="B2614" s="45" t="s">
        <v>6010</v>
      </c>
      <c r="C2614" s="45" t="s">
        <v>6780</v>
      </c>
      <c r="D2614" s="45" t="s">
        <v>6784</v>
      </c>
      <c r="E2614" s="44" t="s">
        <v>6839</v>
      </c>
      <c r="F2614" s="37">
        <v>5</v>
      </c>
      <c r="G2614" s="37" t="s">
        <v>2568</v>
      </c>
      <c r="H2614" s="63">
        <v>5005</v>
      </c>
    </row>
    <row r="2615" spans="1:8" ht="24.75" customHeight="1">
      <c r="A2615" s="44" t="s">
        <v>1846</v>
      </c>
      <c r="B2615" s="45" t="s">
        <v>5264</v>
      </c>
      <c r="C2615" s="45" t="s">
        <v>6780</v>
      </c>
      <c r="D2615" s="45" t="s">
        <v>6785</v>
      </c>
      <c r="E2615" s="44" t="s">
        <v>956</v>
      </c>
      <c r="F2615" s="37">
        <v>1</v>
      </c>
      <c r="G2615" s="37" t="s">
        <v>2568</v>
      </c>
      <c r="H2615" s="63">
        <v>2931.5</v>
      </c>
    </row>
    <row r="2616" spans="1:8" ht="24.75" customHeight="1">
      <c r="A2616" s="44" t="s">
        <v>2343</v>
      </c>
      <c r="B2616" s="45" t="s">
        <v>5310</v>
      </c>
      <c r="C2616" s="45" t="s">
        <v>6780</v>
      </c>
      <c r="D2616" s="45" t="s">
        <v>6785</v>
      </c>
      <c r="E2616" s="44" t="s">
        <v>956</v>
      </c>
      <c r="F2616" s="37">
        <v>1</v>
      </c>
      <c r="G2616" s="37" t="s">
        <v>2568</v>
      </c>
      <c r="H2616" s="63">
        <v>3074.5</v>
      </c>
    </row>
    <row r="2617" spans="1:8" ht="24.75" customHeight="1">
      <c r="A2617" s="44" t="s">
        <v>226</v>
      </c>
      <c r="B2617" s="45" t="s">
        <v>3869</v>
      </c>
      <c r="C2617" s="45" t="s">
        <v>6780</v>
      </c>
      <c r="D2617" s="45" t="s">
        <v>6785</v>
      </c>
      <c r="E2617" s="44" t="s">
        <v>6839</v>
      </c>
      <c r="F2617" s="37">
        <v>1</v>
      </c>
      <c r="G2617" s="37" t="s">
        <v>2568</v>
      </c>
      <c r="H2617" s="63">
        <v>2059.1999999999998</v>
      </c>
    </row>
    <row r="2618" spans="1:8" ht="24.75" customHeight="1">
      <c r="A2618" s="44" t="s">
        <v>227</v>
      </c>
      <c r="B2618" s="45" t="s">
        <v>3870</v>
      </c>
      <c r="C2618" s="45" t="s">
        <v>6780</v>
      </c>
      <c r="D2618" s="45" t="s">
        <v>6785</v>
      </c>
      <c r="E2618" s="44" t="s">
        <v>956</v>
      </c>
      <c r="F2618" s="37">
        <v>1</v>
      </c>
      <c r="G2618" s="37" t="s">
        <v>2568</v>
      </c>
      <c r="H2618" s="63">
        <v>2030.6</v>
      </c>
    </row>
    <row r="2619" spans="1:8" ht="24.75" customHeight="1">
      <c r="A2619" s="44" t="s">
        <v>229</v>
      </c>
      <c r="B2619" s="45" t="s">
        <v>3872</v>
      </c>
      <c r="C2619" s="45" t="s">
        <v>6780</v>
      </c>
      <c r="D2619" s="45" t="s">
        <v>6785</v>
      </c>
      <c r="E2619" s="44" t="s">
        <v>956</v>
      </c>
      <c r="F2619" s="37">
        <v>1</v>
      </c>
      <c r="G2619" s="37" t="s">
        <v>2568</v>
      </c>
      <c r="H2619" s="63">
        <v>1701.7</v>
      </c>
    </row>
    <row r="2620" spans="1:8" ht="24.75" customHeight="1">
      <c r="A2620" s="44" t="s">
        <v>78</v>
      </c>
      <c r="B2620" s="45" t="s">
        <v>3876</v>
      </c>
      <c r="C2620" s="45" t="s">
        <v>6780</v>
      </c>
      <c r="D2620" s="45" t="s">
        <v>6785</v>
      </c>
      <c r="E2620" s="44" t="s">
        <v>956</v>
      </c>
      <c r="F2620" s="37">
        <v>1</v>
      </c>
      <c r="G2620" s="37" t="s">
        <v>2568</v>
      </c>
      <c r="H2620" s="63">
        <v>2545.4</v>
      </c>
    </row>
    <row r="2621" spans="1:8" ht="24.75" customHeight="1">
      <c r="A2621" s="44" t="s">
        <v>3108</v>
      </c>
      <c r="B2621" s="45" t="s">
        <v>3879</v>
      </c>
      <c r="C2621" s="45" t="s">
        <v>6780</v>
      </c>
      <c r="D2621" s="45" t="s">
        <v>6785</v>
      </c>
      <c r="E2621" s="44" t="s">
        <v>956</v>
      </c>
      <c r="F2621" s="37">
        <v>1</v>
      </c>
      <c r="G2621" s="37" t="s">
        <v>2568</v>
      </c>
      <c r="H2621" s="63">
        <v>2802.8</v>
      </c>
    </row>
    <row r="2622" spans="1:8" ht="24.75" customHeight="1">
      <c r="A2622" s="44" t="s">
        <v>230</v>
      </c>
      <c r="B2622" s="45" t="s">
        <v>3873</v>
      </c>
      <c r="C2622" s="45" t="s">
        <v>6780</v>
      </c>
      <c r="D2622" s="45" t="s">
        <v>6785</v>
      </c>
      <c r="E2622" s="44" t="s">
        <v>6839</v>
      </c>
      <c r="F2622" s="37">
        <v>1</v>
      </c>
      <c r="G2622" s="37" t="s">
        <v>2568</v>
      </c>
      <c r="H2622" s="63">
        <v>2230.8000000000002</v>
      </c>
    </row>
    <row r="2623" spans="1:8" ht="24.75" customHeight="1">
      <c r="A2623" s="44" t="s">
        <v>231</v>
      </c>
      <c r="B2623" s="45" t="s">
        <v>3874</v>
      </c>
      <c r="C2623" s="45" t="s">
        <v>6780</v>
      </c>
      <c r="D2623" s="45" t="s">
        <v>6785</v>
      </c>
      <c r="E2623" s="44" t="s">
        <v>956</v>
      </c>
      <c r="F2623" s="37">
        <v>1</v>
      </c>
      <c r="G2623" s="37" t="s">
        <v>2568</v>
      </c>
      <c r="H2623" s="63">
        <v>2087.8000000000002</v>
      </c>
    </row>
    <row r="2624" spans="1:8" ht="24.75" customHeight="1">
      <c r="A2624" s="44" t="s">
        <v>1661</v>
      </c>
      <c r="B2624" s="45" t="s">
        <v>5482</v>
      </c>
      <c r="C2624" s="45" t="s">
        <v>6780</v>
      </c>
      <c r="D2624" s="45" t="s">
        <v>6785</v>
      </c>
      <c r="E2624" s="44" t="s">
        <v>6839</v>
      </c>
      <c r="F2624" s="37">
        <v>1</v>
      </c>
      <c r="G2624" s="37" t="s">
        <v>2568</v>
      </c>
      <c r="H2624" s="63">
        <v>2173.6</v>
      </c>
    </row>
    <row r="2625" spans="1:8" ht="24.75" customHeight="1">
      <c r="A2625" s="44" t="s">
        <v>1126</v>
      </c>
      <c r="B2625" s="45" t="s">
        <v>5686</v>
      </c>
      <c r="C2625" s="45" t="s">
        <v>6780</v>
      </c>
      <c r="D2625" s="45" t="s">
        <v>6785</v>
      </c>
      <c r="E2625" s="44"/>
      <c r="F2625" s="37">
        <v>1</v>
      </c>
      <c r="G2625" s="37" t="s">
        <v>2568</v>
      </c>
      <c r="H2625" s="63">
        <v>1930.5</v>
      </c>
    </row>
    <row r="2626" spans="1:8" ht="24.75" customHeight="1">
      <c r="A2626" s="44" t="s">
        <v>61</v>
      </c>
      <c r="B2626" s="45" t="s">
        <v>3878</v>
      </c>
      <c r="C2626" s="45" t="s">
        <v>6780</v>
      </c>
      <c r="D2626" s="45" t="s">
        <v>6785</v>
      </c>
      <c r="E2626" s="44" t="s">
        <v>956</v>
      </c>
      <c r="F2626" s="37">
        <v>1</v>
      </c>
      <c r="G2626" s="37" t="s">
        <v>2568</v>
      </c>
      <c r="H2626" s="63">
        <v>2659.8</v>
      </c>
    </row>
    <row r="2627" spans="1:8" ht="24.75" customHeight="1">
      <c r="A2627" s="44" t="s">
        <v>2204</v>
      </c>
      <c r="B2627" s="45" t="s">
        <v>5920</v>
      </c>
      <c r="C2627" s="45" t="s">
        <v>6780</v>
      </c>
      <c r="D2627" s="45" t="s">
        <v>6785</v>
      </c>
      <c r="E2627" s="44" t="s">
        <v>956</v>
      </c>
      <c r="F2627" s="37">
        <v>1</v>
      </c>
      <c r="G2627" s="37" t="s">
        <v>2568</v>
      </c>
      <c r="H2627" s="63">
        <v>2431</v>
      </c>
    </row>
    <row r="2628" spans="1:8" ht="24.75" customHeight="1">
      <c r="A2628" s="44" t="s">
        <v>232</v>
      </c>
      <c r="B2628" s="45" t="s">
        <v>3875</v>
      </c>
      <c r="C2628" s="45" t="s">
        <v>6780</v>
      </c>
      <c r="D2628" s="45" t="s">
        <v>6785</v>
      </c>
      <c r="E2628" s="44" t="s">
        <v>6839</v>
      </c>
      <c r="F2628" s="37">
        <v>1</v>
      </c>
      <c r="G2628" s="37" t="s">
        <v>2568</v>
      </c>
      <c r="H2628" s="63">
        <v>2087.8000000000002</v>
      </c>
    </row>
    <row r="2629" spans="1:8" ht="24.75" customHeight="1">
      <c r="A2629" s="44" t="s">
        <v>228</v>
      </c>
      <c r="B2629" s="45" t="s">
        <v>3871</v>
      </c>
      <c r="C2629" s="45" t="s">
        <v>6780</v>
      </c>
      <c r="D2629" s="45" t="s">
        <v>6785</v>
      </c>
      <c r="E2629" s="44" t="s">
        <v>6839</v>
      </c>
      <c r="F2629" s="37">
        <v>1</v>
      </c>
      <c r="G2629" s="37" t="s">
        <v>2568</v>
      </c>
      <c r="H2629" s="63">
        <v>2173.6</v>
      </c>
    </row>
    <row r="2630" spans="1:8" ht="24.75" customHeight="1">
      <c r="A2630" s="44" t="s">
        <v>79</v>
      </c>
      <c r="B2630" s="45" t="s">
        <v>3877</v>
      </c>
      <c r="C2630" s="45" t="s">
        <v>6780</v>
      </c>
      <c r="D2630" s="45" t="s">
        <v>6785</v>
      </c>
      <c r="E2630" s="44" t="s">
        <v>956</v>
      </c>
      <c r="F2630" s="37">
        <v>1</v>
      </c>
      <c r="G2630" s="37" t="s">
        <v>2568</v>
      </c>
      <c r="H2630" s="63">
        <v>2545.4</v>
      </c>
    </row>
    <row r="2631" spans="1:8" ht="24.75" customHeight="1">
      <c r="A2631" s="44" t="s">
        <v>1427</v>
      </c>
      <c r="B2631" s="45" t="s">
        <v>4983</v>
      </c>
      <c r="C2631" s="45" t="s">
        <v>6780</v>
      </c>
      <c r="D2631" s="45" t="s">
        <v>6785</v>
      </c>
      <c r="E2631" s="44" t="s">
        <v>956</v>
      </c>
      <c r="F2631" s="37">
        <v>1</v>
      </c>
      <c r="G2631" s="37" t="s">
        <v>2568</v>
      </c>
      <c r="H2631" s="63">
        <v>2445.3000000000002</v>
      </c>
    </row>
    <row r="2632" spans="1:8" ht="24.75" customHeight="1">
      <c r="A2632" s="44" t="s">
        <v>2325</v>
      </c>
      <c r="B2632" s="45" t="s">
        <v>6369</v>
      </c>
      <c r="C2632" s="45" t="s">
        <v>6780</v>
      </c>
      <c r="D2632" s="45" t="s">
        <v>6786</v>
      </c>
      <c r="E2632" s="44" t="s">
        <v>956</v>
      </c>
      <c r="F2632" s="37">
        <v>1</v>
      </c>
      <c r="G2632" s="37" t="s">
        <v>6864</v>
      </c>
      <c r="H2632" s="63">
        <v>108308.2</v>
      </c>
    </row>
    <row r="2633" spans="1:8" ht="24.75" customHeight="1">
      <c r="A2633" s="44" t="s">
        <v>6879</v>
      </c>
      <c r="B2633" s="45" t="s">
        <v>6894</v>
      </c>
      <c r="C2633" s="45" t="s">
        <v>6780</v>
      </c>
      <c r="D2633" s="45" t="s">
        <v>6786</v>
      </c>
      <c r="E2633" s="44" t="s">
        <v>6895</v>
      </c>
      <c r="F2633" s="37">
        <v>1</v>
      </c>
      <c r="G2633" s="37" t="s">
        <v>6864</v>
      </c>
      <c r="H2633" s="63">
        <v>89518</v>
      </c>
    </row>
    <row r="2634" spans="1:8" ht="24.75" customHeight="1">
      <c r="A2634" s="44" t="s">
        <v>6877</v>
      </c>
      <c r="B2634" s="45" t="s">
        <v>6881</v>
      </c>
      <c r="C2634" s="45" t="s">
        <v>6780</v>
      </c>
      <c r="D2634" s="45" t="s">
        <v>6786</v>
      </c>
      <c r="E2634" s="44" t="s">
        <v>956</v>
      </c>
      <c r="F2634" s="37">
        <v>1</v>
      </c>
      <c r="G2634" s="57" t="s">
        <v>6864</v>
      </c>
      <c r="H2634" s="63">
        <v>28814.5</v>
      </c>
    </row>
    <row r="2635" spans="1:8" ht="24.75" customHeight="1">
      <c r="A2635" s="44" t="s">
        <v>1029</v>
      </c>
      <c r="B2635" s="45" t="s">
        <v>6370</v>
      </c>
      <c r="C2635" s="45" t="s">
        <v>6780</v>
      </c>
      <c r="D2635" s="45" t="s">
        <v>6786</v>
      </c>
      <c r="E2635" s="44" t="s">
        <v>956</v>
      </c>
      <c r="F2635" s="37">
        <v>1</v>
      </c>
      <c r="G2635" s="37" t="s">
        <v>6864</v>
      </c>
      <c r="H2635" s="63">
        <v>28471.3</v>
      </c>
    </row>
    <row r="2636" spans="1:8" ht="24.75" customHeight="1">
      <c r="A2636" s="44" t="s">
        <v>6878</v>
      </c>
      <c r="B2636" s="45" t="s">
        <v>6893</v>
      </c>
      <c r="C2636" s="45" t="s">
        <v>6780</v>
      </c>
      <c r="D2636" s="45" t="s">
        <v>6786</v>
      </c>
      <c r="E2636" s="44" t="s">
        <v>956</v>
      </c>
      <c r="F2636" s="37">
        <v>1</v>
      </c>
      <c r="G2636" s="37" t="s">
        <v>6864</v>
      </c>
      <c r="H2636" s="63">
        <v>132904.20000000001</v>
      </c>
    </row>
    <row r="2637" spans="1:8" ht="24.75" customHeight="1">
      <c r="A2637" s="44" t="s">
        <v>2292</v>
      </c>
      <c r="B2637" s="45" t="s">
        <v>4126</v>
      </c>
      <c r="C2637" s="45" t="s">
        <v>6780</v>
      </c>
      <c r="D2637" s="45" t="s">
        <v>6786</v>
      </c>
      <c r="E2637" s="44" t="s">
        <v>956</v>
      </c>
      <c r="F2637" s="37">
        <v>1</v>
      </c>
      <c r="G2637" s="37" t="s">
        <v>6864</v>
      </c>
      <c r="H2637" s="63">
        <v>83297.5</v>
      </c>
    </row>
    <row r="2638" spans="1:8" ht="24.75" customHeight="1">
      <c r="A2638" s="44" t="s">
        <v>2322</v>
      </c>
      <c r="B2638" s="45" t="s">
        <v>4131</v>
      </c>
      <c r="C2638" s="45" t="s">
        <v>6780</v>
      </c>
      <c r="D2638" s="45" t="s">
        <v>6786</v>
      </c>
      <c r="E2638" s="44" t="s">
        <v>956</v>
      </c>
      <c r="F2638" s="37">
        <v>1</v>
      </c>
      <c r="G2638" s="37" t="s">
        <v>6864</v>
      </c>
      <c r="H2638" s="63">
        <v>132904.20000000001</v>
      </c>
    </row>
    <row r="2639" spans="1:8" ht="24.75" customHeight="1">
      <c r="A2639" s="44" t="s">
        <v>2321</v>
      </c>
      <c r="B2639" s="45" t="s">
        <v>4130</v>
      </c>
      <c r="C2639" s="45" t="s">
        <v>6780</v>
      </c>
      <c r="D2639" s="45" t="s">
        <v>6786</v>
      </c>
      <c r="E2639" s="44" t="s">
        <v>956</v>
      </c>
      <c r="F2639" s="37">
        <v>1</v>
      </c>
      <c r="G2639" s="37" t="s">
        <v>6864</v>
      </c>
      <c r="H2639" s="63">
        <v>94237</v>
      </c>
    </row>
    <row r="2640" spans="1:8" ht="24.75" customHeight="1">
      <c r="A2640" s="44" t="s">
        <v>2291</v>
      </c>
      <c r="B2640" s="45" t="s">
        <v>4125</v>
      </c>
      <c r="C2640" s="45" t="s">
        <v>6780</v>
      </c>
      <c r="D2640" s="45" t="s">
        <v>6786</v>
      </c>
      <c r="E2640" s="44" t="s">
        <v>956</v>
      </c>
      <c r="F2640" s="37">
        <v>1</v>
      </c>
      <c r="G2640" s="37" t="s">
        <v>6864</v>
      </c>
      <c r="H2640" s="63">
        <v>73516.3</v>
      </c>
    </row>
    <row r="2641" spans="1:8" ht="24.75" customHeight="1">
      <c r="A2641" s="44" t="s">
        <v>2320</v>
      </c>
      <c r="B2641" s="45" t="s">
        <v>4129</v>
      </c>
      <c r="C2641" s="45" t="s">
        <v>6780</v>
      </c>
      <c r="D2641" s="45" t="s">
        <v>6786</v>
      </c>
      <c r="E2641" s="44" t="s">
        <v>956</v>
      </c>
      <c r="F2641" s="37">
        <v>1</v>
      </c>
      <c r="G2641" s="37" t="s">
        <v>6864</v>
      </c>
      <c r="H2641" s="63">
        <v>175747</v>
      </c>
    </row>
    <row r="2642" spans="1:8" ht="24.75" customHeight="1">
      <c r="A2642" s="44" t="s">
        <v>2323</v>
      </c>
      <c r="B2642" s="45" t="s">
        <v>4132</v>
      </c>
      <c r="C2642" s="45" t="s">
        <v>6780</v>
      </c>
      <c r="D2642" s="45" t="s">
        <v>6786</v>
      </c>
      <c r="E2642" s="44" t="s">
        <v>956</v>
      </c>
      <c r="F2642" s="37">
        <v>1</v>
      </c>
      <c r="G2642" s="37" t="s">
        <v>6864</v>
      </c>
      <c r="H2642" s="63">
        <v>116788.1</v>
      </c>
    </row>
    <row r="2643" spans="1:8" ht="24.75" customHeight="1">
      <c r="A2643" s="44" t="s">
        <v>2324</v>
      </c>
      <c r="B2643" s="45" t="s">
        <v>4133</v>
      </c>
      <c r="C2643" s="45" t="s">
        <v>6780</v>
      </c>
      <c r="D2643" s="45" t="s">
        <v>6786</v>
      </c>
      <c r="E2643" s="44" t="s">
        <v>956</v>
      </c>
      <c r="F2643" s="37">
        <v>1</v>
      </c>
      <c r="G2643" s="37" t="s">
        <v>6864</v>
      </c>
      <c r="H2643" s="63">
        <v>106392</v>
      </c>
    </row>
    <row r="2644" spans="1:8" ht="24.75" customHeight="1">
      <c r="A2644" s="44" t="s">
        <v>2294</v>
      </c>
      <c r="B2644" s="45" t="s">
        <v>4128</v>
      </c>
      <c r="C2644" s="45" t="s">
        <v>6780</v>
      </c>
      <c r="D2644" s="45" t="s">
        <v>6786</v>
      </c>
      <c r="E2644" s="44"/>
      <c r="F2644" s="37">
        <v>1</v>
      </c>
      <c r="G2644" s="37" t="s">
        <v>6864</v>
      </c>
      <c r="H2644" s="63">
        <v>83297.5</v>
      </c>
    </row>
    <row r="2645" spans="1:8" ht="24.75" customHeight="1">
      <c r="A2645" s="44" t="s">
        <v>2327</v>
      </c>
      <c r="B2645" s="45" t="s">
        <v>4135</v>
      </c>
      <c r="C2645" s="45" t="s">
        <v>6780</v>
      </c>
      <c r="D2645" s="45" t="s">
        <v>6786</v>
      </c>
      <c r="E2645" s="44" t="s">
        <v>956</v>
      </c>
      <c r="F2645" s="37">
        <v>1</v>
      </c>
      <c r="G2645" s="37" t="s">
        <v>6864</v>
      </c>
      <c r="H2645" s="63">
        <v>161146.70000000001</v>
      </c>
    </row>
    <row r="2646" spans="1:8" ht="24.75" customHeight="1">
      <c r="A2646" s="44" t="s">
        <v>2293</v>
      </c>
      <c r="B2646" s="45" t="s">
        <v>4127</v>
      </c>
      <c r="C2646" s="45" t="s">
        <v>6780</v>
      </c>
      <c r="D2646" s="45" t="s">
        <v>6786</v>
      </c>
      <c r="E2646" s="44" t="s">
        <v>956</v>
      </c>
      <c r="F2646" s="37">
        <v>1</v>
      </c>
      <c r="G2646" s="37" t="s">
        <v>6864</v>
      </c>
      <c r="H2646" s="63">
        <v>72529.600000000006</v>
      </c>
    </row>
    <row r="2647" spans="1:8" ht="24.75" customHeight="1">
      <c r="A2647" s="44" t="s">
        <v>2330</v>
      </c>
      <c r="B2647" s="45" t="s">
        <v>4138</v>
      </c>
      <c r="C2647" s="45" t="s">
        <v>6780</v>
      </c>
      <c r="D2647" s="45" t="s">
        <v>6786</v>
      </c>
      <c r="E2647" s="44" t="s">
        <v>956</v>
      </c>
      <c r="F2647" s="37">
        <v>1</v>
      </c>
      <c r="G2647" s="37" t="s">
        <v>6864</v>
      </c>
      <c r="H2647" s="63">
        <v>100700.6</v>
      </c>
    </row>
    <row r="2648" spans="1:8" ht="24.75" customHeight="1">
      <c r="A2648" s="44" t="s">
        <v>2329</v>
      </c>
      <c r="B2648" s="45" t="s">
        <v>4137</v>
      </c>
      <c r="C2648" s="45" t="s">
        <v>6780</v>
      </c>
      <c r="D2648" s="45" t="s">
        <v>6786</v>
      </c>
      <c r="E2648" s="44" t="s">
        <v>956</v>
      </c>
      <c r="F2648" s="37">
        <v>1</v>
      </c>
      <c r="G2648" s="37" t="s">
        <v>6864</v>
      </c>
      <c r="H2648" s="63">
        <v>119590.9</v>
      </c>
    </row>
    <row r="2649" spans="1:8" ht="24.75" customHeight="1">
      <c r="A2649" s="44" t="s">
        <v>2326</v>
      </c>
      <c r="B2649" s="45" t="s">
        <v>4134</v>
      </c>
      <c r="C2649" s="45" t="s">
        <v>6780</v>
      </c>
      <c r="D2649" s="45" t="s">
        <v>6786</v>
      </c>
      <c r="E2649" s="44" t="s">
        <v>956</v>
      </c>
      <c r="F2649" s="37">
        <v>1</v>
      </c>
      <c r="G2649" s="37" t="s">
        <v>6864</v>
      </c>
      <c r="H2649" s="63">
        <v>220849.2</v>
      </c>
    </row>
    <row r="2650" spans="1:8" ht="24.75" customHeight="1">
      <c r="A2650" s="44" t="s">
        <v>2328</v>
      </c>
      <c r="B2650" s="45" t="s">
        <v>4136</v>
      </c>
      <c r="C2650" s="45" t="s">
        <v>6780</v>
      </c>
      <c r="D2650" s="45" t="s">
        <v>6786</v>
      </c>
      <c r="E2650" s="44" t="s">
        <v>956</v>
      </c>
      <c r="F2650" s="37">
        <v>1</v>
      </c>
      <c r="G2650" s="37" t="s">
        <v>6864</v>
      </c>
      <c r="H2650" s="63">
        <v>126326.2</v>
      </c>
    </row>
    <row r="2651" spans="1:8" ht="24.75" customHeight="1">
      <c r="A2651" s="44" t="s">
        <v>2949</v>
      </c>
      <c r="B2651" s="45" t="s">
        <v>4143</v>
      </c>
      <c r="C2651" s="45" t="s">
        <v>6780</v>
      </c>
      <c r="D2651" s="45" t="s">
        <v>6786</v>
      </c>
      <c r="E2651" s="44" t="s">
        <v>956</v>
      </c>
      <c r="F2651" s="37">
        <v>1</v>
      </c>
      <c r="G2651" s="37" t="s">
        <v>6864</v>
      </c>
      <c r="H2651" s="63">
        <v>86672.3</v>
      </c>
    </row>
    <row r="2652" spans="1:8" ht="24.75" customHeight="1">
      <c r="A2652" s="44" t="s">
        <v>2334</v>
      </c>
      <c r="B2652" s="45" t="s">
        <v>4142</v>
      </c>
      <c r="C2652" s="45" t="s">
        <v>6780</v>
      </c>
      <c r="D2652" s="45" t="s">
        <v>6786</v>
      </c>
      <c r="E2652" s="44" t="s">
        <v>956</v>
      </c>
      <c r="F2652" s="37">
        <v>1</v>
      </c>
      <c r="G2652" s="37" t="s">
        <v>6864</v>
      </c>
      <c r="H2652" s="63">
        <v>89518</v>
      </c>
    </row>
    <row r="2653" spans="1:8" ht="24.75" customHeight="1">
      <c r="A2653" s="44" t="s">
        <v>2333</v>
      </c>
      <c r="B2653" s="45" t="s">
        <v>4141</v>
      </c>
      <c r="C2653" s="45" t="s">
        <v>6780</v>
      </c>
      <c r="D2653" s="45" t="s">
        <v>6786</v>
      </c>
      <c r="E2653" s="44" t="s">
        <v>956</v>
      </c>
      <c r="F2653" s="37">
        <v>1</v>
      </c>
      <c r="G2653" s="37" t="s">
        <v>6864</v>
      </c>
      <c r="H2653" s="63">
        <v>101744.5</v>
      </c>
    </row>
    <row r="2654" spans="1:8" ht="24.75" customHeight="1">
      <c r="A2654" s="44" t="s">
        <v>2332</v>
      </c>
      <c r="B2654" s="45" t="s">
        <v>4140</v>
      </c>
      <c r="C2654" s="45" t="s">
        <v>6780</v>
      </c>
      <c r="D2654" s="45" t="s">
        <v>6786</v>
      </c>
      <c r="E2654" s="44" t="s">
        <v>956</v>
      </c>
      <c r="F2654" s="37">
        <v>1</v>
      </c>
      <c r="G2654" s="37" t="s">
        <v>6864</v>
      </c>
      <c r="H2654" s="63">
        <v>90447.5</v>
      </c>
    </row>
    <row r="2655" spans="1:8" ht="24.75" customHeight="1">
      <c r="A2655" s="44" t="s">
        <v>2331</v>
      </c>
      <c r="B2655" s="45" t="s">
        <v>4139</v>
      </c>
      <c r="C2655" s="45" t="s">
        <v>6780</v>
      </c>
      <c r="D2655" s="45" t="s">
        <v>6786</v>
      </c>
      <c r="E2655" s="44" t="s">
        <v>956</v>
      </c>
      <c r="F2655" s="37">
        <v>1</v>
      </c>
      <c r="G2655" s="37" t="s">
        <v>6864</v>
      </c>
      <c r="H2655" s="63">
        <v>109237.7</v>
      </c>
    </row>
    <row r="2656" spans="1:8" ht="24.75" customHeight="1">
      <c r="A2656" s="44" t="s">
        <v>2338</v>
      </c>
      <c r="B2656" s="45" t="s">
        <v>4148</v>
      </c>
      <c r="C2656" s="45" t="s">
        <v>6780</v>
      </c>
      <c r="D2656" s="45" t="s">
        <v>6786</v>
      </c>
      <c r="E2656" s="44"/>
      <c r="F2656" s="37">
        <v>1</v>
      </c>
      <c r="G2656" s="37" t="s">
        <v>6864</v>
      </c>
      <c r="H2656" s="63">
        <v>89518</v>
      </c>
    </row>
    <row r="2657" spans="1:8" ht="24.75" customHeight="1">
      <c r="A2657" s="44" t="s">
        <v>2335</v>
      </c>
      <c r="B2657" s="45" t="s">
        <v>4144</v>
      </c>
      <c r="C2657" s="45" t="s">
        <v>6780</v>
      </c>
      <c r="D2657" s="45" t="s">
        <v>6786</v>
      </c>
      <c r="E2657" s="44"/>
      <c r="F2657" s="37">
        <v>1</v>
      </c>
      <c r="G2657" s="37" t="s">
        <v>6864</v>
      </c>
      <c r="H2657" s="63">
        <v>112970</v>
      </c>
    </row>
    <row r="2658" spans="1:8" ht="24.75" customHeight="1">
      <c r="A2658" s="44" t="s">
        <v>2337</v>
      </c>
      <c r="B2658" s="45" t="s">
        <v>4146</v>
      </c>
      <c r="C2658" s="45" t="s">
        <v>6780</v>
      </c>
      <c r="D2658" s="45" t="s">
        <v>6786</v>
      </c>
      <c r="E2658" s="44"/>
      <c r="F2658" s="37">
        <v>1</v>
      </c>
      <c r="G2658" s="37" t="s">
        <v>6864</v>
      </c>
      <c r="H2658" s="63">
        <v>119462.2</v>
      </c>
    </row>
    <row r="2659" spans="1:8" ht="24.75" customHeight="1">
      <c r="A2659" s="44" t="s">
        <v>2950</v>
      </c>
      <c r="B2659" s="45" t="s">
        <v>4147</v>
      </c>
      <c r="C2659" s="45" t="s">
        <v>6780</v>
      </c>
      <c r="D2659" s="45" t="s">
        <v>6786</v>
      </c>
      <c r="E2659" s="44" t="s">
        <v>956</v>
      </c>
      <c r="F2659" s="37">
        <v>1</v>
      </c>
      <c r="G2659" s="37" t="s">
        <v>6864</v>
      </c>
      <c r="H2659" s="63">
        <v>105348.1</v>
      </c>
    </row>
    <row r="2660" spans="1:8" ht="24.75" customHeight="1">
      <c r="A2660" s="44" t="s">
        <v>2336</v>
      </c>
      <c r="B2660" s="45" t="s">
        <v>4145</v>
      </c>
      <c r="C2660" s="45" t="s">
        <v>6780</v>
      </c>
      <c r="D2660" s="45" t="s">
        <v>6786</v>
      </c>
      <c r="E2660" s="44"/>
      <c r="F2660" s="37">
        <v>1</v>
      </c>
      <c r="G2660" s="37" t="s">
        <v>6864</v>
      </c>
      <c r="H2660" s="63">
        <v>122379.4</v>
      </c>
    </row>
    <row r="2661" spans="1:8" ht="24.75" customHeight="1">
      <c r="A2661" s="44" t="s">
        <v>1031</v>
      </c>
      <c r="B2661" s="45" t="s">
        <v>4121</v>
      </c>
      <c r="C2661" s="45" t="s">
        <v>6780</v>
      </c>
      <c r="D2661" s="45" t="s">
        <v>6786</v>
      </c>
      <c r="E2661" s="44" t="s">
        <v>956</v>
      </c>
      <c r="F2661" s="37">
        <v>1</v>
      </c>
      <c r="G2661" s="37" t="s">
        <v>6864</v>
      </c>
      <c r="H2661" s="63">
        <v>19319.3</v>
      </c>
    </row>
    <row r="2662" spans="1:8" ht="24.75" customHeight="1">
      <c r="A2662" s="44" t="s">
        <v>1033</v>
      </c>
      <c r="B2662" s="45" t="s">
        <v>4123</v>
      </c>
      <c r="C2662" s="45" t="s">
        <v>6780</v>
      </c>
      <c r="D2662" s="45" t="s">
        <v>6786</v>
      </c>
      <c r="E2662" s="44" t="s">
        <v>956</v>
      </c>
      <c r="F2662" s="37">
        <v>1</v>
      </c>
      <c r="G2662" s="37" t="s">
        <v>6864</v>
      </c>
      <c r="H2662" s="63">
        <v>21349.9</v>
      </c>
    </row>
    <row r="2663" spans="1:8" ht="24.75" customHeight="1">
      <c r="A2663" s="44" t="s">
        <v>1026</v>
      </c>
      <c r="B2663" s="45" t="s">
        <v>4117</v>
      </c>
      <c r="C2663" s="45" t="s">
        <v>6780</v>
      </c>
      <c r="D2663" s="45" t="s">
        <v>6786</v>
      </c>
      <c r="E2663" s="44" t="s">
        <v>956</v>
      </c>
      <c r="F2663" s="37">
        <v>1</v>
      </c>
      <c r="G2663" s="37" t="s">
        <v>6864</v>
      </c>
      <c r="H2663" s="63">
        <v>20978.1</v>
      </c>
    </row>
    <row r="2664" spans="1:8" ht="24.75" customHeight="1">
      <c r="A2664" s="44" t="s">
        <v>1025</v>
      </c>
      <c r="B2664" s="45" t="s">
        <v>4116</v>
      </c>
      <c r="C2664" s="45" t="s">
        <v>6780</v>
      </c>
      <c r="D2664" s="45" t="s">
        <v>6786</v>
      </c>
      <c r="E2664" s="44" t="s">
        <v>956</v>
      </c>
      <c r="F2664" s="37">
        <v>1</v>
      </c>
      <c r="G2664" s="37" t="s">
        <v>6864</v>
      </c>
      <c r="H2664" s="63">
        <v>22064.9</v>
      </c>
    </row>
    <row r="2665" spans="1:8" ht="24.75" customHeight="1">
      <c r="A2665" s="44" t="s">
        <v>1027</v>
      </c>
      <c r="B2665" s="45" t="s">
        <v>4118</v>
      </c>
      <c r="C2665" s="45" t="s">
        <v>6780</v>
      </c>
      <c r="D2665" s="45" t="s">
        <v>6786</v>
      </c>
      <c r="E2665" s="44" t="s">
        <v>956</v>
      </c>
      <c r="F2665" s="37">
        <v>1</v>
      </c>
      <c r="G2665" s="37" t="s">
        <v>6864</v>
      </c>
      <c r="H2665" s="63">
        <v>25153.7</v>
      </c>
    </row>
    <row r="2666" spans="1:8" ht="24.75" customHeight="1">
      <c r="A2666" s="44" t="s">
        <v>1028</v>
      </c>
      <c r="B2666" s="45" t="s">
        <v>4119</v>
      </c>
      <c r="C2666" s="45" t="s">
        <v>6780</v>
      </c>
      <c r="D2666" s="45" t="s">
        <v>6786</v>
      </c>
      <c r="E2666" s="44" t="s">
        <v>956</v>
      </c>
      <c r="F2666" s="37">
        <v>1</v>
      </c>
      <c r="G2666" s="37" t="s">
        <v>6864</v>
      </c>
      <c r="H2666" s="63">
        <v>24438.7</v>
      </c>
    </row>
    <row r="2667" spans="1:8" ht="24.75" customHeight="1">
      <c r="A2667" s="44" t="s">
        <v>1030</v>
      </c>
      <c r="B2667" s="45" t="s">
        <v>4120</v>
      </c>
      <c r="C2667" s="45" t="s">
        <v>6780</v>
      </c>
      <c r="D2667" s="45" t="s">
        <v>6786</v>
      </c>
      <c r="E2667" s="44" t="s">
        <v>956</v>
      </c>
      <c r="F2667" s="37">
        <v>1</v>
      </c>
      <c r="G2667" s="37" t="s">
        <v>6864</v>
      </c>
      <c r="H2667" s="63">
        <v>28471.3</v>
      </c>
    </row>
    <row r="2668" spans="1:8" ht="24.75" customHeight="1">
      <c r="A2668" s="44" t="s">
        <v>2854</v>
      </c>
      <c r="B2668" s="45" t="s">
        <v>4124</v>
      </c>
      <c r="C2668" s="45" t="s">
        <v>6780</v>
      </c>
      <c r="D2668" s="45" t="s">
        <v>6786</v>
      </c>
      <c r="E2668" s="44"/>
      <c r="F2668" s="37">
        <v>1</v>
      </c>
      <c r="G2668" s="37" t="s">
        <v>6864</v>
      </c>
      <c r="H2668" s="63">
        <v>25854.400000000001</v>
      </c>
    </row>
    <row r="2669" spans="1:8" ht="24.75" customHeight="1">
      <c r="A2669" s="44" t="s">
        <v>1032</v>
      </c>
      <c r="B2669" s="45" t="s">
        <v>4122</v>
      </c>
      <c r="C2669" s="45" t="s">
        <v>6780</v>
      </c>
      <c r="D2669" s="45" t="s">
        <v>6786</v>
      </c>
      <c r="E2669" s="44" t="s">
        <v>956</v>
      </c>
      <c r="F2669" s="37">
        <v>1</v>
      </c>
      <c r="G2669" s="37" t="s">
        <v>6864</v>
      </c>
      <c r="H2669" s="63">
        <v>21921.9</v>
      </c>
    </row>
    <row r="2670" spans="1:8" ht="24.75" customHeight="1">
      <c r="A2670" s="44" t="s">
        <v>1167</v>
      </c>
      <c r="B2670" s="45" t="s">
        <v>5143</v>
      </c>
      <c r="C2670" s="45" t="s">
        <v>6780</v>
      </c>
      <c r="D2670" s="45" t="s">
        <v>6787</v>
      </c>
      <c r="E2670" s="44" t="s">
        <v>6839</v>
      </c>
      <c r="F2670" s="37">
        <v>1</v>
      </c>
      <c r="G2670" s="37" t="s">
        <v>6864</v>
      </c>
      <c r="H2670" s="63">
        <v>23452</v>
      </c>
    </row>
    <row r="2671" spans="1:8" ht="24.75" customHeight="1">
      <c r="A2671" s="44" t="s">
        <v>1651</v>
      </c>
      <c r="B2671" s="45" t="s">
        <v>5454</v>
      </c>
      <c r="C2671" s="45" t="s">
        <v>6780</v>
      </c>
      <c r="D2671" s="45" t="s">
        <v>6787</v>
      </c>
      <c r="E2671" s="44" t="s">
        <v>6839</v>
      </c>
      <c r="F2671" s="37">
        <v>1</v>
      </c>
      <c r="G2671" s="37" t="s">
        <v>6864</v>
      </c>
      <c r="H2671" s="63">
        <v>29829.8</v>
      </c>
    </row>
    <row r="2672" spans="1:8" ht="24.75" customHeight="1">
      <c r="A2672" s="44" t="s">
        <v>1305</v>
      </c>
      <c r="B2672" s="45" t="s">
        <v>4246</v>
      </c>
      <c r="C2672" s="45" t="s">
        <v>6780</v>
      </c>
      <c r="D2672" s="45" t="s">
        <v>6787</v>
      </c>
      <c r="E2672" s="44"/>
      <c r="F2672" s="37">
        <v>1</v>
      </c>
      <c r="G2672" s="37" t="s">
        <v>6864</v>
      </c>
      <c r="H2672" s="63">
        <v>37480.300000000003</v>
      </c>
    </row>
    <row r="2673" spans="1:8" ht="24.75" customHeight="1">
      <c r="A2673" s="44" t="s">
        <v>1306</v>
      </c>
      <c r="B2673" s="45" t="s">
        <v>4247</v>
      </c>
      <c r="C2673" s="45" t="s">
        <v>6780</v>
      </c>
      <c r="D2673" s="45" t="s">
        <v>6787</v>
      </c>
      <c r="E2673" s="44" t="s">
        <v>6856</v>
      </c>
      <c r="F2673" s="37">
        <v>1</v>
      </c>
      <c r="G2673" s="37" t="s">
        <v>6864</v>
      </c>
      <c r="H2673" s="63">
        <v>23080.2</v>
      </c>
    </row>
    <row r="2674" spans="1:8" ht="24.75" customHeight="1">
      <c r="A2674" s="44" t="s">
        <v>1307</v>
      </c>
      <c r="B2674" s="45" t="s">
        <v>4248</v>
      </c>
      <c r="C2674" s="45" t="s">
        <v>6780</v>
      </c>
      <c r="D2674" s="45" t="s">
        <v>6787</v>
      </c>
      <c r="E2674" s="44" t="s">
        <v>6856</v>
      </c>
      <c r="F2674" s="37">
        <v>1</v>
      </c>
      <c r="G2674" s="37" t="s">
        <v>6864</v>
      </c>
      <c r="H2674" s="63">
        <v>40040</v>
      </c>
    </row>
    <row r="2675" spans="1:8" ht="24.75" customHeight="1">
      <c r="A2675" s="44" t="s">
        <v>1308</v>
      </c>
      <c r="B2675" s="45" t="s">
        <v>4249</v>
      </c>
      <c r="C2675" s="45" t="s">
        <v>6780</v>
      </c>
      <c r="D2675" s="45" t="s">
        <v>6787</v>
      </c>
      <c r="E2675" s="44" t="s">
        <v>6856</v>
      </c>
      <c r="F2675" s="37">
        <v>1</v>
      </c>
      <c r="G2675" s="37" t="s">
        <v>6864</v>
      </c>
      <c r="H2675" s="63">
        <v>38295.4</v>
      </c>
    </row>
    <row r="2676" spans="1:8" ht="24.75" customHeight="1">
      <c r="A2676" s="44" t="s">
        <v>1309</v>
      </c>
      <c r="B2676" s="45" t="s">
        <v>4250</v>
      </c>
      <c r="C2676" s="45" t="s">
        <v>6780</v>
      </c>
      <c r="D2676" s="45" t="s">
        <v>6787</v>
      </c>
      <c r="E2676" s="44" t="s">
        <v>6856</v>
      </c>
      <c r="F2676" s="37">
        <v>1</v>
      </c>
      <c r="G2676" s="37" t="s">
        <v>6864</v>
      </c>
      <c r="H2676" s="63">
        <v>38295.4</v>
      </c>
    </row>
    <row r="2677" spans="1:8" ht="24.75" customHeight="1">
      <c r="A2677" s="44" t="s">
        <v>977</v>
      </c>
      <c r="B2677" s="45" t="s">
        <v>5691</v>
      </c>
      <c r="C2677" s="45" t="s">
        <v>6780</v>
      </c>
      <c r="D2677" s="45" t="s">
        <v>6787</v>
      </c>
      <c r="E2677" s="44"/>
      <c r="F2677" s="37">
        <v>1</v>
      </c>
      <c r="G2677" s="37" t="s">
        <v>6864</v>
      </c>
      <c r="H2677" s="63">
        <v>32503.9</v>
      </c>
    </row>
    <row r="2678" spans="1:8" ht="24.75" customHeight="1">
      <c r="A2678" s="44" t="s">
        <v>787</v>
      </c>
      <c r="B2678" s="45" t="s">
        <v>6007</v>
      </c>
      <c r="C2678" s="45" t="s">
        <v>6780</v>
      </c>
      <c r="D2678" s="45" t="s">
        <v>6787</v>
      </c>
      <c r="E2678" s="44" t="s">
        <v>6839</v>
      </c>
      <c r="F2678" s="37">
        <v>1</v>
      </c>
      <c r="G2678" s="37" t="s">
        <v>6864</v>
      </c>
      <c r="H2678" s="63">
        <v>40168.699999999997</v>
      </c>
    </row>
    <row r="2679" spans="1:8" ht="24.75" customHeight="1">
      <c r="A2679" s="44" t="s">
        <v>696</v>
      </c>
      <c r="B2679" s="45" t="s">
        <v>5105</v>
      </c>
      <c r="C2679" s="45" t="s">
        <v>6780</v>
      </c>
      <c r="D2679" s="45" t="s">
        <v>6787</v>
      </c>
      <c r="E2679" s="44" t="s">
        <v>6839</v>
      </c>
      <c r="F2679" s="37">
        <v>1</v>
      </c>
      <c r="G2679" s="37" t="s">
        <v>6864</v>
      </c>
      <c r="H2679" s="63">
        <v>44687.5</v>
      </c>
    </row>
    <row r="2680" spans="1:8" ht="24.75" customHeight="1">
      <c r="A2680" s="44" t="s">
        <v>2475</v>
      </c>
      <c r="B2680" s="45" t="s">
        <v>4847</v>
      </c>
      <c r="C2680" s="45" t="s">
        <v>6780</v>
      </c>
      <c r="D2680" s="45" t="s">
        <v>6787</v>
      </c>
      <c r="E2680" s="44" t="s">
        <v>6855</v>
      </c>
      <c r="F2680" s="37">
        <v>1</v>
      </c>
      <c r="G2680" s="37" t="s">
        <v>6864</v>
      </c>
      <c r="H2680" s="63">
        <v>34706.1</v>
      </c>
    </row>
    <row r="2681" spans="1:8" ht="24.75" customHeight="1">
      <c r="A2681" s="44" t="s">
        <v>697</v>
      </c>
      <c r="B2681" s="45" t="s">
        <v>5106</v>
      </c>
      <c r="C2681" s="45" t="s">
        <v>6780</v>
      </c>
      <c r="D2681" s="45" t="s">
        <v>6787</v>
      </c>
      <c r="E2681" s="44" t="s">
        <v>6839</v>
      </c>
      <c r="F2681" s="37">
        <v>1</v>
      </c>
      <c r="G2681" s="37" t="s">
        <v>6864</v>
      </c>
      <c r="H2681" s="63">
        <v>29243.5</v>
      </c>
    </row>
    <row r="2682" spans="1:8" ht="24.75" customHeight="1">
      <c r="A2682" s="44" t="s">
        <v>1310</v>
      </c>
      <c r="B2682" s="45" t="s">
        <v>4251</v>
      </c>
      <c r="C2682" s="45" t="s">
        <v>6780</v>
      </c>
      <c r="D2682" s="45" t="s">
        <v>6787</v>
      </c>
      <c r="E2682" s="44"/>
      <c r="F2682" s="37">
        <v>1</v>
      </c>
      <c r="G2682" s="37" t="s">
        <v>6864</v>
      </c>
      <c r="H2682" s="63">
        <v>32689.8</v>
      </c>
    </row>
    <row r="2683" spans="1:8" ht="24.75" customHeight="1">
      <c r="A2683" s="44" t="s">
        <v>1312</v>
      </c>
      <c r="B2683" s="45" t="s">
        <v>4253</v>
      </c>
      <c r="C2683" s="45" t="s">
        <v>6780</v>
      </c>
      <c r="D2683" s="45" t="s">
        <v>6787</v>
      </c>
      <c r="E2683" s="44"/>
      <c r="F2683" s="37">
        <v>1</v>
      </c>
      <c r="G2683" s="37" t="s">
        <v>6864</v>
      </c>
      <c r="H2683" s="63">
        <v>63334.7</v>
      </c>
    </row>
    <row r="2684" spans="1:8" ht="24.75" customHeight="1">
      <c r="A2684" s="44" t="s">
        <v>1652</v>
      </c>
      <c r="B2684" s="45" t="s">
        <v>5485</v>
      </c>
      <c r="C2684" s="45" t="s">
        <v>6780</v>
      </c>
      <c r="D2684" s="45" t="s">
        <v>6787</v>
      </c>
      <c r="E2684" s="44"/>
      <c r="F2684" s="37">
        <v>1</v>
      </c>
      <c r="G2684" s="37" t="s">
        <v>6864</v>
      </c>
      <c r="H2684" s="63">
        <v>47733.4</v>
      </c>
    </row>
    <row r="2685" spans="1:8" ht="24.75" customHeight="1">
      <c r="A2685" s="44" t="s">
        <v>1311</v>
      </c>
      <c r="B2685" s="45" t="s">
        <v>4252</v>
      </c>
      <c r="C2685" s="45" t="s">
        <v>6780</v>
      </c>
      <c r="D2685" s="45" t="s">
        <v>6787</v>
      </c>
      <c r="E2685" s="44"/>
      <c r="F2685" s="37">
        <v>1</v>
      </c>
      <c r="G2685" s="37" t="s">
        <v>6864</v>
      </c>
      <c r="H2685" s="63">
        <v>45745.7</v>
      </c>
    </row>
    <row r="2686" spans="1:8" ht="24.75" customHeight="1">
      <c r="A2686" s="44" t="s">
        <v>983</v>
      </c>
      <c r="B2686" s="45" t="s">
        <v>5698</v>
      </c>
      <c r="C2686" s="45" t="s">
        <v>6780</v>
      </c>
      <c r="D2686" s="45" t="s">
        <v>6787</v>
      </c>
      <c r="E2686" s="44" t="s">
        <v>6839</v>
      </c>
      <c r="F2686" s="37">
        <v>1</v>
      </c>
      <c r="G2686" s="37" t="s">
        <v>6864</v>
      </c>
      <c r="H2686" s="63">
        <v>30144.400000000001</v>
      </c>
    </row>
    <row r="2687" spans="1:8" ht="24.75" customHeight="1">
      <c r="A2687" s="44" t="s">
        <v>1315</v>
      </c>
      <c r="B2687" s="45" t="s">
        <v>4256</v>
      </c>
      <c r="C2687" s="45" t="s">
        <v>6780</v>
      </c>
      <c r="D2687" s="45" t="s">
        <v>6787</v>
      </c>
      <c r="E2687" s="44" t="s">
        <v>6856</v>
      </c>
      <c r="F2687" s="37">
        <v>1</v>
      </c>
      <c r="G2687" s="37" t="s">
        <v>6864</v>
      </c>
      <c r="H2687" s="63">
        <v>77205.7</v>
      </c>
    </row>
    <row r="2688" spans="1:8" ht="24.75" customHeight="1">
      <c r="A2688" s="44" t="s">
        <v>1313</v>
      </c>
      <c r="B2688" s="45" t="s">
        <v>4254</v>
      </c>
      <c r="C2688" s="45" t="s">
        <v>6780</v>
      </c>
      <c r="D2688" s="45" t="s">
        <v>6787</v>
      </c>
      <c r="E2688" s="44" t="s">
        <v>6855</v>
      </c>
      <c r="F2688" s="37">
        <v>1</v>
      </c>
      <c r="G2688" s="37" t="s">
        <v>6864</v>
      </c>
      <c r="H2688" s="63">
        <v>54483</v>
      </c>
    </row>
    <row r="2689" spans="1:8" ht="24.75" customHeight="1">
      <c r="A2689" s="44" t="s">
        <v>1314</v>
      </c>
      <c r="B2689" s="45" t="s">
        <v>4255</v>
      </c>
      <c r="C2689" s="45" t="s">
        <v>6780</v>
      </c>
      <c r="D2689" s="45" t="s">
        <v>6787</v>
      </c>
      <c r="E2689" s="44"/>
      <c r="F2689" s="37">
        <v>1</v>
      </c>
      <c r="G2689" s="37" t="s">
        <v>6864</v>
      </c>
      <c r="H2689" s="63">
        <v>42256.5</v>
      </c>
    </row>
    <row r="2690" spans="1:8" ht="24.75" customHeight="1">
      <c r="A2690" s="44" t="s">
        <v>788</v>
      </c>
      <c r="B2690" s="45" t="s">
        <v>6006</v>
      </c>
      <c r="C2690" s="45" t="s">
        <v>6780</v>
      </c>
      <c r="D2690" s="45" t="s">
        <v>6787</v>
      </c>
      <c r="E2690" s="44" t="s">
        <v>6839</v>
      </c>
      <c r="F2690" s="37">
        <v>1</v>
      </c>
      <c r="G2690" s="37" t="s">
        <v>6864</v>
      </c>
      <c r="H2690" s="63">
        <v>51451.4</v>
      </c>
    </row>
    <row r="2691" spans="1:8" ht="24.75" customHeight="1">
      <c r="A2691" s="44" t="s">
        <v>976</v>
      </c>
      <c r="B2691" s="45" t="s">
        <v>5690</v>
      </c>
      <c r="C2691" s="45" t="s">
        <v>6780</v>
      </c>
      <c r="D2691" s="45" t="s">
        <v>6789</v>
      </c>
      <c r="E2691" s="44" t="s">
        <v>6839</v>
      </c>
      <c r="F2691" s="37">
        <v>10</v>
      </c>
      <c r="G2691" s="37" t="s">
        <v>2568</v>
      </c>
      <c r="H2691" s="63">
        <v>1716</v>
      </c>
    </row>
    <row r="2692" spans="1:8" ht="24.75" customHeight="1">
      <c r="A2692" s="44" t="s">
        <v>430</v>
      </c>
      <c r="B2692" s="45" t="s">
        <v>5179</v>
      </c>
      <c r="C2692" s="45" t="s">
        <v>6780</v>
      </c>
      <c r="D2692" s="45" t="s">
        <v>6789</v>
      </c>
      <c r="E2692" s="44" t="s">
        <v>6839</v>
      </c>
      <c r="F2692" s="37">
        <v>1</v>
      </c>
      <c r="G2692" s="37" t="s">
        <v>2568</v>
      </c>
      <c r="H2692" s="63">
        <v>1501.5</v>
      </c>
    </row>
    <row r="2693" spans="1:8" ht="24.75" customHeight="1">
      <c r="A2693" s="44" t="s">
        <v>2401</v>
      </c>
      <c r="B2693" s="45" t="s">
        <v>4467</v>
      </c>
      <c r="C2693" s="45" t="s">
        <v>6780</v>
      </c>
      <c r="D2693" s="45" t="s">
        <v>6788</v>
      </c>
      <c r="E2693" s="44"/>
      <c r="F2693" s="37">
        <v>1</v>
      </c>
      <c r="G2693" s="37" t="s">
        <v>2568</v>
      </c>
      <c r="H2693" s="63">
        <v>16602.3</v>
      </c>
    </row>
    <row r="2694" spans="1:8" ht="24.75" customHeight="1">
      <c r="A2694" s="44" t="s">
        <v>2236</v>
      </c>
      <c r="B2694" s="45" t="s">
        <v>5919</v>
      </c>
      <c r="C2694" s="45" t="s">
        <v>6780</v>
      </c>
      <c r="D2694" s="45" t="s">
        <v>6788</v>
      </c>
      <c r="E2694" s="44"/>
      <c r="F2694" s="37">
        <v>1</v>
      </c>
      <c r="G2694" s="37" t="s">
        <v>2568</v>
      </c>
      <c r="H2694" s="63">
        <v>18161</v>
      </c>
    </row>
    <row r="2695" spans="1:8" ht="24.75" customHeight="1">
      <c r="A2695" s="44" t="s">
        <v>2480</v>
      </c>
      <c r="B2695" s="45" t="s">
        <v>4468</v>
      </c>
      <c r="C2695" s="45" t="s">
        <v>6780</v>
      </c>
      <c r="D2695" s="45" t="s">
        <v>6788</v>
      </c>
      <c r="E2695" s="44"/>
      <c r="F2695" s="37">
        <v>1</v>
      </c>
      <c r="G2695" s="37" t="s">
        <v>2568</v>
      </c>
      <c r="H2695" s="63">
        <v>19805.5</v>
      </c>
    </row>
    <row r="2696" spans="1:8" ht="24.75" customHeight="1">
      <c r="A2696" s="44" t="s">
        <v>1511</v>
      </c>
      <c r="B2696" s="45" t="s">
        <v>5194</v>
      </c>
      <c r="C2696" s="45" t="s">
        <v>6780</v>
      </c>
      <c r="D2696" s="45" t="s">
        <v>6788</v>
      </c>
      <c r="E2696" s="44" t="s">
        <v>6839</v>
      </c>
      <c r="F2696" s="37">
        <v>1</v>
      </c>
      <c r="G2696" s="37" t="s">
        <v>6864</v>
      </c>
      <c r="H2696" s="63">
        <v>10968.1</v>
      </c>
    </row>
    <row r="2697" spans="1:8" ht="24.75" customHeight="1">
      <c r="A2697" s="44" t="s">
        <v>1071</v>
      </c>
      <c r="B2697" s="45" t="s">
        <v>4469</v>
      </c>
      <c r="C2697" s="45" t="s">
        <v>6780</v>
      </c>
      <c r="D2697" s="45" t="s">
        <v>6788</v>
      </c>
      <c r="E2697" s="44" t="s">
        <v>6855</v>
      </c>
      <c r="F2697" s="37">
        <v>1</v>
      </c>
      <c r="G2697" s="37" t="s">
        <v>6864</v>
      </c>
      <c r="H2697" s="63">
        <v>12183.6</v>
      </c>
    </row>
    <row r="2698" spans="1:8" ht="24.75" customHeight="1">
      <c r="A2698" s="44" t="s">
        <v>3183</v>
      </c>
      <c r="B2698" s="45" t="s">
        <v>5392</v>
      </c>
      <c r="C2698" s="45" t="s">
        <v>6780</v>
      </c>
      <c r="D2698" s="45" t="s">
        <v>6788</v>
      </c>
      <c r="E2698" s="44"/>
      <c r="F2698" s="37">
        <v>1</v>
      </c>
      <c r="G2698" s="37" t="s">
        <v>6864</v>
      </c>
      <c r="H2698" s="63">
        <v>22594</v>
      </c>
    </row>
    <row r="2699" spans="1:8" ht="24.75" customHeight="1">
      <c r="A2699" s="44" t="s">
        <v>922</v>
      </c>
      <c r="B2699" s="45" t="s">
        <v>4882</v>
      </c>
      <c r="C2699" s="45" t="s">
        <v>6780</v>
      </c>
      <c r="D2699" s="45" t="s">
        <v>6788</v>
      </c>
      <c r="E2699" s="44"/>
      <c r="F2699" s="37">
        <v>1</v>
      </c>
      <c r="G2699" s="37" t="s">
        <v>2568</v>
      </c>
      <c r="H2699" s="63">
        <v>13670.8</v>
      </c>
    </row>
    <row r="2700" spans="1:8" ht="24.75" customHeight="1">
      <c r="A2700" s="44" t="s">
        <v>1653</v>
      </c>
      <c r="B2700" s="45" t="s">
        <v>5487</v>
      </c>
      <c r="C2700" s="45" t="s">
        <v>6780</v>
      </c>
      <c r="D2700" s="45" t="s">
        <v>6788</v>
      </c>
      <c r="E2700" s="44"/>
      <c r="F2700" s="37">
        <v>1</v>
      </c>
      <c r="G2700" s="37" t="s">
        <v>6864</v>
      </c>
      <c r="H2700" s="63">
        <v>21121.1</v>
      </c>
    </row>
    <row r="2701" spans="1:8" ht="24.75" customHeight="1">
      <c r="A2701" s="44" t="s">
        <v>1125</v>
      </c>
      <c r="B2701" s="45" t="s">
        <v>5685</v>
      </c>
      <c r="C2701" s="45" t="s">
        <v>6780</v>
      </c>
      <c r="D2701" s="45" t="s">
        <v>6788</v>
      </c>
      <c r="E2701" s="44" t="s">
        <v>6839</v>
      </c>
      <c r="F2701" s="37">
        <v>1</v>
      </c>
      <c r="G2701" s="37" t="s">
        <v>6864</v>
      </c>
      <c r="H2701" s="63">
        <v>13756.6</v>
      </c>
    </row>
    <row r="2702" spans="1:8" ht="24.75" customHeight="1">
      <c r="A2702" s="44" t="s">
        <v>2803</v>
      </c>
      <c r="B2702" s="45" t="s">
        <v>5802</v>
      </c>
      <c r="C2702" s="45" t="s">
        <v>6780</v>
      </c>
      <c r="D2702" s="45" t="s">
        <v>6788</v>
      </c>
      <c r="E2702" s="44" t="s">
        <v>6839</v>
      </c>
      <c r="F2702" s="37">
        <v>1</v>
      </c>
      <c r="G2702" s="37" t="s">
        <v>6864</v>
      </c>
      <c r="H2702" s="63">
        <v>14643.2</v>
      </c>
    </row>
    <row r="2703" spans="1:8" ht="24.75" customHeight="1">
      <c r="A2703" s="44" t="s">
        <v>1072</v>
      </c>
      <c r="B2703" s="45" t="s">
        <v>4470</v>
      </c>
      <c r="C2703" s="45" t="s">
        <v>6780</v>
      </c>
      <c r="D2703" s="45" t="s">
        <v>6788</v>
      </c>
      <c r="E2703" s="44"/>
      <c r="F2703" s="37">
        <v>1</v>
      </c>
      <c r="G2703" s="37" t="s">
        <v>2568</v>
      </c>
      <c r="H2703" s="63">
        <v>14228.5</v>
      </c>
    </row>
    <row r="2704" spans="1:8" ht="24.75" customHeight="1">
      <c r="A2704" s="44" t="s">
        <v>1383</v>
      </c>
      <c r="B2704" s="45" t="s">
        <v>6024</v>
      </c>
      <c r="C2704" s="45" t="s">
        <v>6780</v>
      </c>
      <c r="D2704" s="45" t="s">
        <v>6789</v>
      </c>
      <c r="E2704" s="44" t="s">
        <v>6839</v>
      </c>
      <c r="F2704" s="37">
        <v>1</v>
      </c>
      <c r="G2704" s="37" t="s">
        <v>2568</v>
      </c>
      <c r="H2704" s="63">
        <v>1287</v>
      </c>
    </row>
    <row r="2705" spans="1:8" ht="24.75" customHeight="1">
      <c r="A2705" s="44" t="s">
        <v>1158</v>
      </c>
      <c r="B2705" s="45" t="s">
        <v>4797</v>
      </c>
      <c r="C2705" s="45" t="s">
        <v>6780</v>
      </c>
      <c r="D2705" s="45" t="s">
        <v>6788</v>
      </c>
      <c r="E2705" s="44"/>
      <c r="F2705" s="37">
        <v>20</v>
      </c>
      <c r="G2705" s="37" t="s">
        <v>6864</v>
      </c>
      <c r="H2705" s="63">
        <v>171.6</v>
      </c>
    </row>
    <row r="2706" spans="1:8" ht="24.75" customHeight="1">
      <c r="A2706" s="44" t="s">
        <v>1159</v>
      </c>
      <c r="B2706" s="45" t="s">
        <v>4798</v>
      </c>
      <c r="C2706" s="45" t="s">
        <v>6780</v>
      </c>
      <c r="D2706" s="45" t="s">
        <v>6788</v>
      </c>
      <c r="E2706" s="44" t="s">
        <v>6847</v>
      </c>
      <c r="F2706" s="37">
        <v>1</v>
      </c>
      <c r="G2706" s="37" t="s">
        <v>2568</v>
      </c>
      <c r="H2706" s="63">
        <v>1387.1</v>
      </c>
    </row>
    <row r="2707" spans="1:8" ht="24.75" customHeight="1">
      <c r="A2707" s="44" t="s">
        <v>1076</v>
      </c>
      <c r="B2707" s="45" t="s">
        <v>4474</v>
      </c>
      <c r="C2707" s="45" t="s">
        <v>6780</v>
      </c>
      <c r="D2707" s="45" t="s">
        <v>6790</v>
      </c>
      <c r="E2707" s="44" t="s">
        <v>6855</v>
      </c>
      <c r="F2707" s="37">
        <v>1</v>
      </c>
      <c r="G2707" s="37" t="s">
        <v>6864</v>
      </c>
      <c r="H2707" s="63">
        <v>27012.7</v>
      </c>
    </row>
    <row r="2708" spans="1:8" ht="24.75" customHeight="1">
      <c r="A2708" s="44" t="s">
        <v>2501</v>
      </c>
      <c r="B2708" s="45" t="s">
        <v>4865</v>
      </c>
      <c r="C2708" s="45" t="s">
        <v>6780</v>
      </c>
      <c r="D2708" s="45" t="s">
        <v>6790</v>
      </c>
      <c r="E2708" s="44" t="s">
        <v>6855</v>
      </c>
      <c r="F2708" s="37">
        <v>1</v>
      </c>
      <c r="G2708" s="37" t="s">
        <v>6864</v>
      </c>
      <c r="H2708" s="63">
        <v>17917.900000000001</v>
      </c>
    </row>
    <row r="2709" spans="1:8" ht="24.75" customHeight="1">
      <c r="A2709" s="44" t="s">
        <v>1485</v>
      </c>
      <c r="B2709" s="45" t="s">
        <v>6005</v>
      </c>
      <c r="C2709" s="45" t="s">
        <v>6780</v>
      </c>
      <c r="D2709" s="45" t="s">
        <v>6790</v>
      </c>
      <c r="E2709" s="44"/>
      <c r="F2709" s="37">
        <v>1</v>
      </c>
      <c r="G2709" s="37" t="s">
        <v>6864</v>
      </c>
      <c r="H2709" s="63">
        <v>18046.599999999999</v>
      </c>
    </row>
    <row r="2710" spans="1:8" ht="24.75" customHeight="1">
      <c r="A2710" s="44" t="s">
        <v>1110</v>
      </c>
      <c r="B2710" s="45" t="s">
        <v>5671</v>
      </c>
      <c r="C2710" s="45" t="s">
        <v>6780</v>
      </c>
      <c r="D2710" s="45" t="s">
        <v>6790</v>
      </c>
      <c r="E2710" s="44" t="s">
        <v>6839</v>
      </c>
      <c r="F2710" s="37">
        <v>1</v>
      </c>
      <c r="G2710" s="37" t="s">
        <v>6864</v>
      </c>
      <c r="H2710" s="63">
        <v>24724.7</v>
      </c>
    </row>
    <row r="2711" spans="1:8" ht="24.75" customHeight="1">
      <c r="A2711" s="44" t="s">
        <v>895</v>
      </c>
      <c r="B2711" s="45" t="s">
        <v>5134</v>
      </c>
      <c r="C2711" s="45" t="s">
        <v>6780</v>
      </c>
      <c r="D2711" s="45" t="s">
        <v>6790</v>
      </c>
      <c r="E2711" s="44"/>
      <c r="F2711" s="37">
        <v>1</v>
      </c>
      <c r="G2711" s="37" t="s">
        <v>6864</v>
      </c>
      <c r="H2711" s="63">
        <v>11454.3</v>
      </c>
    </row>
    <row r="2712" spans="1:8" ht="24.75" customHeight="1">
      <c r="A2712" s="44" t="s">
        <v>1073</v>
      </c>
      <c r="B2712" s="45" t="s">
        <v>4471</v>
      </c>
      <c r="C2712" s="45" t="s">
        <v>6780</v>
      </c>
      <c r="D2712" s="45" t="s">
        <v>6790</v>
      </c>
      <c r="E2712" s="44" t="s">
        <v>6855</v>
      </c>
      <c r="F2712" s="37">
        <v>1</v>
      </c>
      <c r="G2712" s="37" t="s">
        <v>6864</v>
      </c>
      <c r="H2712" s="63">
        <v>21907.599999999999</v>
      </c>
    </row>
    <row r="2713" spans="1:8" ht="24.75" customHeight="1">
      <c r="A2713" s="44" t="s">
        <v>1075</v>
      </c>
      <c r="B2713" s="45" t="s">
        <v>4473</v>
      </c>
      <c r="C2713" s="45" t="s">
        <v>6780</v>
      </c>
      <c r="D2713" s="45" t="s">
        <v>6790</v>
      </c>
      <c r="E2713" s="44" t="s">
        <v>6855</v>
      </c>
      <c r="F2713" s="37">
        <v>1</v>
      </c>
      <c r="G2713" s="37" t="s">
        <v>6864</v>
      </c>
      <c r="H2713" s="63">
        <v>14114.1</v>
      </c>
    </row>
    <row r="2714" spans="1:8" ht="24.75" customHeight="1">
      <c r="A2714" s="44" t="s">
        <v>1124</v>
      </c>
      <c r="B2714" s="45" t="s">
        <v>5684</v>
      </c>
      <c r="C2714" s="45" t="s">
        <v>6780</v>
      </c>
      <c r="D2714" s="45" t="s">
        <v>6790</v>
      </c>
      <c r="E2714" s="44"/>
      <c r="F2714" s="37">
        <v>1</v>
      </c>
      <c r="G2714" s="37" t="s">
        <v>6864</v>
      </c>
      <c r="H2714" s="63">
        <v>19776.900000000001</v>
      </c>
    </row>
    <row r="2715" spans="1:8" ht="24.75" customHeight="1">
      <c r="A2715" s="44" t="s">
        <v>2821</v>
      </c>
      <c r="B2715" s="45" t="s">
        <v>5820</v>
      </c>
      <c r="C2715" s="45" t="s">
        <v>6780</v>
      </c>
      <c r="D2715" s="45" t="s">
        <v>6790</v>
      </c>
      <c r="E2715" s="44"/>
      <c r="F2715" s="37">
        <v>1</v>
      </c>
      <c r="G2715" s="37" t="s">
        <v>6864</v>
      </c>
      <c r="H2715" s="63">
        <v>16101.8</v>
      </c>
    </row>
    <row r="2716" spans="1:8" ht="24.75" customHeight="1">
      <c r="A2716" s="44" t="s">
        <v>2502</v>
      </c>
      <c r="B2716" s="45" t="s">
        <v>4866</v>
      </c>
      <c r="C2716" s="45" t="s">
        <v>6780</v>
      </c>
      <c r="D2716" s="45" t="s">
        <v>6790</v>
      </c>
      <c r="E2716" s="44" t="s">
        <v>6855</v>
      </c>
      <c r="F2716" s="37">
        <v>1</v>
      </c>
      <c r="G2716" s="37" t="s">
        <v>6864</v>
      </c>
      <c r="H2716" s="63">
        <v>17331.599999999999</v>
      </c>
    </row>
    <row r="2717" spans="1:8" ht="24.75" customHeight="1">
      <c r="A2717" s="44" t="s">
        <v>1074</v>
      </c>
      <c r="B2717" s="45" t="s">
        <v>4472</v>
      </c>
      <c r="C2717" s="45" t="s">
        <v>6780</v>
      </c>
      <c r="D2717" s="45" t="s">
        <v>6790</v>
      </c>
      <c r="E2717" s="44" t="s">
        <v>6855</v>
      </c>
      <c r="F2717" s="37">
        <v>1</v>
      </c>
      <c r="G2717" s="37" t="s">
        <v>6864</v>
      </c>
      <c r="H2717" s="63">
        <v>25411.1</v>
      </c>
    </row>
    <row r="2718" spans="1:8" ht="24.75" customHeight="1">
      <c r="A2718" s="44" t="s">
        <v>1486</v>
      </c>
      <c r="B2718" s="45" t="s">
        <v>6004</v>
      </c>
      <c r="C2718" s="45" t="s">
        <v>6780</v>
      </c>
      <c r="D2718" s="45" t="s">
        <v>6790</v>
      </c>
      <c r="E2718" s="44"/>
      <c r="F2718" s="37">
        <v>1</v>
      </c>
      <c r="G2718" s="37" t="s">
        <v>6864</v>
      </c>
      <c r="H2718" s="63">
        <v>18761.599999999999</v>
      </c>
    </row>
    <row r="2719" spans="1:8" ht="24.75" customHeight="1">
      <c r="A2719" s="44" t="s">
        <v>1600</v>
      </c>
      <c r="B2719" s="45" t="s">
        <v>5488</v>
      </c>
      <c r="C2719" s="45" t="s">
        <v>6780</v>
      </c>
      <c r="D2719" s="45" t="s">
        <v>6790</v>
      </c>
      <c r="E2719" s="44"/>
      <c r="F2719" s="37">
        <v>1</v>
      </c>
      <c r="G2719" s="37" t="s">
        <v>6864</v>
      </c>
      <c r="H2719" s="63">
        <v>21464.3</v>
      </c>
    </row>
    <row r="2720" spans="1:8" ht="24.75" customHeight="1">
      <c r="A2720" s="44" t="s">
        <v>700</v>
      </c>
      <c r="B2720" s="45" t="s">
        <v>5109</v>
      </c>
      <c r="C2720" s="45" t="s">
        <v>6780</v>
      </c>
      <c r="D2720" s="45" t="s">
        <v>6790</v>
      </c>
      <c r="E2720" s="44"/>
      <c r="F2720" s="37">
        <v>1</v>
      </c>
      <c r="G2720" s="37" t="s">
        <v>6864</v>
      </c>
      <c r="H2720" s="63">
        <v>19462.3</v>
      </c>
    </row>
    <row r="2721" spans="1:8" ht="24.75" customHeight="1">
      <c r="A2721" s="44" t="s">
        <v>1114</v>
      </c>
      <c r="B2721" s="45" t="s">
        <v>5675</v>
      </c>
      <c r="C2721" s="45" t="s">
        <v>6780</v>
      </c>
      <c r="D2721" s="45" t="s">
        <v>6791</v>
      </c>
      <c r="E2721" s="44" t="s">
        <v>6839</v>
      </c>
      <c r="F2721" s="37">
        <v>1</v>
      </c>
      <c r="G2721" s="37" t="s">
        <v>2568</v>
      </c>
      <c r="H2721" s="63">
        <v>2888.6</v>
      </c>
    </row>
    <row r="2722" spans="1:8" ht="24.75" customHeight="1">
      <c r="A2722" s="44" t="s">
        <v>795</v>
      </c>
      <c r="B2722" s="45" t="s">
        <v>6048</v>
      </c>
      <c r="C2722" s="45" t="s">
        <v>6780</v>
      </c>
      <c r="D2722" s="45" t="s">
        <v>6791</v>
      </c>
      <c r="E2722" s="44" t="s">
        <v>6839</v>
      </c>
      <c r="F2722" s="37">
        <v>1</v>
      </c>
      <c r="G2722" s="37" t="s">
        <v>2568</v>
      </c>
      <c r="H2722" s="63">
        <v>4261.3999999999996</v>
      </c>
    </row>
    <row r="2723" spans="1:8" ht="24.75" customHeight="1">
      <c r="A2723" s="44" t="s">
        <v>2483</v>
      </c>
      <c r="B2723" s="45" t="s">
        <v>4853</v>
      </c>
      <c r="C2723" s="45" t="s">
        <v>6780</v>
      </c>
      <c r="D2723" s="45" t="s">
        <v>6791</v>
      </c>
      <c r="E2723" s="44"/>
      <c r="F2723" s="37">
        <v>1</v>
      </c>
      <c r="G2723" s="37" t="s">
        <v>2568</v>
      </c>
      <c r="H2723" s="63">
        <v>3603.6</v>
      </c>
    </row>
    <row r="2724" spans="1:8" ht="24.75" customHeight="1">
      <c r="A2724" s="44" t="s">
        <v>706</v>
      </c>
      <c r="B2724" s="45" t="s">
        <v>5115</v>
      </c>
      <c r="C2724" s="45" t="s">
        <v>6780</v>
      </c>
      <c r="D2724" s="45" t="s">
        <v>6791</v>
      </c>
      <c r="E2724" s="44" t="s">
        <v>6839</v>
      </c>
      <c r="F2724" s="37">
        <v>1</v>
      </c>
      <c r="G2724" s="37" t="s">
        <v>6864</v>
      </c>
      <c r="H2724" s="63">
        <v>6792.5</v>
      </c>
    </row>
    <row r="2725" spans="1:8" ht="24.75" customHeight="1">
      <c r="A2725" s="44" t="s">
        <v>3100</v>
      </c>
      <c r="B2725" s="45" t="s">
        <v>5393</v>
      </c>
      <c r="C2725" s="45" t="s">
        <v>6780</v>
      </c>
      <c r="D2725" s="45" t="s">
        <v>6791</v>
      </c>
      <c r="E2725" s="44" t="s">
        <v>956</v>
      </c>
      <c r="F2725" s="37">
        <v>1</v>
      </c>
      <c r="G2725" s="37" t="s">
        <v>2568</v>
      </c>
      <c r="H2725" s="63">
        <v>5419.7</v>
      </c>
    </row>
    <row r="2726" spans="1:8" ht="24.75" customHeight="1">
      <c r="A2726" s="44" t="s">
        <v>1593</v>
      </c>
      <c r="B2726" s="45" t="s">
        <v>5478</v>
      </c>
      <c r="C2726" s="45" t="s">
        <v>6780</v>
      </c>
      <c r="D2726" s="45" t="s">
        <v>6791</v>
      </c>
      <c r="E2726" s="44" t="s">
        <v>6839</v>
      </c>
      <c r="F2726" s="37">
        <v>1</v>
      </c>
      <c r="G2726" s="37" t="s">
        <v>6864</v>
      </c>
      <c r="H2726" s="63">
        <v>4976.3999999999996</v>
      </c>
    </row>
    <row r="2727" spans="1:8" ht="24.75" customHeight="1">
      <c r="A2727" s="44" t="s">
        <v>2240</v>
      </c>
      <c r="B2727" s="45" t="s">
        <v>5917</v>
      </c>
      <c r="C2727" s="45" t="s">
        <v>6780</v>
      </c>
      <c r="D2727" s="45" t="s">
        <v>6791</v>
      </c>
      <c r="E2727" s="44"/>
      <c r="F2727" s="37">
        <v>1</v>
      </c>
      <c r="G2727" s="37" t="s">
        <v>2568</v>
      </c>
      <c r="H2727" s="63">
        <v>5319.6</v>
      </c>
    </row>
    <row r="2728" spans="1:8" ht="24.75" customHeight="1">
      <c r="A2728" s="44" t="s">
        <v>1425</v>
      </c>
      <c r="B2728" s="45" t="s">
        <v>4979</v>
      </c>
      <c r="C2728" s="45" t="s">
        <v>6780</v>
      </c>
      <c r="D2728" s="45" t="s">
        <v>6791</v>
      </c>
      <c r="E2728" s="44"/>
      <c r="F2728" s="37">
        <v>1</v>
      </c>
      <c r="G2728" s="37" t="s">
        <v>2568</v>
      </c>
      <c r="H2728" s="63">
        <v>3589.3</v>
      </c>
    </row>
    <row r="2729" spans="1:8" ht="24.75" customHeight="1">
      <c r="A2729" s="44" t="s">
        <v>2410</v>
      </c>
      <c r="B2729" s="45" t="s">
        <v>4835</v>
      </c>
      <c r="C2729" s="45" t="s">
        <v>6780</v>
      </c>
      <c r="D2729" s="45" t="s">
        <v>6791</v>
      </c>
      <c r="E2729" s="44"/>
      <c r="F2729" s="37">
        <v>1</v>
      </c>
      <c r="G2729" s="37" t="s">
        <v>2568</v>
      </c>
      <c r="H2729" s="63">
        <v>5877.3</v>
      </c>
    </row>
    <row r="2730" spans="1:8" ht="24.75" customHeight="1">
      <c r="A2730" s="44" t="s">
        <v>705</v>
      </c>
      <c r="B2730" s="45" t="s">
        <v>5114</v>
      </c>
      <c r="C2730" s="45" t="s">
        <v>6780</v>
      </c>
      <c r="D2730" s="45" t="s">
        <v>6791</v>
      </c>
      <c r="E2730" s="44" t="s">
        <v>6839</v>
      </c>
      <c r="F2730" s="37">
        <v>1</v>
      </c>
      <c r="G2730" s="37" t="s">
        <v>2568</v>
      </c>
      <c r="H2730" s="63">
        <v>2574</v>
      </c>
    </row>
    <row r="2731" spans="1:8" ht="24.75" customHeight="1">
      <c r="A2731" s="44" t="s">
        <v>847</v>
      </c>
      <c r="B2731" s="45" t="s">
        <v>5344</v>
      </c>
      <c r="C2731" s="45" t="s">
        <v>6780</v>
      </c>
      <c r="D2731" s="45" t="s">
        <v>6792</v>
      </c>
      <c r="E2731" s="44"/>
      <c r="F2731" s="37">
        <v>100</v>
      </c>
      <c r="G2731" s="37" t="s">
        <v>6864</v>
      </c>
      <c r="H2731" s="63">
        <v>214.5</v>
      </c>
    </row>
    <row r="2732" spans="1:8" ht="24.75" customHeight="1">
      <c r="A2732" s="44" t="s">
        <v>2486</v>
      </c>
      <c r="B2732" s="45" t="s">
        <v>4854</v>
      </c>
      <c r="C2732" s="45" t="s">
        <v>6780</v>
      </c>
      <c r="D2732" s="45" t="s">
        <v>6792</v>
      </c>
      <c r="E2732" s="44" t="s">
        <v>956</v>
      </c>
      <c r="F2732" s="37">
        <v>1</v>
      </c>
      <c r="G2732" s="37" t="s">
        <v>2568</v>
      </c>
      <c r="H2732" s="63">
        <v>2202.1999999999998</v>
      </c>
    </row>
    <row r="2733" spans="1:8" ht="24.75" customHeight="1">
      <c r="A2733" s="44" t="s">
        <v>1379</v>
      </c>
      <c r="B2733" s="45" t="s">
        <v>6025</v>
      </c>
      <c r="C2733" s="45" t="s">
        <v>6780</v>
      </c>
      <c r="D2733" s="45" t="s">
        <v>6792</v>
      </c>
      <c r="E2733" s="44"/>
      <c r="F2733" s="37">
        <v>5</v>
      </c>
      <c r="G2733" s="37" t="s">
        <v>6864</v>
      </c>
      <c r="H2733" s="63">
        <v>1501.5</v>
      </c>
    </row>
    <row r="2734" spans="1:8" ht="24.75" customHeight="1">
      <c r="A2734" s="44" t="s">
        <v>2246</v>
      </c>
      <c r="B2734" s="45" t="s">
        <v>5581</v>
      </c>
      <c r="C2734" s="45" t="s">
        <v>6780</v>
      </c>
      <c r="D2734" s="45" t="s">
        <v>6792</v>
      </c>
      <c r="E2734" s="44"/>
      <c r="F2734" s="37">
        <v>1</v>
      </c>
      <c r="G2734" s="37" t="s">
        <v>2568</v>
      </c>
      <c r="H2734" s="63">
        <v>1444.3</v>
      </c>
    </row>
    <row r="2735" spans="1:8" ht="24.75" customHeight="1">
      <c r="A2735" s="44" t="s">
        <v>1503</v>
      </c>
      <c r="B2735" s="45" t="s">
        <v>6074</v>
      </c>
      <c r="C2735" s="45" t="s">
        <v>6780</v>
      </c>
      <c r="D2735" s="45" t="s">
        <v>6792</v>
      </c>
      <c r="E2735" s="44" t="s">
        <v>6839</v>
      </c>
      <c r="F2735" s="37">
        <v>50</v>
      </c>
      <c r="G2735" s="37" t="s">
        <v>6865</v>
      </c>
      <c r="H2735" s="63">
        <v>228.8</v>
      </c>
    </row>
    <row r="2736" spans="1:8" ht="24.75" customHeight="1">
      <c r="A2736" s="44" t="s">
        <v>702</v>
      </c>
      <c r="B2736" s="45" t="s">
        <v>5111</v>
      </c>
      <c r="C2736" s="45" t="s">
        <v>6780</v>
      </c>
      <c r="D2736" s="45" t="s">
        <v>6792</v>
      </c>
      <c r="E2736" s="44"/>
      <c r="F2736" s="37">
        <v>20</v>
      </c>
      <c r="G2736" s="37" t="s">
        <v>6864</v>
      </c>
      <c r="H2736" s="63">
        <v>257.39999999999998</v>
      </c>
    </row>
    <row r="2737" spans="1:8" ht="24.75" customHeight="1">
      <c r="A2737" s="44" t="s">
        <v>2487</v>
      </c>
      <c r="B2737" s="45" t="s">
        <v>4855</v>
      </c>
      <c r="C2737" s="45" t="s">
        <v>6780</v>
      </c>
      <c r="D2737" s="45" t="s">
        <v>6792</v>
      </c>
      <c r="E2737" s="44"/>
      <c r="F2737" s="37">
        <v>50</v>
      </c>
      <c r="G2737" s="37" t="s">
        <v>6864</v>
      </c>
      <c r="H2737" s="63">
        <v>414.7</v>
      </c>
    </row>
    <row r="2738" spans="1:8" ht="24.75" customHeight="1">
      <c r="A2738" s="44" t="s">
        <v>1244</v>
      </c>
      <c r="B2738" s="45" t="s">
        <v>4908</v>
      </c>
      <c r="C2738" s="45" t="s">
        <v>6780</v>
      </c>
      <c r="D2738" s="45" t="s">
        <v>6792</v>
      </c>
      <c r="E2738" s="44"/>
      <c r="F2738" s="37">
        <v>100</v>
      </c>
      <c r="G2738" s="37" t="s">
        <v>6864</v>
      </c>
      <c r="H2738" s="63">
        <v>228.8</v>
      </c>
    </row>
    <row r="2739" spans="1:8" ht="24.75" customHeight="1">
      <c r="A2739" s="44" t="s">
        <v>429</v>
      </c>
      <c r="B2739" s="45" t="s">
        <v>5178</v>
      </c>
      <c r="C2739" s="45" t="s">
        <v>6780</v>
      </c>
      <c r="D2739" s="45" t="s">
        <v>6793</v>
      </c>
      <c r="E2739" s="44"/>
      <c r="F2739" s="37">
        <v>20</v>
      </c>
      <c r="G2739" s="37" t="s">
        <v>6864</v>
      </c>
      <c r="H2739" s="63">
        <v>600.6</v>
      </c>
    </row>
    <row r="2740" spans="1:8" ht="24.75" customHeight="1">
      <c r="A2740" s="44" t="s">
        <v>432</v>
      </c>
      <c r="B2740" s="45" t="s">
        <v>5181</v>
      </c>
      <c r="C2740" s="45" t="s">
        <v>6780</v>
      </c>
      <c r="D2740" s="45" t="s">
        <v>6793</v>
      </c>
      <c r="E2740" s="44" t="s">
        <v>6839</v>
      </c>
      <c r="F2740" s="37">
        <v>1</v>
      </c>
      <c r="G2740" s="37" t="s">
        <v>2568</v>
      </c>
      <c r="H2740" s="63">
        <v>3575</v>
      </c>
    </row>
    <row r="2741" spans="1:8" ht="24.75" customHeight="1">
      <c r="A2741" s="44" t="s">
        <v>900</v>
      </c>
      <c r="B2741" s="45" t="s">
        <v>4758</v>
      </c>
      <c r="C2741" s="45" t="s">
        <v>6780</v>
      </c>
      <c r="D2741" s="45" t="s">
        <v>6794</v>
      </c>
      <c r="E2741" s="44" t="s">
        <v>956</v>
      </c>
      <c r="F2741" s="37">
        <v>1</v>
      </c>
      <c r="G2741" s="37" t="s">
        <v>6865</v>
      </c>
      <c r="H2741" s="63">
        <v>1358.5</v>
      </c>
    </row>
    <row r="2742" spans="1:8" ht="24.75" customHeight="1">
      <c r="A2742" s="44" t="s">
        <v>904</v>
      </c>
      <c r="B2742" s="45" t="s">
        <v>4762</v>
      </c>
      <c r="C2742" s="45" t="s">
        <v>6780</v>
      </c>
      <c r="D2742" s="45" t="s">
        <v>6794</v>
      </c>
      <c r="E2742" s="44" t="s">
        <v>956</v>
      </c>
      <c r="F2742" s="37">
        <v>1</v>
      </c>
      <c r="G2742" s="37" t="s">
        <v>6865</v>
      </c>
      <c r="H2742" s="63">
        <v>1358.5</v>
      </c>
    </row>
    <row r="2743" spans="1:8" ht="24.75" customHeight="1">
      <c r="A2743" s="44" t="s">
        <v>901</v>
      </c>
      <c r="B2743" s="45" t="s">
        <v>4759</v>
      </c>
      <c r="C2743" s="45" t="s">
        <v>6780</v>
      </c>
      <c r="D2743" s="45" t="s">
        <v>6794</v>
      </c>
      <c r="E2743" s="44" t="s">
        <v>956</v>
      </c>
      <c r="F2743" s="37">
        <v>1</v>
      </c>
      <c r="G2743" s="37" t="s">
        <v>6865</v>
      </c>
      <c r="H2743" s="63">
        <v>1358.5</v>
      </c>
    </row>
    <row r="2744" spans="1:8" ht="24.75" customHeight="1">
      <c r="A2744" s="44" t="s">
        <v>902</v>
      </c>
      <c r="B2744" s="45" t="s">
        <v>4760</v>
      </c>
      <c r="C2744" s="45" t="s">
        <v>6780</v>
      </c>
      <c r="D2744" s="45" t="s">
        <v>6794</v>
      </c>
      <c r="E2744" s="44" t="s">
        <v>956</v>
      </c>
      <c r="F2744" s="37">
        <v>1</v>
      </c>
      <c r="G2744" s="37" t="s">
        <v>6865</v>
      </c>
      <c r="H2744" s="63">
        <v>1358.5</v>
      </c>
    </row>
    <row r="2745" spans="1:8" ht="24.75" customHeight="1">
      <c r="A2745" s="44" t="s">
        <v>903</v>
      </c>
      <c r="B2745" s="45" t="s">
        <v>4761</v>
      </c>
      <c r="C2745" s="45" t="s">
        <v>6780</v>
      </c>
      <c r="D2745" s="45" t="s">
        <v>6794</v>
      </c>
      <c r="E2745" s="44" t="s">
        <v>956</v>
      </c>
      <c r="F2745" s="37">
        <v>1</v>
      </c>
      <c r="G2745" s="37" t="s">
        <v>6865</v>
      </c>
      <c r="H2745" s="63">
        <v>1358.5</v>
      </c>
    </row>
    <row r="2746" spans="1:8" ht="24.75" customHeight="1">
      <c r="A2746" s="44" t="s">
        <v>97</v>
      </c>
      <c r="B2746" s="45" t="s">
        <v>4748</v>
      </c>
      <c r="C2746" s="45" t="s">
        <v>6780</v>
      </c>
      <c r="D2746" s="45" t="s">
        <v>6794</v>
      </c>
      <c r="E2746" s="44" t="s">
        <v>956</v>
      </c>
      <c r="F2746" s="37">
        <v>1</v>
      </c>
      <c r="G2746" s="37" t="s">
        <v>6865</v>
      </c>
      <c r="H2746" s="63">
        <v>1244.0999999999999</v>
      </c>
    </row>
    <row r="2747" spans="1:8" ht="24.75" customHeight="1">
      <c r="A2747" s="44" t="s">
        <v>101</v>
      </c>
      <c r="B2747" s="45" t="s">
        <v>4752</v>
      </c>
      <c r="C2747" s="45" t="s">
        <v>6780</v>
      </c>
      <c r="D2747" s="45" t="s">
        <v>6794</v>
      </c>
      <c r="E2747" s="44" t="s">
        <v>956</v>
      </c>
      <c r="F2747" s="37">
        <v>1</v>
      </c>
      <c r="G2747" s="37" t="s">
        <v>6865</v>
      </c>
      <c r="H2747" s="63">
        <v>1244.0999999999999</v>
      </c>
    </row>
    <row r="2748" spans="1:8" ht="24.75" customHeight="1">
      <c r="A2748" s="44" t="s">
        <v>98</v>
      </c>
      <c r="B2748" s="45" t="s">
        <v>4749</v>
      </c>
      <c r="C2748" s="45" t="s">
        <v>6780</v>
      </c>
      <c r="D2748" s="45" t="s">
        <v>6794</v>
      </c>
      <c r="E2748" s="44" t="s">
        <v>956</v>
      </c>
      <c r="F2748" s="37">
        <v>1</v>
      </c>
      <c r="G2748" s="37" t="s">
        <v>6865</v>
      </c>
      <c r="H2748" s="63">
        <v>1244.0999999999999</v>
      </c>
    </row>
    <row r="2749" spans="1:8" ht="24.75" customHeight="1">
      <c r="A2749" s="44" t="s">
        <v>99</v>
      </c>
      <c r="B2749" s="45" t="s">
        <v>4750</v>
      </c>
      <c r="C2749" s="45" t="s">
        <v>6780</v>
      </c>
      <c r="D2749" s="45" t="s">
        <v>6794</v>
      </c>
      <c r="E2749" s="44" t="s">
        <v>956</v>
      </c>
      <c r="F2749" s="37">
        <v>1</v>
      </c>
      <c r="G2749" s="37" t="s">
        <v>6865</v>
      </c>
      <c r="H2749" s="63">
        <v>1244.0999999999999</v>
      </c>
    </row>
    <row r="2750" spans="1:8" ht="24.75" customHeight="1">
      <c r="A2750" s="44" t="s">
        <v>100</v>
      </c>
      <c r="B2750" s="45" t="s">
        <v>4751</v>
      </c>
      <c r="C2750" s="45" t="s">
        <v>6780</v>
      </c>
      <c r="D2750" s="45" t="s">
        <v>6794</v>
      </c>
      <c r="E2750" s="44" t="s">
        <v>956</v>
      </c>
      <c r="F2750" s="37">
        <v>1</v>
      </c>
      <c r="G2750" s="37" t="s">
        <v>6865</v>
      </c>
      <c r="H2750" s="63">
        <v>1244.0999999999999</v>
      </c>
    </row>
    <row r="2751" spans="1:8" ht="24.75" customHeight="1">
      <c r="A2751" s="44" t="s">
        <v>102</v>
      </c>
      <c r="B2751" s="45" t="s">
        <v>4753</v>
      </c>
      <c r="C2751" s="45" t="s">
        <v>6780</v>
      </c>
      <c r="D2751" s="45" t="s">
        <v>6794</v>
      </c>
      <c r="E2751" s="44" t="s">
        <v>956</v>
      </c>
      <c r="F2751" s="37">
        <v>1</v>
      </c>
      <c r="G2751" s="37" t="s">
        <v>6865</v>
      </c>
      <c r="H2751" s="63">
        <v>1244.0999999999999</v>
      </c>
    </row>
    <row r="2752" spans="1:8" ht="24.75" customHeight="1">
      <c r="A2752" s="44" t="s">
        <v>899</v>
      </c>
      <c r="B2752" s="45" t="s">
        <v>4757</v>
      </c>
      <c r="C2752" s="45" t="s">
        <v>6780</v>
      </c>
      <c r="D2752" s="45" t="s">
        <v>6794</v>
      </c>
      <c r="E2752" s="44" t="s">
        <v>956</v>
      </c>
      <c r="F2752" s="37">
        <v>1</v>
      </c>
      <c r="G2752" s="37" t="s">
        <v>6865</v>
      </c>
      <c r="H2752" s="63">
        <v>1358.5</v>
      </c>
    </row>
    <row r="2753" spans="1:8" ht="24.75" customHeight="1">
      <c r="A2753" s="44" t="s">
        <v>103</v>
      </c>
      <c r="B2753" s="45" t="s">
        <v>4754</v>
      </c>
      <c r="C2753" s="45" t="s">
        <v>6780</v>
      </c>
      <c r="D2753" s="45" t="s">
        <v>6794</v>
      </c>
      <c r="E2753" s="44" t="s">
        <v>956</v>
      </c>
      <c r="F2753" s="37">
        <v>1</v>
      </c>
      <c r="G2753" s="37" t="s">
        <v>6865</v>
      </c>
      <c r="H2753" s="63">
        <v>1244.0999999999999</v>
      </c>
    </row>
    <row r="2754" spans="1:8" ht="24.75" customHeight="1">
      <c r="A2754" s="44" t="s">
        <v>104</v>
      </c>
      <c r="B2754" s="45" t="s">
        <v>4755</v>
      </c>
      <c r="C2754" s="45" t="s">
        <v>6780</v>
      </c>
      <c r="D2754" s="45" t="s">
        <v>6794</v>
      </c>
      <c r="E2754" s="44" t="s">
        <v>956</v>
      </c>
      <c r="F2754" s="37">
        <v>1</v>
      </c>
      <c r="G2754" s="37" t="s">
        <v>6865</v>
      </c>
      <c r="H2754" s="63">
        <v>1244.0999999999999</v>
      </c>
    </row>
    <row r="2755" spans="1:8" ht="24.75" customHeight="1">
      <c r="A2755" s="44" t="s">
        <v>105</v>
      </c>
      <c r="B2755" s="45" t="s">
        <v>4756</v>
      </c>
      <c r="C2755" s="45" t="s">
        <v>6780</v>
      </c>
      <c r="D2755" s="45" t="s">
        <v>6794</v>
      </c>
      <c r="E2755" s="44" t="s">
        <v>956</v>
      </c>
      <c r="F2755" s="37">
        <v>1</v>
      </c>
      <c r="G2755" s="37" t="s">
        <v>6865</v>
      </c>
      <c r="H2755" s="63">
        <v>1244.0999999999999</v>
      </c>
    </row>
    <row r="2756" spans="1:8" ht="24.75" customHeight="1">
      <c r="A2756" s="44" t="s">
        <v>1625</v>
      </c>
      <c r="B2756" s="45" t="s">
        <v>5520</v>
      </c>
      <c r="C2756" s="45" t="s">
        <v>6795</v>
      </c>
      <c r="D2756" s="45" t="s">
        <v>6796</v>
      </c>
      <c r="E2756" s="44" t="s">
        <v>6839</v>
      </c>
      <c r="F2756" s="37">
        <v>1</v>
      </c>
      <c r="G2756" s="37" t="s">
        <v>6864</v>
      </c>
      <c r="H2756" s="63">
        <v>24924.9</v>
      </c>
    </row>
    <row r="2757" spans="1:8" ht="24.75" customHeight="1">
      <c r="A2757" s="44" t="s">
        <v>701</v>
      </c>
      <c r="B2757" s="45" t="s">
        <v>5110</v>
      </c>
      <c r="C2757" s="45" t="s">
        <v>6795</v>
      </c>
      <c r="D2757" s="45" t="s">
        <v>6796</v>
      </c>
      <c r="E2757" s="44"/>
      <c r="F2757" s="37">
        <v>2</v>
      </c>
      <c r="G2757" s="37" t="s">
        <v>6864</v>
      </c>
      <c r="H2757" s="63">
        <v>19162</v>
      </c>
    </row>
    <row r="2758" spans="1:8" ht="24.75" customHeight="1">
      <c r="A2758" s="44" t="s">
        <v>2055</v>
      </c>
      <c r="B2758" s="45" t="s">
        <v>5294</v>
      </c>
      <c r="C2758" s="45" t="s">
        <v>6795</v>
      </c>
      <c r="D2758" s="45" t="s">
        <v>6796</v>
      </c>
      <c r="E2758" s="44"/>
      <c r="F2758" s="37">
        <v>2</v>
      </c>
      <c r="G2758" s="37" t="s">
        <v>6864</v>
      </c>
      <c r="H2758" s="63">
        <v>18203.900000000001</v>
      </c>
    </row>
    <row r="2759" spans="1:8" ht="24.75" customHeight="1">
      <c r="A2759" s="44" t="s">
        <v>1106</v>
      </c>
      <c r="B2759" s="45" t="s">
        <v>5089</v>
      </c>
      <c r="C2759" s="45" t="s">
        <v>6795</v>
      </c>
      <c r="D2759" s="45" t="s">
        <v>6797</v>
      </c>
      <c r="E2759" s="44"/>
      <c r="F2759" s="37">
        <v>10</v>
      </c>
      <c r="G2759" s="37" t="s">
        <v>6864</v>
      </c>
      <c r="H2759" s="63">
        <v>1830.4</v>
      </c>
    </row>
    <row r="2760" spans="1:8" ht="24.75" customHeight="1">
      <c r="A2760" s="44" t="s">
        <v>2444</v>
      </c>
      <c r="B2760" s="45" t="s">
        <v>5537</v>
      </c>
      <c r="C2760" s="45" t="s">
        <v>6795</v>
      </c>
      <c r="D2760" s="45" t="s">
        <v>6797</v>
      </c>
      <c r="E2760" s="44"/>
      <c r="F2760" s="37">
        <v>5</v>
      </c>
      <c r="G2760" s="37" t="s">
        <v>6864</v>
      </c>
      <c r="H2760" s="63">
        <v>2159.3000000000002</v>
      </c>
    </row>
    <row r="2761" spans="1:8" ht="24.75" customHeight="1">
      <c r="A2761" s="44" t="s">
        <v>1476</v>
      </c>
      <c r="B2761" s="45" t="s">
        <v>5044</v>
      </c>
      <c r="C2761" s="45" t="s">
        <v>6795</v>
      </c>
      <c r="D2761" s="45" t="s">
        <v>6797</v>
      </c>
      <c r="E2761" s="44"/>
      <c r="F2761" s="37">
        <v>5</v>
      </c>
      <c r="G2761" s="37" t="s">
        <v>6864</v>
      </c>
      <c r="H2761" s="63">
        <v>1315.6</v>
      </c>
    </row>
    <row r="2762" spans="1:8" ht="24.75" customHeight="1">
      <c r="A2762" s="44" t="s">
        <v>756</v>
      </c>
      <c r="B2762" s="45" t="s">
        <v>6067</v>
      </c>
      <c r="C2762" s="45" t="s">
        <v>6795</v>
      </c>
      <c r="D2762" s="45" t="s">
        <v>6797</v>
      </c>
      <c r="E2762" s="44"/>
      <c r="F2762" s="37">
        <v>10</v>
      </c>
      <c r="G2762" s="37" t="s">
        <v>6864</v>
      </c>
      <c r="H2762" s="63">
        <v>1630.2</v>
      </c>
    </row>
    <row r="2763" spans="1:8" ht="24.75" customHeight="1">
      <c r="A2763" s="44" t="s">
        <v>1395</v>
      </c>
      <c r="B2763" s="45" t="s">
        <v>4916</v>
      </c>
      <c r="C2763" s="45" t="s">
        <v>6795</v>
      </c>
      <c r="D2763" s="45" t="s">
        <v>6797</v>
      </c>
      <c r="E2763" s="44"/>
      <c r="F2763" s="37">
        <v>1</v>
      </c>
      <c r="G2763" s="37" t="s">
        <v>6864</v>
      </c>
      <c r="H2763" s="63">
        <v>1501.5</v>
      </c>
    </row>
    <row r="2764" spans="1:8" ht="24.75" customHeight="1">
      <c r="A2764" s="44" t="s">
        <v>954</v>
      </c>
      <c r="B2764" s="45" t="s">
        <v>5130</v>
      </c>
      <c r="C2764" s="45" t="s">
        <v>6795</v>
      </c>
      <c r="D2764" s="45" t="s">
        <v>6797</v>
      </c>
      <c r="E2764" s="44"/>
      <c r="F2764" s="37">
        <v>10</v>
      </c>
      <c r="G2764" s="37" t="s">
        <v>6864</v>
      </c>
      <c r="H2764" s="63">
        <v>1544.4</v>
      </c>
    </row>
    <row r="2765" spans="1:8" ht="24.75" customHeight="1">
      <c r="A2765" s="44" t="s">
        <v>2608</v>
      </c>
      <c r="B2765" s="45" t="s">
        <v>5234</v>
      </c>
      <c r="C2765" s="45" t="s">
        <v>6795</v>
      </c>
      <c r="D2765" s="45" t="s">
        <v>6797</v>
      </c>
      <c r="E2765" s="44"/>
      <c r="F2765" s="37">
        <v>10</v>
      </c>
      <c r="G2765" s="37" t="s">
        <v>6864</v>
      </c>
      <c r="H2765" s="63">
        <v>1658.8</v>
      </c>
    </row>
    <row r="2766" spans="1:8" ht="24.75" customHeight="1">
      <c r="A2766" s="44" t="s">
        <v>2154</v>
      </c>
      <c r="B2766" s="45" t="s">
        <v>5585</v>
      </c>
      <c r="C2766" s="45" t="s">
        <v>6795</v>
      </c>
      <c r="D2766" s="45" t="s">
        <v>6797</v>
      </c>
      <c r="E2766" s="44"/>
      <c r="F2766" s="37">
        <v>5</v>
      </c>
      <c r="G2766" s="37" t="s">
        <v>6864</v>
      </c>
      <c r="H2766" s="63">
        <v>1716</v>
      </c>
    </row>
    <row r="2767" spans="1:8" ht="24.75" customHeight="1">
      <c r="A2767" s="44" t="s">
        <v>2443</v>
      </c>
      <c r="B2767" s="45" t="s">
        <v>5536</v>
      </c>
      <c r="C2767" s="45" t="s">
        <v>6795</v>
      </c>
      <c r="D2767" s="45" t="s">
        <v>6797</v>
      </c>
      <c r="E2767" s="44"/>
      <c r="F2767" s="37">
        <v>5</v>
      </c>
      <c r="G2767" s="37" t="s">
        <v>6864</v>
      </c>
      <c r="H2767" s="63">
        <v>2102.1</v>
      </c>
    </row>
    <row r="2768" spans="1:8" ht="24.75" customHeight="1">
      <c r="A2768" s="44" t="s">
        <v>757</v>
      </c>
      <c r="B2768" s="45" t="s">
        <v>6066</v>
      </c>
      <c r="C2768" s="45" t="s">
        <v>6795</v>
      </c>
      <c r="D2768" s="45" t="s">
        <v>6797</v>
      </c>
      <c r="E2768" s="44"/>
      <c r="F2768" s="37">
        <v>10</v>
      </c>
      <c r="G2768" s="37" t="s">
        <v>6864</v>
      </c>
      <c r="H2768" s="63">
        <v>1687.4</v>
      </c>
    </row>
    <row r="2769" spans="1:8" ht="24.75" customHeight="1">
      <c r="A2769" s="44" t="s">
        <v>1409</v>
      </c>
      <c r="B2769" s="45" t="s">
        <v>4958</v>
      </c>
      <c r="C2769" s="45" t="s">
        <v>6795</v>
      </c>
      <c r="D2769" s="45" t="s">
        <v>6797</v>
      </c>
      <c r="E2769" s="44"/>
      <c r="F2769" s="37">
        <v>1</v>
      </c>
      <c r="G2769" s="37" t="s">
        <v>6864</v>
      </c>
      <c r="H2769" s="63">
        <v>3532.1</v>
      </c>
    </row>
    <row r="2770" spans="1:8" ht="24.75" customHeight="1">
      <c r="A2770" s="44" t="s">
        <v>1629</v>
      </c>
      <c r="B2770" s="45" t="s">
        <v>5524</v>
      </c>
      <c r="C2770" s="45" t="s">
        <v>6795</v>
      </c>
      <c r="D2770" s="45" t="s">
        <v>6798</v>
      </c>
      <c r="E2770" s="44" t="s">
        <v>6839</v>
      </c>
      <c r="F2770" s="37">
        <v>1</v>
      </c>
      <c r="G2770" s="37" t="s">
        <v>6864</v>
      </c>
      <c r="H2770" s="63">
        <v>30444.7</v>
      </c>
    </row>
    <row r="2771" spans="1:8" ht="24.75" customHeight="1">
      <c r="A2771" s="44" t="s">
        <v>2612</v>
      </c>
      <c r="B2771" s="45" t="s">
        <v>5238</v>
      </c>
      <c r="C2771" s="45" t="s">
        <v>6795</v>
      </c>
      <c r="D2771" s="45" t="s">
        <v>6798</v>
      </c>
      <c r="E2771" s="44" t="s">
        <v>6839</v>
      </c>
      <c r="F2771" s="37">
        <v>1</v>
      </c>
      <c r="G2771" s="37" t="s">
        <v>6864</v>
      </c>
      <c r="H2771" s="63">
        <v>27069.9</v>
      </c>
    </row>
    <row r="2772" spans="1:8" ht="24.75" customHeight="1">
      <c r="A2772" s="44" t="s">
        <v>2053</v>
      </c>
      <c r="B2772" s="45" t="s">
        <v>5292</v>
      </c>
      <c r="C2772" s="45" t="s">
        <v>6795</v>
      </c>
      <c r="D2772" s="45" t="s">
        <v>6798</v>
      </c>
      <c r="E2772" s="44" t="s">
        <v>956</v>
      </c>
      <c r="F2772" s="37">
        <v>1</v>
      </c>
      <c r="G2772" s="37" t="s">
        <v>6864</v>
      </c>
      <c r="H2772" s="63">
        <v>36465</v>
      </c>
    </row>
    <row r="2773" spans="1:8" ht="24.75" customHeight="1">
      <c r="A2773" s="44" t="s">
        <v>3115</v>
      </c>
      <c r="B2773" s="45" t="s">
        <v>5359</v>
      </c>
      <c r="C2773" s="45" t="s">
        <v>6795</v>
      </c>
      <c r="D2773" s="45" t="s">
        <v>6798</v>
      </c>
      <c r="E2773" s="44" t="s">
        <v>956</v>
      </c>
      <c r="F2773" s="37">
        <v>1</v>
      </c>
      <c r="G2773" s="37" t="s">
        <v>6864</v>
      </c>
      <c r="H2773" s="63">
        <v>20306</v>
      </c>
    </row>
    <row r="2774" spans="1:8" ht="24.75" customHeight="1">
      <c r="A2774" s="44" t="s">
        <v>953</v>
      </c>
      <c r="B2774" s="45" t="s">
        <v>5129</v>
      </c>
      <c r="C2774" s="45" t="s">
        <v>6795</v>
      </c>
      <c r="D2774" s="45" t="s">
        <v>6798</v>
      </c>
      <c r="E2774" s="44" t="s">
        <v>6839</v>
      </c>
      <c r="F2774" s="37">
        <v>1</v>
      </c>
      <c r="G2774" s="37" t="s">
        <v>6864</v>
      </c>
      <c r="H2774" s="63">
        <v>40397.5</v>
      </c>
    </row>
    <row r="2775" spans="1:8" ht="24.75" customHeight="1">
      <c r="A2775" s="44" t="s">
        <v>2181</v>
      </c>
      <c r="B2775" s="45" t="s">
        <v>5891</v>
      </c>
      <c r="C2775" s="45" t="s">
        <v>6795</v>
      </c>
      <c r="D2775" s="45" t="s">
        <v>6798</v>
      </c>
      <c r="E2775" s="44" t="s">
        <v>956</v>
      </c>
      <c r="F2775" s="37">
        <v>1</v>
      </c>
      <c r="G2775" s="37" t="s">
        <v>6864</v>
      </c>
      <c r="H2775" s="63">
        <v>31002.400000000001</v>
      </c>
    </row>
    <row r="2776" spans="1:8" ht="24.75" customHeight="1">
      <c r="A2776" s="44" t="s">
        <v>2104</v>
      </c>
      <c r="B2776" s="45" t="s">
        <v>5298</v>
      </c>
      <c r="C2776" s="45" t="s">
        <v>6795</v>
      </c>
      <c r="D2776" s="45" t="s">
        <v>6798</v>
      </c>
      <c r="E2776" s="44" t="s">
        <v>956</v>
      </c>
      <c r="F2776" s="37">
        <v>1</v>
      </c>
      <c r="G2776" s="37" t="s">
        <v>6864</v>
      </c>
      <c r="H2776" s="63">
        <v>24438.7</v>
      </c>
    </row>
    <row r="2777" spans="1:8" ht="24.75" customHeight="1">
      <c r="A2777" s="44" t="s">
        <v>2054</v>
      </c>
      <c r="B2777" s="45" t="s">
        <v>5293</v>
      </c>
      <c r="C2777" s="45" t="s">
        <v>6795</v>
      </c>
      <c r="D2777" s="45" t="s">
        <v>6799</v>
      </c>
      <c r="E2777" s="44"/>
      <c r="F2777" s="37">
        <v>1</v>
      </c>
      <c r="G2777" s="37" t="s">
        <v>6864</v>
      </c>
      <c r="H2777" s="63">
        <v>35035</v>
      </c>
    </row>
    <row r="2778" spans="1:8" ht="24.75" customHeight="1">
      <c r="A2778" s="44" t="s">
        <v>699</v>
      </c>
      <c r="B2778" s="45" t="s">
        <v>5108</v>
      </c>
      <c r="C2778" s="45" t="s">
        <v>6795</v>
      </c>
      <c r="D2778" s="45" t="s">
        <v>6799</v>
      </c>
      <c r="E2778" s="44" t="s">
        <v>6839</v>
      </c>
      <c r="F2778" s="37">
        <v>1</v>
      </c>
      <c r="G2778" s="37" t="s">
        <v>6864</v>
      </c>
      <c r="H2778" s="63">
        <v>25711.4</v>
      </c>
    </row>
    <row r="2779" spans="1:8" ht="24.75" customHeight="1">
      <c r="A2779" s="44" t="s">
        <v>3091</v>
      </c>
      <c r="B2779" s="45" t="s">
        <v>5368</v>
      </c>
      <c r="C2779" s="45" t="s">
        <v>6795</v>
      </c>
      <c r="D2779" s="45" t="s">
        <v>6799</v>
      </c>
      <c r="E2779" s="44"/>
      <c r="F2779" s="37">
        <v>1</v>
      </c>
      <c r="G2779" s="37" t="s">
        <v>6864</v>
      </c>
      <c r="H2779" s="63">
        <v>19576.7</v>
      </c>
    </row>
    <row r="2780" spans="1:8" ht="24.75" customHeight="1">
      <c r="A2780" s="44" t="s">
        <v>1578</v>
      </c>
      <c r="B2780" s="45" t="s">
        <v>5456</v>
      </c>
      <c r="C2780" s="45" t="s">
        <v>6795</v>
      </c>
      <c r="D2780" s="45" t="s">
        <v>6799</v>
      </c>
      <c r="E2780" s="44" t="s">
        <v>6839</v>
      </c>
      <c r="F2780" s="37">
        <v>1</v>
      </c>
      <c r="G2780" s="37" t="s">
        <v>6864</v>
      </c>
      <c r="H2780" s="63">
        <v>28457</v>
      </c>
    </row>
    <row r="2781" spans="1:8" ht="24.75" customHeight="1">
      <c r="A2781" s="44" t="s">
        <v>2194</v>
      </c>
      <c r="B2781" s="45" t="s">
        <v>5918</v>
      </c>
      <c r="C2781" s="45" t="s">
        <v>6795</v>
      </c>
      <c r="D2781" s="45" t="s">
        <v>6799</v>
      </c>
      <c r="E2781" s="44"/>
      <c r="F2781" s="37">
        <v>1</v>
      </c>
      <c r="G2781" s="37" t="s">
        <v>6864</v>
      </c>
      <c r="H2781" s="63">
        <v>28514.2</v>
      </c>
    </row>
    <row r="2782" spans="1:8" ht="24.75" customHeight="1">
      <c r="A2782" s="44" t="s">
        <v>2366</v>
      </c>
      <c r="B2782" s="45" t="s">
        <v>4815</v>
      </c>
      <c r="C2782" s="45" t="s">
        <v>6795</v>
      </c>
      <c r="D2782" s="45" t="s">
        <v>6799</v>
      </c>
      <c r="E2782" s="44"/>
      <c r="F2782" s="37">
        <v>1</v>
      </c>
      <c r="G2782" s="37" t="s">
        <v>6864</v>
      </c>
      <c r="H2782" s="63">
        <v>25210.9</v>
      </c>
    </row>
    <row r="2783" spans="1:8" ht="24.75" customHeight="1">
      <c r="A2783" s="44" t="s">
        <v>2059</v>
      </c>
      <c r="B2783" s="45" t="s">
        <v>5299</v>
      </c>
      <c r="C2783" s="45" t="s">
        <v>6795</v>
      </c>
      <c r="D2783" s="45" t="s">
        <v>6799</v>
      </c>
      <c r="E2783" s="44"/>
      <c r="F2783" s="37">
        <v>1</v>
      </c>
      <c r="G2783" s="37" t="s">
        <v>6864</v>
      </c>
      <c r="H2783" s="63">
        <v>24410.1</v>
      </c>
    </row>
    <row r="2784" spans="1:8" ht="24.75" customHeight="1">
      <c r="A2784" s="44" t="s">
        <v>2365</v>
      </c>
      <c r="B2784" s="45" t="s">
        <v>4814</v>
      </c>
      <c r="C2784" s="45" t="s">
        <v>6795</v>
      </c>
      <c r="D2784" s="45" t="s">
        <v>6799</v>
      </c>
      <c r="E2784" s="44"/>
      <c r="F2784" s="37">
        <v>1</v>
      </c>
      <c r="G2784" s="37" t="s">
        <v>6864</v>
      </c>
      <c r="H2784" s="63">
        <v>29844.1</v>
      </c>
    </row>
    <row r="2785" spans="1:8" ht="24.75" customHeight="1">
      <c r="A2785" s="44" t="s">
        <v>2628</v>
      </c>
      <c r="B2785" s="45" t="s">
        <v>5251</v>
      </c>
      <c r="C2785" s="45" t="s">
        <v>6795</v>
      </c>
      <c r="D2785" s="45" t="s">
        <v>6800</v>
      </c>
      <c r="E2785" s="44"/>
      <c r="F2785" s="37">
        <v>5</v>
      </c>
      <c r="G2785" s="37" t="s">
        <v>6864</v>
      </c>
      <c r="H2785" s="63">
        <v>9652.5</v>
      </c>
    </row>
    <row r="2786" spans="1:8" ht="24.75" customHeight="1">
      <c r="A2786" s="44" t="s">
        <v>1176</v>
      </c>
      <c r="B2786" s="45" t="s">
        <v>5150</v>
      </c>
      <c r="C2786" s="45" t="s">
        <v>6795</v>
      </c>
      <c r="D2786" s="45" t="s">
        <v>6800</v>
      </c>
      <c r="E2786" s="44"/>
      <c r="F2786" s="37">
        <v>1</v>
      </c>
      <c r="G2786" s="37" t="s">
        <v>6864</v>
      </c>
      <c r="H2786" s="63">
        <v>7564.7</v>
      </c>
    </row>
    <row r="2787" spans="1:8" ht="24.75" customHeight="1">
      <c r="A2787" s="44" t="s">
        <v>2376</v>
      </c>
      <c r="B2787" s="45" t="s">
        <v>4821</v>
      </c>
      <c r="C2787" s="45" t="s">
        <v>6795</v>
      </c>
      <c r="D2787" s="45" t="s">
        <v>6800</v>
      </c>
      <c r="E2787" s="44"/>
      <c r="F2787" s="37">
        <v>1</v>
      </c>
      <c r="G2787" s="37" t="s">
        <v>6864</v>
      </c>
      <c r="H2787" s="63">
        <v>7207.2</v>
      </c>
    </row>
    <row r="2788" spans="1:8" ht="24.75" customHeight="1">
      <c r="A2788" s="44" t="s">
        <v>3121</v>
      </c>
      <c r="B2788" s="45" t="s">
        <v>5378</v>
      </c>
      <c r="C2788" s="45" t="s">
        <v>6795</v>
      </c>
      <c r="D2788" s="45" t="s">
        <v>6800</v>
      </c>
      <c r="E2788" s="44" t="s">
        <v>956</v>
      </c>
      <c r="F2788" s="37">
        <v>1</v>
      </c>
      <c r="G2788" s="37" t="s">
        <v>6864</v>
      </c>
      <c r="H2788" s="63">
        <v>6277.7</v>
      </c>
    </row>
    <row r="2789" spans="1:8" ht="24.75" customHeight="1">
      <c r="A2789" s="44" t="s">
        <v>1626</v>
      </c>
      <c r="B2789" s="45" t="s">
        <v>5521</v>
      </c>
      <c r="C2789" s="45" t="s">
        <v>6795</v>
      </c>
      <c r="D2789" s="45" t="s">
        <v>6800</v>
      </c>
      <c r="E2789" s="44" t="s">
        <v>6839</v>
      </c>
      <c r="F2789" s="37">
        <v>1</v>
      </c>
      <c r="G2789" s="37" t="s">
        <v>6864</v>
      </c>
      <c r="H2789" s="63">
        <v>10396.1</v>
      </c>
    </row>
    <row r="2790" spans="1:8" ht="24.75" customHeight="1">
      <c r="A2790" s="44" t="s">
        <v>2219</v>
      </c>
      <c r="B2790" s="45" t="s">
        <v>5892</v>
      </c>
      <c r="C2790" s="45" t="s">
        <v>6795</v>
      </c>
      <c r="D2790" s="45" t="s">
        <v>6800</v>
      </c>
      <c r="E2790" s="44"/>
      <c r="F2790" s="37">
        <v>1</v>
      </c>
      <c r="G2790" s="37" t="s">
        <v>6864</v>
      </c>
      <c r="H2790" s="63">
        <v>15772.9</v>
      </c>
    </row>
    <row r="2791" spans="1:8" ht="24.75" customHeight="1">
      <c r="A2791" s="44" t="s">
        <v>1392</v>
      </c>
      <c r="B2791" s="45" t="s">
        <v>5210</v>
      </c>
      <c r="C2791" s="45" t="s">
        <v>6795</v>
      </c>
      <c r="D2791" s="45" t="s">
        <v>6801</v>
      </c>
      <c r="E2791" s="44" t="s">
        <v>956</v>
      </c>
      <c r="F2791" s="37">
        <v>1</v>
      </c>
      <c r="G2791" s="37" t="s">
        <v>2568</v>
      </c>
      <c r="H2791" s="63">
        <v>4933.5</v>
      </c>
    </row>
    <row r="2792" spans="1:8" ht="24.75" customHeight="1">
      <c r="A2792" s="44" t="s">
        <v>1128</v>
      </c>
      <c r="B2792" s="45" t="s">
        <v>5688</v>
      </c>
      <c r="C2792" s="45" t="s">
        <v>6795</v>
      </c>
      <c r="D2792" s="45" t="s">
        <v>6802</v>
      </c>
      <c r="E2792" s="44"/>
      <c r="F2792" s="37">
        <v>1</v>
      </c>
      <c r="G2792" s="37" t="s">
        <v>6864</v>
      </c>
      <c r="H2792" s="63">
        <v>2044.9</v>
      </c>
    </row>
    <row r="2793" spans="1:8" ht="24.75" customHeight="1">
      <c r="A2793" s="44" t="s">
        <v>2218</v>
      </c>
      <c r="B2793" s="45" t="s">
        <v>5586</v>
      </c>
      <c r="C2793" s="45" t="s">
        <v>6795</v>
      </c>
      <c r="D2793" s="45" t="s">
        <v>6802</v>
      </c>
      <c r="E2793" s="44"/>
      <c r="F2793" s="37">
        <v>5</v>
      </c>
      <c r="G2793" s="37" t="s">
        <v>6864</v>
      </c>
      <c r="H2793" s="63">
        <v>1658.8</v>
      </c>
    </row>
    <row r="2794" spans="1:8" ht="24.75" customHeight="1">
      <c r="A2794" s="44" t="s">
        <v>709</v>
      </c>
      <c r="B2794" s="45" t="s">
        <v>5118</v>
      </c>
      <c r="C2794" s="45" t="s">
        <v>6795</v>
      </c>
      <c r="D2794" s="45" t="s">
        <v>6802</v>
      </c>
      <c r="E2794" s="44"/>
      <c r="F2794" s="37">
        <v>10</v>
      </c>
      <c r="G2794" s="37" t="s">
        <v>6864</v>
      </c>
      <c r="H2794" s="63">
        <v>1630.2</v>
      </c>
    </row>
    <row r="2795" spans="1:8" ht="24.75" customHeight="1">
      <c r="A2795" s="44" t="s">
        <v>2473</v>
      </c>
      <c r="B2795" s="45" t="s">
        <v>5541</v>
      </c>
      <c r="C2795" s="45" t="s">
        <v>6795</v>
      </c>
      <c r="D2795" s="45" t="s">
        <v>6802</v>
      </c>
      <c r="E2795" s="44"/>
      <c r="F2795" s="37">
        <v>5</v>
      </c>
      <c r="G2795" s="37" t="s">
        <v>6864</v>
      </c>
      <c r="H2795" s="63">
        <v>2173.6</v>
      </c>
    </row>
    <row r="2796" spans="1:8" ht="24.75" customHeight="1">
      <c r="A2796" s="44" t="s">
        <v>1475</v>
      </c>
      <c r="B2796" s="45" t="s">
        <v>5043</v>
      </c>
      <c r="C2796" s="45" t="s">
        <v>6795</v>
      </c>
      <c r="D2796" s="45" t="s">
        <v>6802</v>
      </c>
      <c r="E2796" s="44"/>
      <c r="F2796" s="37">
        <v>5</v>
      </c>
      <c r="G2796" s="37" t="s">
        <v>6864</v>
      </c>
      <c r="H2796" s="63">
        <v>1487.2</v>
      </c>
    </row>
    <row r="2797" spans="1:8" ht="24.75" customHeight="1">
      <c r="A2797" s="44" t="s">
        <v>784</v>
      </c>
      <c r="B2797" s="45" t="s">
        <v>6003</v>
      </c>
      <c r="C2797" s="45" t="s">
        <v>6795</v>
      </c>
      <c r="D2797" s="45" t="s">
        <v>6802</v>
      </c>
      <c r="E2797" s="44"/>
      <c r="F2797" s="37">
        <v>10</v>
      </c>
      <c r="G2797" s="37" t="s">
        <v>6864</v>
      </c>
      <c r="H2797" s="63">
        <v>1387.1</v>
      </c>
    </row>
    <row r="2798" spans="1:8" ht="24.75" customHeight="1">
      <c r="A2798" s="44" t="s">
        <v>2634</v>
      </c>
      <c r="B2798" s="45" t="s">
        <v>5315</v>
      </c>
      <c r="C2798" s="45" t="s">
        <v>6795</v>
      </c>
      <c r="D2798" s="45" t="s">
        <v>6802</v>
      </c>
      <c r="E2798" s="44"/>
      <c r="F2798" s="37">
        <v>5</v>
      </c>
      <c r="G2798" s="37" t="s">
        <v>6864</v>
      </c>
      <c r="H2798" s="63">
        <v>1687.4</v>
      </c>
    </row>
    <row r="2799" spans="1:8" ht="24.75" customHeight="1">
      <c r="A2799" s="44" t="s">
        <v>894</v>
      </c>
      <c r="B2799" s="45" t="s">
        <v>5133</v>
      </c>
      <c r="C2799" s="45" t="s">
        <v>6795</v>
      </c>
      <c r="D2799" s="45" t="s">
        <v>6802</v>
      </c>
      <c r="E2799" s="44"/>
      <c r="F2799" s="37">
        <v>10</v>
      </c>
      <c r="G2799" s="37" t="s">
        <v>6864</v>
      </c>
      <c r="H2799" s="63">
        <v>1544.4</v>
      </c>
    </row>
    <row r="2800" spans="1:8" ht="24.75" customHeight="1">
      <c r="A2800" s="44" t="s">
        <v>785</v>
      </c>
      <c r="B2800" s="45" t="s">
        <v>6002</v>
      </c>
      <c r="C2800" s="45" t="s">
        <v>6795</v>
      </c>
      <c r="D2800" s="45" t="s">
        <v>6802</v>
      </c>
      <c r="E2800" s="44"/>
      <c r="F2800" s="37">
        <v>10</v>
      </c>
      <c r="G2800" s="37" t="s">
        <v>6864</v>
      </c>
      <c r="H2800" s="63">
        <v>1530.1</v>
      </c>
    </row>
    <row r="2801" spans="1:8" ht="24.75" customHeight="1">
      <c r="A2801" s="44" t="s">
        <v>1450</v>
      </c>
      <c r="B2801" s="45" t="s">
        <v>5012</v>
      </c>
      <c r="C2801" s="45" t="s">
        <v>6795</v>
      </c>
      <c r="D2801" s="45" t="s">
        <v>6802</v>
      </c>
      <c r="E2801" s="44"/>
      <c r="F2801" s="37">
        <v>5</v>
      </c>
      <c r="G2801" s="37" t="s">
        <v>6864</v>
      </c>
      <c r="H2801" s="63">
        <v>629.20000000000005</v>
      </c>
    </row>
    <row r="2802" spans="1:8" ht="24.75" customHeight="1">
      <c r="A2802" s="44" t="s">
        <v>1113</v>
      </c>
      <c r="B2802" s="45" t="s">
        <v>5674</v>
      </c>
      <c r="C2802" s="45" t="s">
        <v>6795</v>
      </c>
      <c r="D2802" s="45" t="s">
        <v>6802</v>
      </c>
      <c r="E2802" s="44"/>
      <c r="F2802" s="37">
        <v>10</v>
      </c>
      <c r="G2802" s="37" t="s">
        <v>6864</v>
      </c>
      <c r="H2802" s="63">
        <v>529.1</v>
      </c>
    </row>
    <row r="2803" spans="1:8" ht="24.75" customHeight="1">
      <c r="A2803" s="44" t="s">
        <v>797</v>
      </c>
      <c r="B2803" s="45" t="s">
        <v>6070</v>
      </c>
      <c r="C2803" s="45" t="s">
        <v>6795</v>
      </c>
      <c r="D2803" s="45" t="s">
        <v>6802</v>
      </c>
      <c r="E2803" s="44"/>
      <c r="F2803" s="37">
        <v>10</v>
      </c>
      <c r="G2803" s="37" t="s">
        <v>6864</v>
      </c>
      <c r="H2803" s="63">
        <v>371.8</v>
      </c>
    </row>
    <row r="2804" spans="1:8" ht="24.75" customHeight="1">
      <c r="A2804" s="44" t="s">
        <v>6322</v>
      </c>
      <c r="B2804" s="46" t="s">
        <v>6334</v>
      </c>
      <c r="C2804" s="46" t="s">
        <v>6795</v>
      </c>
      <c r="D2804" s="46" t="s">
        <v>6714</v>
      </c>
      <c r="E2804" s="62" t="s">
        <v>6849</v>
      </c>
      <c r="F2804" s="37">
        <v>1</v>
      </c>
      <c r="G2804" s="37" t="s">
        <v>6865</v>
      </c>
      <c r="H2804" s="63">
        <v>2459.6</v>
      </c>
    </row>
    <row r="2805" spans="1:8" ht="24.75" customHeight="1">
      <c r="A2805" s="44" t="s">
        <v>6320</v>
      </c>
      <c r="B2805" s="46" t="s">
        <v>6332</v>
      </c>
      <c r="C2805" s="46" t="s">
        <v>6795</v>
      </c>
      <c r="D2805" s="46" t="s">
        <v>6714</v>
      </c>
      <c r="E2805" s="62" t="s">
        <v>6849</v>
      </c>
      <c r="F2805" s="37">
        <v>1</v>
      </c>
      <c r="G2805" s="37" t="s">
        <v>6865</v>
      </c>
      <c r="H2805" s="63">
        <v>2431</v>
      </c>
    </row>
    <row r="2806" spans="1:8" ht="24.75" customHeight="1">
      <c r="A2806" s="44" t="s">
        <v>6325</v>
      </c>
      <c r="B2806" s="46" t="s">
        <v>6337</v>
      </c>
      <c r="C2806" s="46" t="s">
        <v>6795</v>
      </c>
      <c r="D2806" s="46" t="s">
        <v>6714</v>
      </c>
      <c r="E2806" s="62" t="s">
        <v>6849</v>
      </c>
      <c r="F2806" s="37">
        <v>1</v>
      </c>
      <c r="G2806" s="37" t="s">
        <v>6865</v>
      </c>
      <c r="H2806" s="63">
        <v>2459.6</v>
      </c>
    </row>
    <row r="2807" spans="1:8" ht="24.75" customHeight="1">
      <c r="A2807" s="44" t="s">
        <v>6321</v>
      </c>
      <c r="B2807" s="46" t="s">
        <v>6333</v>
      </c>
      <c r="C2807" s="46" t="s">
        <v>6795</v>
      </c>
      <c r="D2807" s="46" t="s">
        <v>6714</v>
      </c>
      <c r="E2807" s="62" t="s">
        <v>6849</v>
      </c>
      <c r="F2807" s="37">
        <v>1</v>
      </c>
      <c r="G2807" s="37" t="s">
        <v>6865</v>
      </c>
      <c r="H2807" s="63">
        <v>2402.4</v>
      </c>
    </row>
    <row r="2808" spans="1:8" ht="24.75" customHeight="1">
      <c r="A2808" s="44" t="s">
        <v>6324</v>
      </c>
      <c r="B2808" s="46" t="s">
        <v>6336</v>
      </c>
      <c r="C2808" s="46" t="s">
        <v>6795</v>
      </c>
      <c r="D2808" s="46" t="s">
        <v>6714</v>
      </c>
      <c r="E2808" s="62" t="s">
        <v>6849</v>
      </c>
      <c r="F2808" s="37">
        <v>1</v>
      </c>
      <c r="G2808" s="37" t="s">
        <v>6865</v>
      </c>
      <c r="H2808" s="63">
        <v>2459.6</v>
      </c>
    </row>
    <row r="2809" spans="1:8" ht="24.75" customHeight="1">
      <c r="A2809" s="44" t="s">
        <v>6326</v>
      </c>
      <c r="B2809" s="46" t="s">
        <v>6338</v>
      </c>
      <c r="C2809" s="46" t="s">
        <v>6795</v>
      </c>
      <c r="D2809" s="46" t="s">
        <v>6714</v>
      </c>
      <c r="E2809" s="62" t="s">
        <v>6849</v>
      </c>
      <c r="F2809" s="37">
        <v>1</v>
      </c>
      <c r="G2809" s="37" t="s">
        <v>6865</v>
      </c>
      <c r="H2809" s="63">
        <v>2431</v>
      </c>
    </row>
    <row r="2810" spans="1:8" ht="24.75" customHeight="1">
      <c r="A2810" s="44" t="s">
        <v>6328</v>
      </c>
      <c r="B2810" s="46" t="s">
        <v>6339</v>
      </c>
      <c r="C2810" s="46" t="s">
        <v>6795</v>
      </c>
      <c r="D2810" s="46" t="s">
        <v>6714</v>
      </c>
      <c r="E2810" s="62"/>
      <c r="F2810" s="37">
        <v>1</v>
      </c>
      <c r="G2810" s="37" t="s">
        <v>6865</v>
      </c>
      <c r="H2810" s="63">
        <v>2459.6</v>
      </c>
    </row>
    <row r="2811" spans="1:8" ht="24.75" customHeight="1">
      <c r="A2811" s="44" t="s">
        <v>6323</v>
      </c>
      <c r="B2811" s="46" t="s">
        <v>6335</v>
      </c>
      <c r="C2811" s="46" t="s">
        <v>6795</v>
      </c>
      <c r="D2811" s="46" t="s">
        <v>6714</v>
      </c>
      <c r="E2811" s="62" t="s">
        <v>6849</v>
      </c>
      <c r="F2811" s="37">
        <v>1</v>
      </c>
      <c r="G2811" s="37" t="s">
        <v>6865</v>
      </c>
      <c r="H2811" s="63">
        <v>2459.6</v>
      </c>
    </row>
    <row r="2812" spans="1:8" ht="24.75" customHeight="1">
      <c r="A2812" s="44" t="s">
        <v>6319</v>
      </c>
      <c r="B2812" s="46" t="s">
        <v>6331</v>
      </c>
      <c r="C2812" s="46" t="s">
        <v>6795</v>
      </c>
      <c r="D2812" s="46" t="s">
        <v>6714</v>
      </c>
      <c r="E2812" s="62" t="s">
        <v>6849</v>
      </c>
      <c r="F2812" s="37">
        <v>1</v>
      </c>
      <c r="G2812" s="37" t="s">
        <v>6865</v>
      </c>
      <c r="H2812" s="63">
        <v>2574</v>
      </c>
    </row>
    <row r="2813" spans="1:8" ht="24.75" customHeight="1">
      <c r="A2813" s="44" t="s">
        <v>6329</v>
      </c>
      <c r="B2813" s="46" t="s">
        <v>6340</v>
      </c>
      <c r="C2813" s="46" t="s">
        <v>6795</v>
      </c>
      <c r="D2813" s="46" t="s">
        <v>6714</v>
      </c>
      <c r="E2813" s="62"/>
      <c r="F2813" s="37">
        <v>1</v>
      </c>
      <c r="G2813" s="37" t="s">
        <v>6865</v>
      </c>
      <c r="H2813" s="63">
        <v>2459.6</v>
      </c>
    </row>
    <row r="2814" spans="1:8" ht="24.75" customHeight="1">
      <c r="A2814" s="44" t="s">
        <v>6318</v>
      </c>
      <c r="B2814" s="46" t="s">
        <v>6330</v>
      </c>
      <c r="C2814" s="46" t="s">
        <v>6795</v>
      </c>
      <c r="D2814" s="46" t="s">
        <v>6714</v>
      </c>
      <c r="E2814" s="62" t="s">
        <v>6849</v>
      </c>
      <c r="F2814" s="37">
        <v>1</v>
      </c>
      <c r="G2814" s="37" t="s">
        <v>6865</v>
      </c>
      <c r="H2814" s="63">
        <v>2431</v>
      </c>
    </row>
    <row r="2815" spans="1:8" ht="24.75" customHeight="1">
      <c r="A2815" s="44" t="s">
        <v>6327</v>
      </c>
      <c r="B2815" s="46" t="s">
        <v>6341</v>
      </c>
      <c r="C2815" s="46" t="s">
        <v>6795</v>
      </c>
      <c r="D2815" s="46" t="s">
        <v>6714</v>
      </c>
      <c r="E2815" s="62"/>
      <c r="F2815" s="37">
        <v>1</v>
      </c>
      <c r="G2815" s="37" t="s">
        <v>6865</v>
      </c>
      <c r="H2815" s="63">
        <v>2459.6</v>
      </c>
    </row>
    <row r="2816" spans="1:8" ht="24.75" customHeight="1">
      <c r="A2816" s="44" t="s">
        <v>2812</v>
      </c>
      <c r="B2816" s="45" t="s">
        <v>6375</v>
      </c>
      <c r="C2816" s="45" t="s">
        <v>6795</v>
      </c>
      <c r="D2816" s="45" t="s">
        <v>6803</v>
      </c>
      <c r="E2816" s="44"/>
      <c r="F2816" s="37">
        <v>10</v>
      </c>
      <c r="G2816" s="37" t="s">
        <v>6864</v>
      </c>
      <c r="H2816" s="63">
        <v>500.5</v>
      </c>
    </row>
    <row r="2817" spans="1:8" ht="24.75" customHeight="1">
      <c r="A2817" s="44" t="s">
        <v>2644</v>
      </c>
      <c r="B2817" s="45" t="s">
        <v>4724</v>
      </c>
      <c r="C2817" s="45" t="s">
        <v>6795</v>
      </c>
      <c r="D2817" s="45" t="s">
        <v>6803</v>
      </c>
      <c r="E2817" s="44"/>
      <c r="F2817" s="37">
        <v>10</v>
      </c>
      <c r="G2817" s="37" t="s">
        <v>6864</v>
      </c>
      <c r="H2817" s="63">
        <v>500.5</v>
      </c>
    </row>
    <row r="2818" spans="1:8" ht="24.75" customHeight="1">
      <c r="A2818" s="44" t="s">
        <v>1592</v>
      </c>
      <c r="B2818" s="45" t="s">
        <v>5477</v>
      </c>
      <c r="C2818" s="45" t="s">
        <v>6795</v>
      </c>
      <c r="D2818" s="45" t="s">
        <v>6803</v>
      </c>
      <c r="E2818" s="44"/>
      <c r="F2818" s="37">
        <v>10</v>
      </c>
      <c r="G2818" s="37" t="s">
        <v>6864</v>
      </c>
      <c r="H2818" s="63">
        <v>300.3</v>
      </c>
    </row>
    <row r="2819" spans="1:8" ht="24.75" customHeight="1">
      <c r="A2819" s="44" t="s">
        <v>2244</v>
      </c>
      <c r="B2819" s="45" t="s">
        <v>5573</v>
      </c>
      <c r="C2819" s="45" t="s">
        <v>6795</v>
      </c>
      <c r="D2819" s="45" t="s">
        <v>6803</v>
      </c>
      <c r="E2819" s="44"/>
      <c r="F2819" s="37">
        <v>10</v>
      </c>
      <c r="G2819" s="37" t="s">
        <v>6864</v>
      </c>
      <c r="H2819" s="63">
        <v>271.7</v>
      </c>
    </row>
    <row r="2820" spans="1:8" ht="24.75" customHeight="1">
      <c r="A2820" s="44" t="s">
        <v>2484</v>
      </c>
      <c r="B2820" s="45" t="s">
        <v>5544</v>
      </c>
      <c r="C2820" s="45" t="s">
        <v>6795</v>
      </c>
      <c r="D2820" s="45" t="s">
        <v>6803</v>
      </c>
      <c r="E2820" s="44"/>
      <c r="F2820" s="37">
        <v>10</v>
      </c>
      <c r="G2820" s="37" t="s">
        <v>6864</v>
      </c>
      <c r="H2820" s="63">
        <v>357.5</v>
      </c>
    </row>
    <row r="2821" spans="1:8" ht="24.75" customHeight="1">
      <c r="A2821" s="44" t="s">
        <v>798</v>
      </c>
      <c r="B2821" s="45" t="s">
        <v>6020</v>
      </c>
      <c r="C2821" s="45" t="s">
        <v>6795</v>
      </c>
      <c r="D2821" s="45" t="s">
        <v>6803</v>
      </c>
      <c r="E2821" s="44"/>
      <c r="F2821" s="37">
        <v>10</v>
      </c>
      <c r="G2821" s="37" t="s">
        <v>6864</v>
      </c>
      <c r="H2821" s="63">
        <v>214.5</v>
      </c>
    </row>
    <row r="2822" spans="1:8" ht="24.75" customHeight="1">
      <c r="A2822" s="44" t="s">
        <v>684</v>
      </c>
      <c r="B2822" s="45" t="s">
        <v>5093</v>
      </c>
      <c r="C2822" s="45" t="s">
        <v>6795</v>
      </c>
      <c r="D2822" s="45" t="s">
        <v>6803</v>
      </c>
      <c r="E2822" s="44"/>
      <c r="F2822" s="37">
        <v>10</v>
      </c>
      <c r="G2822" s="37" t="s">
        <v>6864</v>
      </c>
      <c r="H2822" s="63">
        <v>457.6</v>
      </c>
    </row>
    <row r="2823" spans="1:8" ht="24.75" customHeight="1">
      <c r="A2823" s="44" t="s">
        <v>629</v>
      </c>
      <c r="B2823" s="45" t="s">
        <v>4716</v>
      </c>
      <c r="C2823" s="45" t="s">
        <v>6795</v>
      </c>
      <c r="D2823" s="45" t="s">
        <v>6803</v>
      </c>
      <c r="E2823" s="44"/>
      <c r="F2823" s="37">
        <v>10</v>
      </c>
      <c r="G2823" s="37" t="s">
        <v>6864</v>
      </c>
      <c r="H2823" s="63">
        <v>757.9</v>
      </c>
    </row>
    <row r="2824" spans="1:8" ht="24.75" customHeight="1">
      <c r="A2824" s="44" t="s">
        <v>2243</v>
      </c>
      <c r="B2824" s="45" t="s">
        <v>5593</v>
      </c>
      <c r="C2824" s="45" t="s">
        <v>6795</v>
      </c>
      <c r="D2824" s="45" t="s">
        <v>6803</v>
      </c>
      <c r="E2824" s="44"/>
      <c r="F2824" s="37">
        <v>10</v>
      </c>
      <c r="G2824" s="37" t="s">
        <v>6864</v>
      </c>
      <c r="H2824" s="63">
        <v>1272.7</v>
      </c>
    </row>
    <row r="2825" spans="1:8" ht="24.75" customHeight="1">
      <c r="A2825" s="44" t="s">
        <v>2485</v>
      </c>
      <c r="B2825" s="45" t="s">
        <v>5545</v>
      </c>
      <c r="C2825" s="45" t="s">
        <v>6795</v>
      </c>
      <c r="D2825" s="45" t="s">
        <v>6803</v>
      </c>
      <c r="E2825" s="44"/>
      <c r="F2825" s="37">
        <v>10</v>
      </c>
      <c r="G2825" s="37" t="s">
        <v>6864</v>
      </c>
      <c r="H2825" s="63">
        <v>886.6</v>
      </c>
    </row>
    <row r="2826" spans="1:8" ht="24.75" customHeight="1">
      <c r="A2826" s="44" t="s">
        <v>636</v>
      </c>
      <c r="B2826" s="45" t="s">
        <v>4723</v>
      </c>
      <c r="C2826" s="45" t="s">
        <v>6795</v>
      </c>
      <c r="D2826" s="45" t="s">
        <v>6803</v>
      </c>
      <c r="E2826" s="44"/>
      <c r="F2826" s="37">
        <v>10</v>
      </c>
      <c r="G2826" s="37" t="s">
        <v>6864</v>
      </c>
      <c r="H2826" s="63">
        <v>686.4</v>
      </c>
    </row>
    <row r="2827" spans="1:8" ht="24.75" customHeight="1">
      <c r="A2827" s="44" t="s">
        <v>801</v>
      </c>
      <c r="B2827" s="45" t="s">
        <v>6019</v>
      </c>
      <c r="C2827" s="45" t="s">
        <v>6795</v>
      </c>
      <c r="D2827" s="45" t="s">
        <v>6803</v>
      </c>
      <c r="E2827" s="44"/>
      <c r="F2827" s="37">
        <v>10</v>
      </c>
      <c r="G2827" s="37" t="s">
        <v>6864</v>
      </c>
      <c r="H2827" s="63">
        <v>386.1</v>
      </c>
    </row>
    <row r="2828" spans="1:8" ht="24.75" customHeight="1">
      <c r="A2828" s="44" t="s">
        <v>1591</v>
      </c>
      <c r="B2828" s="45" t="s">
        <v>5476</v>
      </c>
      <c r="C2828" s="45" t="s">
        <v>6795</v>
      </c>
      <c r="D2828" s="45" t="s">
        <v>6803</v>
      </c>
      <c r="E2828" s="44"/>
      <c r="F2828" s="37">
        <v>10</v>
      </c>
      <c r="G2828" s="37" t="s">
        <v>6864</v>
      </c>
      <c r="H2828" s="63">
        <v>514.79999999999995</v>
      </c>
    </row>
    <row r="2829" spans="1:8" ht="24.75" customHeight="1">
      <c r="A2829" s="44" t="s">
        <v>1109</v>
      </c>
      <c r="B2829" s="45" t="s">
        <v>5670</v>
      </c>
      <c r="C2829" s="45" t="s">
        <v>6795</v>
      </c>
      <c r="D2829" s="45" t="s">
        <v>6803</v>
      </c>
      <c r="E2829" s="44"/>
      <c r="F2829" s="37">
        <v>20</v>
      </c>
      <c r="G2829" s="37" t="s">
        <v>6864</v>
      </c>
      <c r="H2829" s="63">
        <v>1101.0999999999999</v>
      </c>
    </row>
    <row r="2830" spans="1:8" ht="24.75" customHeight="1">
      <c r="A2830" s="44" t="s">
        <v>1666</v>
      </c>
      <c r="B2830" s="45" t="s">
        <v>5472</v>
      </c>
      <c r="C2830" s="45" t="s">
        <v>6795</v>
      </c>
      <c r="D2830" s="45" t="s">
        <v>6804</v>
      </c>
      <c r="E2830" s="44"/>
      <c r="F2830" s="37">
        <v>10</v>
      </c>
      <c r="G2830" s="37" t="s">
        <v>6864</v>
      </c>
      <c r="H2830" s="63">
        <v>2373.8000000000002</v>
      </c>
    </row>
    <row r="2831" spans="1:8" ht="24.75" customHeight="1">
      <c r="A2831" s="44" t="s">
        <v>917</v>
      </c>
      <c r="B2831" s="45" t="s">
        <v>4877</v>
      </c>
      <c r="C2831" s="45" t="s">
        <v>6795</v>
      </c>
      <c r="D2831" s="45" t="s">
        <v>6804</v>
      </c>
      <c r="E2831" s="44"/>
      <c r="F2831" s="37">
        <v>10</v>
      </c>
      <c r="G2831" s="37" t="s">
        <v>6864</v>
      </c>
      <c r="H2831" s="63">
        <v>1615.9</v>
      </c>
    </row>
    <row r="2832" spans="1:8" ht="24.75" customHeight="1">
      <c r="A2832" s="44" t="s">
        <v>2815</v>
      </c>
      <c r="B2832" s="45" t="s">
        <v>5814</v>
      </c>
      <c r="C2832" s="45" t="s">
        <v>6795</v>
      </c>
      <c r="D2832" s="45" t="s">
        <v>6804</v>
      </c>
      <c r="E2832" s="44"/>
      <c r="F2832" s="37">
        <v>5</v>
      </c>
      <c r="G2832" s="37" t="s">
        <v>6864</v>
      </c>
      <c r="H2832" s="63">
        <v>2330.9</v>
      </c>
    </row>
    <row r="2833" spans="1:8" ht="24.75" customHeight="1">
      <c r="A2833" s="44" t="s">
        <v>2414</v>
      </c>
      <c r="B2833" s="45" t="s">
        <v>4871</v>
      </c>
      <c r="C2833" s="45" t="s">
        <v>6795</v>
      </c>
      <c r="D2833" s="45" t="s">
        <v>6804</v>
      </c>
      <c r="E2833" s="44"/>
      <c r="F2833" s="37">
        <v>10</v>
      </c>
      <c r="G2833" s="37" t="s">
        <v>6864</v>
      </c>
      <c r="H2833" s="63">
        <v>1973.4</v>
      </c>
    </row>
    <row r="2834" spans="1:8" ht="24.75" customHeight="1">
      <c r="A2834" s="44" t="s">
        <v>2269</v>
      </c>
      <c r="B2834" s="45" t="s">
        <v>5592</v>
      </c>
      <c r="C2834" s="45" t="s">
        <v>6795</v>
      </c>
      <c r="D2834" s="45" t="s">
        <v>6804</v>
      </c>
      <c r="E2834" s="44"/>
      <c r="F2834" s="37">
        <v>10</v>
      </c>
      <c r="G2834" s="37" t="s">
        <v>6864</v>
      </c>
      <c r="H2834" s="63">
        <v>1830.4</v>
      </c>
    </row>
    <row r="2835" spans="1:8" ht="24.75" customHeight="1">
      <c r="A2835" s="44" t="s">
        <v>1101</v>
      </c>
      <c r="B2835" s="45" t="s">
        <v>5084</v>
      </c>
      <c r="C2835" s="45" t="s">
        <v>6795</v>
      </c>
      <c r="D2835" s="45" t="s">
        <v>6804</v>
      </c>
      <c r="E2835" s="44"/>
      <c r="F2835" s="37">
        <v>10</v>
      </c>
      <c r="G2835" s="37" t="s">
        <v>6864</v>
      </c>
      <c r="H2835" s="63">
        <v>2059.1999999999998</v>
      </c>
    </row>
    <row r="2836" spans="1:8" ht="24.75" customHeight="1">
      <c r="A2836" s="44" t="s">
        <v>2505</v>
      </c>
      <c r="B2836" s="45" t="s">
        <v>5546</v>
      </c>
      <c r="C2836" s="45" t="s">
        <v>6795</v>
      </c>
      <c r="D2836" s="45" t="s">
        <v>6804</v>
      </c>
      <c r="E2836" s="44"/>
      <c r="F2836" s="37">
        <v>10</v>
      </c>
      <c r="G2836" s="37" t="s">
        <v>6864</v>
      </c>
      <c r="H2836" s="63">
        <v>1515.8</v>
      </c>
    </row>
    <row r="2837" spans="1:8" ht="24.75" customHeight="1">
      <c r="A2837" s="44" t="s">
        <v>2416</v>
      </c>
      <c r="B2837" s="45" t="s">
        <v>4873</v>
      </c>
      <c r="C2837" s="45" t="s">
        <v>6795</v>
      </c>
      <c r="D2837" s="45" t="s">
        <v>6804</v>
      </c>
      <c r="E2837" s="44"/>
      <c r="F2837" s="37">
        <v>10</v>
      </c>
      <c r="G2837" s="37" t="s">
        <v>6864</v>
      </c>
      <c r="H2837" s="63">
        <v>1801.8</v>
      </c>
    </row>
    <row r="2838" spans="1:8" ht="24.75" customHeight="1">
      <c r="A2838" s="44" t="s">
        <v>3128</v>
      </c>
      <c r="B2838" s="45" t="s">
        <v>5407</v>
      </c>
      <c r="C2838" s="45" t="s">
        <v>6795</v>
      </c>
      <c r="D2838" s="45" t="s">
        <v>6804</v>
      </c>
      <c r="E2838" s="44"/>
      <c r="F2838" s="37">
        <v>1</v>
      </c>
      <c r="G2838" s="37" t="s">
        <v>6864</v>
      </c>
      <c r="H2838" s="63">
        <v>2145</v>
      </c>
    </row>
    <row r="2839" spans="1:8" ht="24.75" customHeight="1">
      <c r="A2839" s="44" t="s">
        <v>121</v>
      </c>
      <c r="B2839" s="45" t="s">
        <v>5745</v>
      </c>
      <c r="C2839" s="45" t="s">
        <v>6795</v>
      </c>
      <c r="D2839" s="45" t="s">
        <v>6804</v>
      </c>
      <c r="E2839" s="44"/>
      <c r="F2839" s="37">
        <v>10</v>
      </c>
      <c r="G2839" s="37" t="s">
        <v>6864</v>
      </c>
      <c r="H2839" s="63">
        <v>2459.6</v>
      </c>
    </row>
    <row r="2840" spans="1:8" ht="24.75" customHeight="1">
      <c r="A2840" s="44" t="s">
        <v>2415</v>
      </c>
      <c r="B2840" s="45" t="s">
        <v>4872</v>
      </c>
      <c r="C2840" s="45" t="s">
        <v>6795</v>
      </c>
      <c r="D2840" s="45" t="s">
        <v>6804</v>
      </c>
      <c r="E2840" s="44"/>
      <c r="F2840" s="37">
        <v>10</v>
      </c>
      <c r="G2840" s="37" t="s">
        <v>6864</v>
      </c>
      <c r="H2840" s="63">
        <v>1329.9</v>
      </c>
    </row>
    <row r="2841" spans="1:8" ht="24.75" customHeight="1">
      <c r="A2841" s="44" t="s">
        <v>176</v>
      </c>
      <c r="B2841" s="45" t="s">
        <v>6001</v>
      </c>
      <c r="C2841" s="45" t="s">
        <v>6795</v>
      </c>
      <c r="D2841" s="45" t="s">
        <v>6804</v>
      </c>
      <c r="E2841" s="44"/>
      <c r="F2841" s="37">
        <v>5</v>
      </c>
      <c r="G2841" s="37" t="s">
        <v>6864</v>
      </c>
      <c r="H2841" s="63">
        <v>1801.8</v>
      </c>
    </row>
    <row r="2842" spans="1:8" ht="24.75" customHeight="1">
      <c r="A2842" s="44" t="s">
        <v>6448</v>
      </c>
      <c r="B2842" s="46" t="s">
        <v>6315</v>
      </c>
      <c r="C2842" s="46" t="s">
        <v>6795</v>
      </c>
      <c r="D2842" s="46" t="s">
        <v>6715</v>
      </c>
      <c r="E2842" s="62" t="s">
        <v>6849</v>
      </c>
      <c r="F2842" s="37">
        <v>1</v>
      </c>
      <c r="G2842" s="37" t="s">
        <v>2568</v>
      </c>
      <c r="H2842" s="63">
        <v>4761.8999999999996</v>
      </c>
    </row>
    <row r="2843" spans="1:8" ht="24.75" customHeight="1">
      <c r="A2843" s="44" t="s">
        <v>6300</v>
      </c>
      <c r="B2843" s="46" t="s">
        <v>6309</v>
      </c>
      <c r="C2843" s="46" t="s">
        <v>6795</v>
      </c>
      <c r="D2843" s="46" t="s">
        <v>6715</v>
      </c>
      <c r="E2843" s="62" t="s">
        <v>6849</v>
      </c>
      <c r="F2843" s="37">
        <v>1</v>
      </c>
      <c r="G2843" s="37" t="s">
        <v>2568</v>
      </c>
      <c r="H2843" s="63">
        <v>4962.1000000000004</v>
      </c>
    </row>
    <row r="2844" spans="1:8" ht="24.75" customHeight="1">
      <c r="A2844" s="44" t="s">
        <v>6302</v>
      </c>
      <c r="B2844" s="46" t="s">
        <v>6311</v>
      </c>
      <c r="C2844" s="46" t="s">
        <v>6795</v>
      </c>
      <c r="D2844" s="46" t="s">
        <v>6715</v>
      </c>
      <c r="E2844" s="62" t="s">
        <v>6849</v>
      </c>
      <c r="F2844" s="37">
        <v>1</v>
      </c>
      <c r="G2844" s="37" t="s">
        <v>2568</v>
      </c>
      <c r="H2844" s="63">
        <v>4962.1000000000004</v>
      </c>
    </row>
    <row r="2845" spans="1:8" ht="24.75" customHeight="1">
      <c r="A2845" s="44" t="s">
        <v>6301</v>
      </c>
      <c r="B2845" s="46" t="s">
        <v>6310</v>
      </c>
      <c r="C2845" s="46" t="s">
        <v>6795</v>
      </c>
      <c r="D2845" s="46" t="s">
        <v>6715</v>
      </c>
      <c r="E2845" s="62" t="s">
        <v>6849</v>
      </c>
      <c r="F2845" s="37">
        <v>1</v>
      </c>
      <c r="G2845" s="37" t="s">
        <v>2568</v>
      </c>
      <c r="H2845" s="63">
        <v>3660.8</v>
      </c>
    </row>
    <row r="2846" spans="1:8" ht="24.75" customHeight="1">
      <c r="A2846" s="44" t="s">
        <v>6299</v>
      </c>
      <c r="B2846" s="46" t="s">
        <v>6308</v>
      </c>
      <c r="C2846" s="46" t="s">
        <v>6795</v>
      </c>
      <c r="D2846" s="46" t="s">
        <v>6715</v>
      </c>
      <c r="E2846" s="62" t="s">
        <v>6849</v>
      </c>
      <c r="F2846" s="37">
        <v>1</v>
      </c>
      <c r="G2846" s="37" t="s">
        <v>2568</v>
      </c>
      <c r="H2846" s="63">
        <v>3961.1</v>
      </c>
    </row>
    <row r="2847" spans="1:8" ht="24.75" customHeight="1">
      <c r="A2847" s="44" t="s">
        <v>6306</v>
      </c>
      <c r="B2847" s="46" t="s">
        <v>6316</v>
      </c>
      <c r="C2847" s="46" t="s">
        <v>6795</v>
      </c>
      <c r="D2847" s="46" t="s">
        <v>6715</v>
      </c>
      <c r="E2847" s="62" t="s">
        <v>6849</v>
      </c>
      <c r="F2847" s="37">
        <v>1</v>
      </c>
      <c r="G2847" s="37" t="s">
        <v>2568</v>
      </c>
      <c r="H2847" s="63">
        <v>4561.7</v>
      </c>
    </row>
    <row r="2848" spans="1:8" ht="24.75" customHeight="1">
      <c r="A2848" s="44" t="s">
        <v>6307</v>
      </c>
      <c r="B2848" s="46" t="s">
        <v>6317</v>
      </c>
      <c r="C2848" s="46" t="s">
        <v>6795</v>
      </c>
      <c r="D2848" s="46" t="s">
        <v>6715</v>
      </c>
      <c r="E2848" s="62" t="s">
        <v>6849</v>
      </c>
      <c r="F2848" s="37">
        <v>1</v>
      </c>
      <c r="G2848" s="37" t="s">
        <v>2568</v>
      </c>
      <c r="H2848" s="63">
        <v>3903.9</v>
      </c>
    </row>
    <row r="2849" spans="1:8" ht="24.75" customHeight="1">
      <c r="A2849" s="44" t="s">
        <v>6303</v>
      </c>
      <c r="B2849" s="46" t="s">
        <v>6312</v>
      </c>
      <c r="C2849" s="46" t="s">
        <v>6795</v>
      </c>
      <c r="D2849" s="46" t="s">
        <v>6715</v>
      </c>
      <c r="E2849" s="62" t="s">
        <v>6849</v>
      </c>
      <c r="F2849" s="37">
        <v>1</v>
      </c>
      <c r="G2849" s="37" t="s">
        <v>2568</v>
      </c>
      <c r="H2849" s="63">
        <v>3861</v>
      </c>
    </row>
    <row r="2850" spans="1:8" ht="24.75" customHeight="1">
      <c r="A2850" s="44" t="s">
        <v>6305</v>
      </c>
      <c r="B2850" s="46" t="s">
        <v>6314</v>
      </c>
      <c r="C2850" s="46" t="s">
        <v>6795</v>
      </c>
      <c r="D2850" s="46" t="s">
        <v>6715</v>
      </c>
      <c r="E2850" s="62" t="s">
        <v>6849</v>
      </c>
      <c r="F2850" s="37">
        <v>1</v>
      </c>
      <c r="G2850" s="37" t="s">
        <v>2568</v>
      </c>
      <c r="H2850" s="63">
        <v>6006</v>
      </c>
    </row>
    <row r="2851" spans="1:8" ht="24.75" customHeight="1">
      <c r="A2851" s="44" t="s">
        <v>6304</v>
      </c>
      <c r="B2851" s="46" t="s">
        <v>6313</v>
      </c>
      <c r="C2851" s="46" t="s">
        <v>6795</v>
      </c>
      <c r="D2851" s="46" t="s">
        <v>6715</v>
      </c>
      <c r="E2851" s="62" t="s">
        <v>6849</v>
      </c>
      <c r="F2851" s="37">
        <v>1</v>
      </c>
      <c r="G2851" s="37" t="s">
        <v>2568</v>
      </c>
      <c r="H2851" s="63">
        <v>4962.1000000000004</v>
      </c>
    </row>
    <row r="2852" spans="1:8" ht="24.75" customHeight="1">
      <c r="A2852" s="44" t="s">
        <v>2127</v>
      </c>
      <c r="B2852" s="45" t="s">
        <v>6136</v>
      </c>
      <c r="C2852" s="45" t="s">
        <v>6795</v>
      </c>
      <c r="D2852" s="45" t="s">
        <v>6715</v>
      </c>
      <c r="E2852" s="44" t="s">
        <v>6838</v>
      </c>
      <c r="F2852" s="37">
        <v>1</v>
      </c>
      <c r="G2852" s="37" t="s">
        <v>2568</v>
      </c>
      <c r="H2852" s="63">
        <v>6964.1</v>
      </c>
    </row>
    <row r="2853" spans="1:8" ht="24.75" customHeight="1">
      <c r="A2853" s="44" t="s">
        <v>2129</v>
      </c>
      <c r="B2853" s="45" t="s">
        <v>6138</v>
      </c>
      <c r="C2853" s="45" t="s">
        <v>6795</v>
      </c>
      <c r="D2853" s="45" t="s">
        <v>6715</v>
      </c>
      <c r="E2853" s="44" t="s">
        <v>6838</v>
      </c>
      <c r="F2853" s="37">
        <v>1</v>
      </c>
      <c r="G2853" s="37" t="s">
        <v>2568</v>
      </c>
      <c r="H2853" s="63">
        <v>9995.7000000000007</v>
      </c>
    </row>
    <row r="2854" spans="1:8" ht="24.75" customHeight="1">
      <c r="A2854" s="44" t="s">
        <v>2132</v>
      </c>
      <c r="B2854" s="45" t="s">
        <v>6141</v>
      </c>
      <c r="C2854" s="45" t="s">
        <v>6795</v>
      </c>
      <c r="D2854" s="45" t="s">
        <v>6715</v>
      </c>
      <c r="E2854" s="44" t="s">
        <v>6838</v>
      </c>
      <c r="F2854" s="37">
        <v>1</v>
      </c>
      <c r="G2854" s="37" t="s">
        <v>2568</v>
      </c>
      <c r="H2854" s="63">
        <v>9194.9</v>
      </c>
    </row>
    <row r="2855" spans="1:8" ht="24.75" customHeight="1">
      <c r="A2855" s="44" t="s">
        <v>2128</v>
      </c>
      <c r="B2855" s="45" t="s">
        <v>6137</v>
      </c>
      <c r="C2855" s="45" t="s">
        <v>6795</v>
      </c>
      <c r="D2855" s="45" t="s">
        <v>6715</v>
      </c>
      <c r="E2855" s="44" t="s">
        <v>6838</v>
      </c>
      <c r="F2855" s="37">
        <v>1</v>
      </c>
      <c r="G2855" s="37" t="s">
        <v>2568</v>
      </c>
      <c r="H2855" s="63">
        <v>7993.7</v>
      </c>
    </row>
    <row r="2856" spans="1:8" ht="24.75" customHeight="1">
      <c r="A2856" s="44" t="s">
        <v>2131</v>
      </c>
      <c r="B2856" s="45" t="s">
        <v>6140</v>
      </c>
      <c r="C2856" s="45" t="s">
        <v>6795</v>
      </c>
      <c r="D2856" s="45" t="s">
        <v>6715</v>
      </c>
      <c r="E2856" s="44" t="s">
        <v>6838</v>
      </c>
      <c r="F2856" s="37">
        <v>1</v>
      </c>
      <c r="G2856" s="37" t="s">
        <v>2568</v>
      </c>
      <c r="H2856" s="63">
        <v>10439</v>
      </c>
    </row>
    <row r="2857" spans="1:8" ht="24.75" customHeight="1">
      <c r="A2857" s="44" t="s">
        <v>2130</v>
      </c>
      <c r="B2857" s="45" t="s">
        <v>6139</v>
      </c>
      <c r="C2857" s="45" t="s">
        <v>6795</v>
      </c>
      <c r="D2857" s="45" t="s">
        <v>6715</v>
      </c>
      <c r="E2857" s="44" t="s">
        <v>6838</v>
      </c>
      <c r="F2857" s="37">
        <v>1</v>
      </c>
      <c r="G2857" s="37" t="s">
        <v>2568</v>
      </c>
      <c r="H2857" s="63">
        <v>7207.2</v>
      </c>
    </row>
    <row r="2858" spans="1:8" ht="24.75" customHeight="1">
      <c r="A2858" s="44" t="s">
        <v>2135</v>
      </c>
      <c r="B2858" s="45" t="s">
        <v>6144</v>
      </c>
      <c r="C2858" s="45" t="s">
        <v>6795</v>
      </c>
      <c r="D2858" s="45" t="s">
        <v>6715</v>
      </c>
      <c r="E2858" s="44" t="s">
        <v>6838</v>
      </c>
      <c r="F2858" s="37">
        <v>1</v>
      </c>
      <c r="G2858" s="37" t="s">
        <v>2568</v>
      </c>
      <c r="H2858" s="63">
        <v>11354.2</v>
      </c>
    </row>
    <row r="2859" spans="1:8" ht="24.75" customHeight="1">
      <c r="A2859" s="44" t="s">
        <v>2133</v>
      </c>
      <c r="B2859" s="45" t="s">
        <v>6142</v>
      </c>
      <c r="C2859" s="45" t="s">
        <v>6795</v>
      </c>
      <c r="D2859" s="45" t="s">
        <v>6715</v>
      </c>
      <c r="E2859" s="44" t="s">
        <v>6838</v>
      </c>
      <c r="F2859" s="37">
        <v>1</v>
      </c>
      <c r="G2859" s="37" t="s">
        <v>2568</v>
      </c>
      <c r="H2859" s="63">
        <v>7950.8</v>
      </c>
    </row>
    <row r="2860" spans="1:8" ht="24.75" customHeight="1">
      <c r="A2860" s="44" t="s">
        <v>2134</v>
      </c>
      <c r="B2860" s="45" t="s">
        <v>6143</v>
      </c>
      <c r="C2860" s="45" t="s">
        <v>6795</v>
      </c>
      <c r="D2860" s="45" t="s">
        <v>6715</v>
      </c>
      <c r="E2860" s="44" t="s">
        <v>6838</v>
      </c>
      <c r="F2860" s="37">
        <v>1</v>
      </c>
      <c r="G2860" s="37" t="s">
        <v>2568</v>
      </c>
      <c r="H2860" s="63">
        <v>9366.5</v>
      </c>
    </row>
    <row r="2861" spans="1:8" ht="24.75" customHeight="1">
      <c r="A2861" s="44" t="s">
        <v>2136</v>
      </c>
      <c r="B2861" s="45" t="s">
        <v>6145</v>
      </c>
      <c r="C2861" s="45" t="s">
        <v>6795</v>
      </c>
      <c r="D2861" s="45" t="s">
        <v>6715</v>
      </c>
      <c r="E2861" s="44" t="s">
        <v>6838</v>
      </c>
      <c r="F2861" s="37">
        <v>1</v>
      </c>
      <c r="G2861" s="37" t="s">
        <v>2568</v>
      </c>
      <c r="H2861" s="63">
        <v>7121.4</v>
      </c>
    </row>
    <row r="2862" spans="1:8" ht="24.75" customHeight="1">
      <c r="A2862" s="44" t="s">
        <v>3164</v>
      </c>
      <c r="B2862" s="45" t="s">
        <v>5357</v>
      </c>
      <c r="C2862" s="45" t="s">
        <v>6805</v>
      </c>
      <c r="D2862" s="45" t="s">
        <v>6806</v>
      </c>
      <c r="E2862" s="44" t="s">
        <v>956</v>
      </c>
      <c r="F2862" s="37">
        <v>1</v>
      </c>
      <c r="G2862" s="37" t="s">
        <v>6864</v>
      </c>
      <c r="H2862" s="63">
        <v>69912.7</v>
      </c>
    </row>
    <row r="2863" spans="1:8" ht="24.75" customHeight="1">
      <c r="A2863" s="44" t="s">
        <v>3197</v>
      </c>
      <c r="B2863" s="45" t="s">
        <v>5360</v>
      </c>
      <c r="C2863" s="45" t="s">
        <v>6805</v>
      </c>
      <c r="D2863" s="45" t="s">
        <v>6807</v>
      </c>
      <c r="E2863" s="44"/>
      <c r="F2863" s="37">
        <v>1</v>
      </c>
      <c r="G2863" s="37" t="s">
        <v>6864</v>
      </c>
      <c r="H2863" s="63">
        <v>44587.4</v>
      </c>
    </row>
    <row r="2864" spans="1:8" ht="24.75" customHeight="1">
      <c r="A2864" s="44" t="s">
        <v>3122</v>
      </c>
      <c r="B2864" s="45" t="s">
        <v>5387</v>
      </c>
      <c r="C2864" s="45" t="s">
        <v>6805</v>
      </c>
      <c r="D2864" s="45" t="s">
        <v>6808</v>
      </c>
      <c r="E2864" s="44" t="s">
        <v>956</v>
      </c>
      <c r="F2864" s="37">
        <v>5</v>
      </c>
      <c r="G2864" s="37" t="s">
        <v>6864</v>
      </c>
      <c r="H2864" s="63">
        <v>30187.3</v>
      </c>
    </row>
    <row r="2865" spans="1:8" ht="24.75" customHeight="1">
      <c r="A2865" s="44" t="s">
        <v>3127</v>
      </c>
      <c r="B2865" s="45" t="s">
        <v>5405</v>
      </c>
      <c r="C2865" s="45" t="s">
        <v>6805</v>
      </c>
      <c r="D2865" s="45" t="s">
        <v>6808</v>
      </c>
      <c r="E2865" s="44"/>
      <c r="F2865" s="37">
        <v>1</v>
      </c>
      <c r="G2865" s="37" t="s">
        <v>6864</v>
      </c>
      <c r="H2865" s="63">
        <v>5462.6</v>
      </c>
    </row>
    <row r="2866" spans="1:8" ht="24.75" customHeight="1">
      <c r="A2866" s="44" t="s">
        <v>3103</v>
      </c>
      <c r="B2866" s="45" t="s">
        <v>5406</v>
      </c>
      <c r="C2866" s="45" t="s">
        <v>6805</v>
      </c>
      <c r="D2866" s="45" t="s">
        <v>6809</v>
      </c>
      <c r="E2866" s="44" t="s">
        <v>956</v>
      </c>
      <c r="F2866" s="37">
        <v>1</v>
      </c>
      <c r="G2866" s="37" t="s">
        <v>6864</v>
      </c>
      <c r="H2866" s="63">
        <v>13656.5</v>
      </c>
    </row>
    <row r="2867" spans="1:8" ht="24.75" customHeight="1">
      <c r="A2867" s="44" t="s">
        <v>3206</v>
      </c>
      <c r="B2867" s="45" t="s">
        <v>5412</v>
      </c>
      <c r="C2867" s="45" t="s">
        <v>6805</v>
      </c>
      <c r="D2867" s="45" t="s">
        <v>6810</v>
      </c>
      <c r="E2867" s="44"/>
      <c r="F2867" s="37">
        <v>1</v>
      </c>
      <c r="G2867" s="37" t="s">
        <v>6864</v>
      </c>
      <c r="H2867" s="63">
        <v>29729.7</v>
      </c>
    </row>
    <row r="2868" spans="1:8" ht="24.75" customHeight="1">
      <c r="A2868" s="44" t="s">
        <v>3101</v>
      </c>
      <c r="B2868" s="45" t="s">
        <v>5399</v>
      </c>
      <c r="C2868" s="45" t="s">
        <v>6805</v>
      </c>
      <c r="D2868" s="45" t="s">
        <v>6810</v>
      </c>
      <c r="E2868" s="44" t="s">
        <v>956</v>
      </c>
      <c r="F2868" s="37">
        <v>1</v>
      </c>
      <c r="G2868" s="37" t="s">
        <v>6864</v>
      </c>
      <c r="H2868" s="63">
        <v>5577</v>
      </c>
    </row>
    <row r="2869" spans="1:8" ht="24.75" customHeight="1">
      <c r="A2869" s="44" t="s">
        <v>2346</v>
      </c>
      <c r="B2869" s="45" t="s">
        <v>4803</v>
      </c>
      <c r="C2869" s="45" t="s">
        <v>6805</v>
      </c>
      <c r="D2869" s="45" t="s">
        <v>6810</v>
      </c>
      <c r="E2869" s="44" t="s">
        <v>956</v>
      </c>
      <c r="F2869" s="37">
        <v>1</v>
      </c>
      <c r="G2869" s="37" t="s">
        <v>6864</v>
      </c>
      <c r="H2869" s="63">
        <v>14271.4</v>
      </c>
    </row>
    <row r="2870" spans="1:8" ht="24.75" customHeight="1">
      <c r="A2870" s="44" t="s">
        <v>3102</v>
      </c>
      <c r="B2870" s="45" t="s">
        <v>5403</v>
      </c>
      <c r="C2870" s="45" t="s">
        <v>6805</v>
      </c>
      <c r="D2870" s="45" t="s">
        <v>6810</v>
      </c>
      <c r="E2870" s="44" t="s">
        <v>956</v>
      </c>
      <c r="F2870" s="37">
        <v>1</v>
      </c>
      <c r="G2870" s="37" t="s">
        <v>6864</v>
      </c>
      <c r="H2870" s="63">
        <v>8165.3</v>
      </c>
    </row>
    <row r="2871" spans="1:8" ht="24.75" customHeight="1">
      <c r="A2871" s="44" t="s">
        <v>6390</v>
      </c>
      <c r="B2871" s="46" t="s">
        <v>6391</v>
      </c>
      <c r="C2871" s="46" t="s">
        <v>6811</v>
      </c>
      <c r="D2871" s="46" t="s">
        <v>6812</v>
      </c>
      <c r="E2871" s="62" t="s">
        <v>956</v>
      </c>
      <c r="F2871" s="37"/>
      <c r="G2871" s="37" t="s">
        <v>6864</v>
      </c>
      <c r="H2871" s="63">
        <v>5662.8</v>
      </c>
    </row>
    <row r="2872" spans="1:8" ht="24.75" customHeight="1">
      <c r="A2872" s="44" t="s">
        <v>6872</v>
      </c>
      <c r="B2872" s="45" t="s">
        <v>6890</v>
      </c>
      <c r="C2872" s="46" t="s">
        <v>6811</v>
      </c>
      <c r="D2872" s="45" t="s">
        <v>6812</v>
      </c>
      <c r="E2872" s="44" t="s">
        <v>6840</v>
      </c>
      <c r="F2872" s="37">
        <v>1</v>
      </c>
      <c r="G2872" s="37" t="s">
        <v>6864</v>
      </c>
      <c r="H2872" s="63">
        <v>70527.600000000006</v>
      </c>
    </row>
    <row r="2873" spans="1:8" ht="24.75" customHeight="1">
      <c r="A2873" s="44" t="s">
        <v>6874</v>
      </c>
      <c r="B2873" s="45" t="s">
        <v>6892</v>
      </c>
      <c r="C2873" s="46" t="s">
        <v>6811</v>
      </c>
      <c r="D2873" s="45" t="s">
        <v>6812</v>
      </c>
      <c r="E2873" s="44" t="s">
        <v>6840</v>
      </c>
      <c r="F2873" s="37">
        <v>1</v>
      </c>
      <c r="G2873" s="37" t="s">
        <v>6864</v>
      </c>
      <c r="H2873" s="63">
        <v>44830.5</v>
      </c>
    </row>
    <row r="2874" spans="1:8" ht="24.75" customHeight="1">
      <c r="A2874" s="44" t="s">
        <v>6871</v>
      </c>
      <c r="B2874" s="45" t="s">
        <v>6889</v>
      </c>
      <c r="C2874" s="46" t="s">
        <v>6811</v>
      </c>
      <c r="D2874" s="45" t="s">
        <v>6812</v>
      </c>
      <c r="E2874" s="44" t="s">
        <v>6840</v>
      </c>
      <c r="F2874" s="37">
        <v>1</v>
      </c>
      <c r="G2874" s="37" t="s">
        <v>6864</v>
      </c>
      <c r="H2874" s="63">
        <v>79979.899999999994</v>
      </c>
    </row>
    <row r="2875" spans="1:8" ht="24.75" customHeight="1">
      <c r="A2875" s="44" t="s">
        <v>6873</v>
      </c>
      <c r="B2875" s="45" t="s">
        <v>6891</v>
      </c>
      <c r="C2875" s="46" t="s">
        <v>6811</v>
      </c>
      <c r="D2875" s="45" t="s">
        <v>6812</v>
      </c>
      <c r="E2875" s="44" t="s">
        <v>6840</v>
      </c>
      <c r="F2875" s="37">
        <v>1</v>
      </c>
      <c r="G2875" s="37" t="s">
        <v>6864</v>
      </c>
      <c r="H2875" s="63">
        <v>48105.2</v>
      </c>
    </row>
    <row r="2876" spans="1:8" ht="24.75" customHeight="1">
      <c r="A2876" s="44" t="s">
        <v>6867</v>
      </c>
      <c r="B2876" s="45" t="s">
        <v>6885</v>
      </c>
      <c r="C2876" s="46" t="s">
        <v>6811</v>
      </c>
      <c r="D2876" s="45" t="s">
        <v>6812</v>
      </c>
      <c r="E2876" s="44" t="s">
        <v>6840</v>
      </c>
      <c r="F2876" s="37">
        <v>1</v>
      </c>
      <c r="G2876" s="37" t="s">
        <v>6864</v>
      </c>
      <c r="H2876" s="63">
        <v>95681.3</v>
      </c>
    </row>
    <row r="2877" spans="1:8" ht="24.75" customHeight="1">
      <c r="A2877" s="44" t="s">
        <v>6869</v>
      </c>
      <c r="B2877" s="45" t="s">
        <v>6887</v>
      </c>
      <c r="C2877" s="46" t="s">
        <v>6811</v>
      </c>
      <c r="D2877" s="45" t="s">
        <v>6812</v>
      </c>
      <c r="E2877" s="44" t="s">
        <v>6840</v>
      </c>
      <c r="F2877" s="37">
        <v>1</v>
      </c>
      <c r="G2877" s="37" t="s">
        <v>6864</v>
      </c>
      <c r="H2877" s="63">
        <v>80051.399999999994</v>
      </c>
    </row>
    <row r="2878" spans="1:8" ht="24.75" customHeight="1">
      <c r="A2878" s="44" t="s">
        <v>6868</v>
      </c>
      <c r="B2878" s="45" t="s">
        <v>6886</v>
      </c>
      <c r="C2878" s="46" t="s">
        <v>6811</v>
      </c>
      <c r="D2878" s="45" t="s">
        <v>6812</v>
      </c>
      <c r="E2878" s="44" t="s">
        <v>6896</v>
      </c>
      <c r="F2878" s="37">
        <v>1</v>
      </c>
      <c r="G2878" s="37" t="s">
        <v>6864</v>
      </c>
      <c r="H2878" s="63">
        <v>100543.3</v>
      </c>
    </row>
    <row r="2879" spans="1:8" ht="24.75" customHeight="1">
      <c r="A2879" s="44" t="s">
        <v>6870</v>
      </c>
      <c r="B2879" s="45" t="s">
        <v>6888</v>
      </c>
      <c r="C2879" s="46" t="s">
        <v>6811</v>
      </c>
      <c r="D2879" s="45" t="s">
        <v>6812</v>
      </c>
      <c r="E2879" s="44" t="s">
        <v>6840</v>
      </c>
      <c r="F2879" s="37">
        <v>1</v>
      </c>
      <c r="G2879" s="37" t="s">
        <v>6864</v>
      </c>
      <c r="H2879" s="63">
        <v>84126.9</v>
      </c>
    </row>
    <row r="2880" spans="1:8" ht="24.75" customHeight="1">
      <c r="A2880" s="44" t="s">
        <v>6866</v>
      </c>
      <c r="B2880" s="45" t="s">
        <v>6884</v>
      </c>
      <c r="C2880" s="46" t="s">
        <v>6811</v>
      </c>
      <c r="D2880" s="45" t="s">
        <v>6812</v>
      </c>
      <c r="E2880" s="44" t="s">
        <v>6840</v>
      </c>
      <c r="F2880" s="37">
        <v>1</v>
      </c>
      <c r="G2880" s="37" t="s">
        <v>6864</v>
      </c>
      <c r="H2880" s="63">
        <v>105047.8</v>
      </c>
    </row>
    <row r="2881" spans="1:8" ht="24.75" customHeight="1">
      <c r="A2881" s="44" t="s">
        <v>6396</v>
      </c>
      <c r="B2881" s="46" t="s">
        <v>6397</v>
      </c>
      <c r="C2881" s="46" t="s">
        <v>6811</v>
      </c>
      <c r="D2881" s="46" t="s">
        <v>6812</v>
      </c>
      <c r="E2881" s="62" t="s">
        <v>956</v>
      </c>
      <c r="F2881" s="37"/>
      <c r="G2881" s="37" t="s">
        <v>6864</v>
      </c>
      <c r="H2881" s="63">
        <v>6249.1</v>
      </c>
    </row>
    <row r="2882" spans="1:8" ht="24.75" customHeight="1">
      <c r="A2882" s="44" t="s">
        <v>6398</v>
      </c>
      <c r="B2882" s="46" t="s">
        <v>6399</v>
      </c>
      <c r="C2882" s="46" t="s">
        <v>6811</v>
      </c>
      <c r="D2882" s="46" t="s">
        <v>6812</v>
      </c>
      <c r="E2882" s="62" t="s">
        <v>956</v>
      </c>
      <c r="F2882" s="37"/>
      <c r="G2882" s="37" t="s">
        <v>6864</v>
      </c>
      <c r="H2882" s="63">
        <v>6678.1</v>
      </c>
    </row>
    <row r="2883" spans="1:8" ht="24.75" customHeight="1">
      <c r="A2883" s="44" t="s">
        <v>6400</v>
      </c>
      <c r="B2883" s="46" t="s">
        <v>6401</v>
      </c>
      <c r="C2883" s="46" t="s">
        <v>6811</v>
      </c>
      <c r="D2883" s="46" t="s">
        <v>6812</v>
      </c>
      <c r="E2883" s="62" t="s">
        <v>956</v>
      </c>
      <c r="F2883" s="37"/>
      <c r="G2883" s="37" t="s">
        <v>6864</v>
      </c>
      <c r="H2883" s="63">
        <v>15615.6</v>
      </c>
    </row>
    <row r="2884" spans="1:8" ht="24.75" customHeight="1">
      <c r="A2884" s="44" t="s">
        <v>6382</v>
      </c>
      <c r="B2884" s="46" t="s">
        <v>6383</v>
      </c>
      <c r="C2884" s="46" t="s">
        <v>6811</v>
      </c>
      <c r="D2884" s="46" t="s">
        <v>6812</v>
      </c>
      <c r="E2884" s="62" t="s">
        <v>956</v>
      </c>
      <c r="F2884" s="37"/>
      <c r="G2884" s="37" t="s">
        <v>6864</v>
      </c>
      <c r="H2884" s="63">
        <v>8522.7999999999993</v>
      </c>
    </row>
    <row r="2885" spans="1:8" ht="24.75" customHeight="1">
      <c r="A2885" s="44" t="s">
        <v>6384</v>
      </c>
      <c r="B2885" s="46" t="s">
        <v>6385</v>
      </c>
      <c r="C2885" s="46" t="s">
        <v>6811</v>
      </c>
      <c r="D2885" s="46" t="s">
        <v>6812</v>
      </c>
      <c r="E2885" s="62" t="s">
        <v>956</v>
      </c>
      <c r="F2885" s="37"/>
      <c r="G2885" s="37" t="s">
        <v>6864</v>
      </c>
      <c r="H2885" s="63">
        <v>15243.8</v>
      </c>
    </row>
    <row r="2886" spans="1:8" ht="24.75" customHeight="1">
      <c r="A2886" s="44" t="s">
        <v>6392</v>
      </c>
      <c r="B2886" s="46" t="s">
        <v>6393</v>
      </c>
      <c r="C2886" s="46" t="s">
        <v>6811</v>
      </c>
      <c r="D2886" s="46" t="s">
        <v>6812</v>
      </c>
      <c r="E2886" s="62" t="s">
        <v>956</v>
      </c>
      <c r="F2886" s="37"/>
      <c r="G2886" s="37" t="s">
        <v>6864</v>
      </c>
      <c r="H2886" s="63">
        <v>6306.3</v>
      </c>
    </row>
    <row r="2887" spans="1:8" ht="24.75" customHeight="1">
      <c r="A2887" s="44" t="s">
        <v>6394</v>
      </c>
      <c r="B2887" s="46" t="s">
        <v>6395</v>
      </c>
      <c r="C2887" s="46" t="s">
        <v>6811</v>
      </c>
      <c r="D2887" s="46" t="s">
        <v>6812</v>
      </c>
      <c r="E2887" s="62" t="s">
        <v>956</v>
      </c>
      <c r="F2887" s="37"/>
      <c r="G2887" s="37" t="s">
        <v>6864</v>
      </c>
      <c r="H2887" s="63">
        <v>5662.8</v>
      </c>
    </row>
    <row r="2888" spans="1:8" ht="24.75" customHeight="1">
      <c r="A2888" s="44" t="s">
        <v>6386</v>
      </c>
      <c r="B2888" s="46" t="s">
        <v>6387</v>
      </c>
      <c r="C2888" s="46" t="s">
        <v>6811</v>
      </c>
      <c r="D2888" s="46" t="s">
        <v>6812</v>
      </c>
      <c r="E2888" s="62" t="s">
        <v>956</v>
      </c>
      <c r="F2888" s="37"/>
      <c r="G2888" s="37" t="s">
        <v>6864</v>
      </c>
      <c r="H2888" s="63">
        <v>7736.3</v>
      </c>
    </row>
    <row r="2889" spans="1:8" ht="24.75" customHeight="1">
      <c r="A2889" s="44" t="s">
        <v>6402</v>
      </c>
      <c r="B2889" s="46" t="s">
        <v>6403</v>
      </c>
      <c r="C2889" s="46" t="s">
        <v>6811</v>
      </c>
      <c r="D2889" s="46" t="s">
        <v>6812</v>
      </c>
      <c r="E2889" s="62" t="s">
        <v>956</v>
      </c>
      <c r="F2889" s="37"/>
      <c r="G2889" s="37" t="s">
        <v>6864</v>
      </c>
      <c r="H2889" s="63">
        <v>7307.3</v>
      </c>
    </row>
    <row r="2890" spans="1:8" ht="24.75" customHeight="1">
      <c r="A2890" s="44" t="s">
        <v>6388</v>
      </c>
      <c r="B2890" s="46" t="s">
        <v>6389</v>
      </c>
      <c r="C2890" s="46" t="s">
        <v>6811</v>
      </c>
      <c r="D2890" s="46" t="s">
        <v>6812</v>
      </c>
      <c r="E2890" s="62" t="s">
        <v>956</v>
      </c>
      <c r="F2890" s="37"/>
      <c r="G2890" s="37" t="s">
        <v>6864</v>
      </c>
      <c r="H2890" s="63">
        <v>16359.2</v>
      </c>
    </row>
    <row r="2891" spans="1:8" ht="24.75" customHeight="1">
      <c r="A2891" s="44" t="s">
        <v>6404</v>
      </c>
      <c r="B2891" s="46" t="s">
        <v>6405</v>
      </c>
      <c r="C2891" s="46" t="s">
        <v>6811</v>
      </c>
      <c r="D2891" s="46" t="s">
        <v>6812</v>
      </c>
      <c r="E2891" s="62" t="s">
        <v>956</v>
      </c>
      <c r="F2891" s="37"/>
      <c r="G2891" s="37" t="s">
        <v>6864</v>
      </c>
      <c r="H2891" s="63">
        <v>14557.4</v>
      </c>
    </row>
    <row r="2892" spans="1:8" ht="24.75" customHeight="1">
      <c r="A2892" s="44" t="s">
        <v>244</v>
      </c>
      <c r="B2892" s="45" t="s">
        <v>3558</v>
      </c>
      <c r="C2892" s="45" t="s">
        <v>6811</v>
      </c>
      <c r="D2892" s="45" t="s">
        <v>6812</v>
      </c>
      <c r="E2892" s="44" t="s">
        <v>6840</v>
      </c>
      <c r="F2892" s="37">
        <v>1</v>
      </c>
      <c r="G2892" s="37" t="s">
        <v>6864</v>
      </c>
      <c r="H2892" s="63">
        <v>6949.8</v>
      </c>
    </row>
    <row r="2893" spans="1:8" ht="24.75" customHeight="1">
      <c r="A2893" s="44" t="s">
        <v>659</v>
      </c>
      <c r="B2893" s="45" t="s">
        <v>3539</v>
      </c>
      <c r="C2893" s="45" t="s">
        <v>6811</v>
      </c>
      <c r="D2893" s="45" t="s">
        <v>6812</v>
      </c>
      <c r="E2893" s="44" t="s">
        <v>6840</v>
      </c>
      <c r="F2893" s="37">
        <v>1</v>
      </c>
      <c r="G2893" s="37" t="s">
        <v>6864</v>
      </c>
      <c r="H2893" s="63">
        <v>5519.8</v>
      </c>
    </row>
    <row r="2894" spans="1:8" ht="24.75" customHeight="1">
      <c r="A2894" s="44" t="s">
        <v>660</v>
      </c>
      <c r="B2894" s="45" t="s">
        <v>3540</v>
      </c>
      <c r="C2894" s="45" t="s">
        <v>6811</v>
      </c>
      <c r="D2894" s="45" t="s">
        <v>6812</v>
      </c>
      <c r="E2894" s="44" t="s">
        <v>6840</v>
      </c>
      <c r="F2894" s="37">
        <v>1</v>
      </c>
      <c r="G2894" s="37" t="s">
        <v>6864</v>
      </c>
      <c r="H2894" s="63">
        <v>6177.6</v>
      </c>
    </row>
    <row r="2895" spans="1:8" ht="24.75" customHeight="1">
      <c r="A2895" s="44" t="s">
        <v>2905</v>
      </c>
      <c r="B2895" s="45" t="s">
        <v>3572</v>
      </c>
      <c r="C2895" s="45" t="s">
        <v>6811</v>
      </c>
      <c r="D2895" s="45" t="s">
        <v>6812</v>
      </c>
      <c r="E2895" s="44" t="s">
        <v>6840</v>
      </c>
      <c r="F2895" s="37">
        <v>1</v>
      </c>
      <c r="G2895" s="37" t="s">
        <v>6864</v>
      </c>
      <c r="H2895" s="63">
        <v>7278.7</v>
      </c>
    </row>
    <row r="2896" spans="1:8" ht="24.75" customHeight="1">
      <c r="A2896" s="44" t="s">
        <v>661</v>
      </c>
      <c r="B2896" s="45" t="s">
        <v>3541</v>
      </c>
      <c r="C2896" s="45" t="s">
        <v>6811</v>
      </c>
      <c r="D2896" s="45" t="s">
        <v>6812</v>
      </c>
      <c r="E2896" s="44" t="s">
        <v>6840</v>
      </c>
      <c r="F2896" s="37">
        <v>1</v>
      </c>
      <c r="G2896" s="37" t="s">
        <v>6864</v>
      </c>
      <c r="H2896" s="63">
        <v>6492.2</v>
      </c>
    </row>
    <row r="2897" spans="1:8" ht="24.75" customHeight="1">
      <c r="A2897" s="44" t="s">
        <v>245</v>
      </c>
      <c r="B2897" s="45" t="s">
        <v>3559</v>
      </c>
      <c r="C2897" s="45" t="s">
        <v>6811</v>
      </c>
      <c r="D2897" s="45" t="s">
        <v>6812</v>
      </c>
      <c r="E2897" s="44" t="s">
        <v>6840</v>
      </c>
      <c r="F2897" s="37">
        <v>1</v>
      </c>
      <c r="G2897" s="37" t="s">
        <v>6864</v>
      </c>
      <c r="H2897" s="63">
        <v>9066.2000000000007</v>
      </c>
    </row>
    <row r="2898" spans="1:8" ht="24.75" customHeight="1">
      <c r="A2898" s="44" t="s">
        <v>662</v>
      </c>
      <c r="B2898" s="45" t="s">
        <v>3542</v>
      </c>
      <c r="C2898" s="45" t="s">
        <v>6811</v>
      </c>
      <c r="D2898" s="45" t="s">
        <v>6812</v>
      </c>
      <c r="E2898" s="44" t="s">
        <v>6840</v>
      </c>
      <c r="F2898" s="37">
        <v>1</v>
      </c>
      <c r="G2898" s="37" t="s">
        <v>6864</v>
      </c>
      <c r="H2898" s="63">
        <v>7135.7</v>
      </c>
    </row>
    <row r="2899" spans="1:8" ht="24.75" customHeight="1">
      <c r="A2899" s="44" t="s">
        <v>235</v>
      </c>
      <c r="B2899" s="45" t="s">
        <v>3549</v>
      </c>
      <c r="C2899" s="45" t="s">
        <v>6811</v>
      </c>
      <c r="D2899" s="45" t="s">
        <v>6812</v>
      </c>
      <c r="E2899" s="44" t="s">
        <v>6840</v>
      </c>
      <c r="F2899" s="37">
        <v>1</v>
      </c>
      <c r="G2899" s="37" t="s">
        <v>6864</v>
      </c>
      <c r="H2899" s="63">
        <v>6420.7</v>
      </c>
    </row>
    <row r="2900" spans="1:8" ht="24.75" customHeight="1">
      <c r="A2900" s="44" t="s">
        <v>255</v>
      </c>
      <c r="B2900" s="45" t="s">
        <v>3569</v>
      </c>
      <c r="C2900" s="45" t="s">
        <v>6811</v>
      </c>
      <c r="D2900" s="45" t="s">
        <v>6812</v>
      </c>
      <c r="E2900" s="44" t="s">
        <v>6840</v>
      </c>
      <c r="F2900" s="37">
        <v>1</v>
      </c>
      <c r="G2900" s="37" t="s">
        <v>6864</v>
      </c>
      <c r="H2900" s="63">
        <v>7350.2</v>
      </c>
    </row>
    <row r="2901" spans="1:8" ht="24.75" customHeight="1">
      <c r="A2901" s="44" t="s">
        <v>663</v>
      </c>
      <c r="B2901" s="45" t="s">
        <v>3543</v>
      </c>
      <c r="C2901" s="45" t="s">
        <v>6811</v>
      </c>
      <c r="D2901" s="45" t="s">
        <v>6812</v>
      </c>
      <c r="E2901" s="44" t="s">
        <v>6840</v>
      </c>
      <c r="F2901" s="37">
        <v>1</v>
      </c>
      <c r="G2901" s="37" t="s">
        <v>6864</v>
      </c>
      <c r="H2901" s="63">
        <v>8294</v>
      </c>
    </row>
    <row r="2902" spans="1:8" ht="24.75" customHeight="1">
      <c r="A2902" s="44" t="s">
        <v>246</v>
      </c>
      <c r="B2902" s="45" t="s">
        <v>3560</v>
      </c>
      <c r="C2902" s="45" t="s">
        <v>6811</v>
      </c>
      <c r="D2902" s="45" t="s">
        <v>6812</v>
      </c>
      <c r="E2902" s="44" t="s">
        <v>6840</v>
      </c>
      <c r="F2902" s="37">
        <v>1</v>
      </c>
      <c r="G2902" s="37" t="s">
        <v>6864</v>
      </c>
      <c r="H2902" s="63">
        <v>11011</v>
      </c>
    </row>
    <row r="2903" spans="1:8" ht="24.75" customHeight="1">
      <c r="A2903" s="44" t="s">
        <v>664</v>
      </c>
      <c r="B2903" s="45" t="s">
        <v>3544</v>
      </c>
      <c r="C2903" s="45" t="s">
        <v>6811</v>
      </c>
      <c r="D2903" s="45" t="s">
        <v>6812</v>
      </c>
      <c r="E2903" s="44" t="s">
        <v>6840</v>
      </c>
      <c r="F2903" s="37">
        <v>1</v>
      </c>
      <c r="G2903" s="37" t="s">
        <v>6864</v>
      </c>
      <c r="H2903" s="63">
        <v>8894.6</v>
      </c>
    </row>
    <row r="2904" spans="1:8" ht="24.75" customHeight="1">
      <c r="A2904" s="44" t="s">
        <v>665</v>
      </c>
      <c r="B2904" s="45" t="s">
        <v>3545</v>
      </c>
      <c r="C2904" s="45" t="s">
        <v>6811</v>
      </c>
      <c r="D2904" s="45" t="s">
        <v>6812</v>
      </c>
      <c r="E2904" s="44" t="s">
        <v>6840</v>
      </c>
      <c r="F2904" s="37">
        <v>1</v>
      </c>
      <c r="G2904" s="37" t="s">
        <v>6864</v>
      </c>
      <c r="H2904" s="63">
        <v>9495.2000000000007</v>
      </c>
    </row>
    <row r="2905" spans="1:8" ht="24.75" customHeight="1">
      <c r="A2905" s="44" t="s">
        <v>247</v>
      </c>
      <c r="B2905" s="45" t="s">
        <v>3561</v>
      </c>
      <c r="C2905" s="45" t="s">
        <v>6811</v>
      </c>
      <c r="D2905" s="45" t="s">
        <v>6812</v>
      </c>
      <c r="E2905" s="44" t="s">
        <v>6840</v>
      </c>
      <c r="F2905" s="37">
        <v>1</v>
      </c>
      <c r="G2905" s="37" t="s">
        <v>6864</v>
      </c>
      <c r="H2905" s="63">
        <v>12126.4</v>
      </c>
    </row>
    <row r="2906" spans="1:8" ht="24.75" customHeight="1">
      <c r="A2906" s="44" t="s">
        <v>666</v>
      </c>
      <c r="B2906" s="45" t="s">
        <v>3546</v>
      </c>
      <c r="C2906" s="45" t="s">
        <v>6811</v>
      </c>
      <c r="D2906" s="45" t="s">
        <v>6812</v>
      </c>
      <c r="E2906" s="44" t="s">
        <v>6840</v>
      </c>
      <c r="F2906" s="37">
        <v>1</v>
      </c>
      <c r="G2906" s="37" t="s">
        <v>6864</v>
      </c>
      <c r="H2906" s="63">
        <v>9795.5</v>
      </c>
    </row>
    <row r="2907" spans="1:8" ht="24.75" customHeight="1">
      <c r="A2907" s="44" t="s">
        <v>248</v>
      </c>
      <c r="B2907" s="45" t="s">
        <v>3562</v>
      </c>
      <c r="C2907" s="45" t="s">
        <v>6811</v>
      </c>
      <c r="D2907" s="45" t="s">
        <v>6812</v>
      </c>
      <c r="E2907" s="44" t="s">
        <v>6840</v>
      </c>
      <c r="F2907" s="37">
        <v>1</v>
      </c>
      <c r="G2907" s="37" t="s">
        <v>6864</v>
      </c>
      <c r="H2907" s="63">
        <v>12684.1</v>
      </c>
    </row>
    <row r="2908" spans="1:8" ht="24.75" customHeight="1">
      <c r="A2908" s="44" t="s">
        <v>243</v>
      </c>
      <c r="B2908" s="45" t="s">
        <v>3557</v>
      </c>
      <c r="C2908" s="45" t="s">
        <v>6811</v>
      </c>
      <c r="D2908" s="45" t="s">
        <v>6812</v>
      </c>
      <c r="E2908" s="44" t="s">
        <v>6840</v>
      </c>
      <c r="F2908" s="37">
        <v>1</v>
      </c>
      <c r="G2908" s="37" t="s">
        <v>6864</v>
      </c>
      <c r="H2908" s="63">
        <v>10253.1</v>
      </c>
    </row>
    <row r="2909" spans="1:8" ht="24.75" customHeight="1">
      <c r="A2909" s="44" t="s">
        <v>250</v>
      </c>
      <c r="B2909" s="45" t="s">
        <v>3564</v>
      </c>
      <c r="C2909" s="45" t="s">
        <v>6811</v>
      </c>
      <c r="D2909" s="45" t="s">
        <v>6812</v>
      </c>
      <c r="E2909" s="44" t="s">
        <v>6840</v>
      </c>
      <c r="F2909" s="37">
        <v>1</v>
      </c>
      <c r="G2909" s="37" t="s">
        <v>6864</v>
      </c>
      <c r="H2909" s="63">
        <v>32932.9</v>
      </c>
    </row>
    <row r="2910" spans="1:8" ht="24.75" customHeight="1">
      <c r="A2910" s="44" t="s">
        <v>251</v>
      </c>
      <c r="B2910" s="45" t="s">
        <v>3565</v>
      </c>
      <c r="C2910" s="45" t="s">
        <v>6811</v>
      </c>
      <c r="D2910" s="45" t="s">
        <v>6812</v>
      </c>
      <c r="E2910" s="44" t="s">
        <v>6840</v>
      </c>
      <c r="F2910" s="37">
        <v>1</v>
      </c>
      <c r="G2910" s="37" t="s">
        <v>6864</v>
      </c>
      <c r="H2910" s="63">
        <v>36279.1</v>
      </c>
    </row>
    <row r="2911" spans="1:8" ht="24.75" customHeight="1">
      <c r="A2911" s="44" t="s">
        <v>2045</v>
      </c>
      <c r="B2911" s="45" t="s">
        <v>3573</v>
      </c>
      <c r="C2911" s="45" t="s">
        <v>6811</v>
      </c>
      <c r="D2911" s="45" t="s">
        <v>6812</v>
      </c>
      <c r="E2911" s="44" t="s">
        <v>6840</v>
      </c>
      <c r="F2911" s="37">
        <v>1</v>
      </c>
      <c r="G2911" s="37" t="s">
        <v>6864</v>
      </c>
      <c r="H2911" s="63">
        <v>37966.5</v>
      </c>
    </row>
    <row r="2912" spans="1:8" ht="24.75" customHeight="1">
      <c r="A2912" s="44" t="s">
        <v>236</v>
      </c>
      <c r="B2912" s="45" t="s">
        <v>3550</v>
      </c>
      <c r="C2912" s="45" t="s">
        <v>6811</v>
      </c>
      <c r="D2912" s="45" t="s">
        <v>6812</v>
      </c>
      <c r="E2912" s="44" t="s">
        <v>6840</v>
      </c>
      <c r="F2912" s="37">
        <v>1</v>
      </c>
      <c r="G2912" s="37" t="s">
        <v>6864</v>
      </c>
      <c r="H2912" s="63">
        <v>7879.3</v>
      </c>
    </row>
    <row r="2913" spans="1:8" ht="24.75" customHeight="1">
      <c r="A2913" s="44" t="s">
        <v>237</v>
      </c>
      <c r="B2913" s="45" t="s">
        <v>3551</v>
      </c>
      <c r="C2913" s="45" t="s">
        <v>6811</v>
      </c>
      <c r="D2913" s="45" t="s">
        <v>6812</v>
      </c>
      <c r="E2913" s="44" t="s">
        <v>6840</v>
      </c>
      <c r="F2913" s="37">
        <v>1</v>
      </c>
      <c r="G2913" s="37" t="s">
        <v>6864</v>
      </c>
      <c r="H2913" s="63">
        <v>8680.1</v>
      </c>
    </row>
    <row r="2914" spans="1:8" ht="24.75" customHeight="1">
      <c r="A2914" s="44" t="s">
        <v>1513</v>
      </c>
      <c r="B2914" s="45" t="s">
        <v>3574</v>
      </c>
      <c r="C2914" s="45" t="s">
        <v>6811</v>
      </c>
      <c r="D2914" s="45" t="s">
        <v>6812</v>
      </c>
      <c r="E2914" s="44" t="s">
        <v>6840</v>
      </c>
      <c r="F2914" s="37">
        <v>1</v>
      </c>
      <c r="G2914" s="37" t="s">
        <v>6864</v>
      </c>
      <c r="H2914" s="63">
        <v>9080.5</v>
      </c>
    </row>
    <row r="2915" spans="1:8" ht="24.75" customHeight="1">
      <c r="A2915" s="44" t="s">
        <v>256</v>
      </c>
      <c r="B2915" s="45" t="s">
        <v>3570</v>
      </c>
      <c r="C2915" s="45" t="s">
        <v>6811</v>
      </c>
      <c r="D2915" s="45" t="s">
        <v>6812</v>
      </c>
      <c r="E2915" s="44" t="s">
        <v>6840</v>
      </c>
      <c r="F2915" s="37">
        <v>1</v>
      </c>
      <c r="G2915" s="37" t="s">
        <v>6864</v>
      </c>
      <c r="H2915" s="63">
        <v>10267.4</v>
      </c>
    </row>
    <row r="2916" spans="1:8" ht="24.75" customHeight="1">
      <c r="A2916" s="44" t="s">
        <v>233</v>
      </c>
      <c r="B2916" s="45" t="s">
        <v>3547</v>
      </c>
      <c r="C2916" s="45" t="s">
        <v>6811</v>
      </c>
      <c r="D2916" s="45" t="s">
        <v>6812</v>
      </c>
      <c r="E2916" s="44" t="s">
        <v>6840</v>
      </c>
      <c r="F2916" s="37">
        <v>1</v>
      </c>
      <c r="G2916" s="37" t="s">
        <v>6864</v>
      </c>
      <c r="H2916" s="63">
        <v>14628.9</v>
      </c>
    </row>
    <row r="2917" spans="1:8" ht="24.75" customHeight="1">
      <c r="A2917" s="44" t="s">
        <v>249</v>
      </c>
      <c r="B2917" s="45" t="s">
        <v>3563</v>
      </c>
      <c r="C2917" s="45" t="s">
        <v>6811</v>
      </c>
      <c r="D2917" s="45" t="s">
        <v>6812</v>
      </c>
      <c r="E2917" s="44" t="s">
        <v>6840</v>
      </c>
      <c r="F2917" s="37">
        <v>1</v>
      </c>
      <c r="G2917" s="37" t="s">
        <v>6864</v>
      </c>
      <c r="H2917" s="63">
        <v>19219.2</v>
      </c>
    </row>
    <row r="2918" spans="1:8" ht="24.75" customHeight="1">
      <c r="A2918" s="44" t="s">
        <v>234</v>
      </c>
      <c r="B2918" s="45" t="s">
        <v>3548</v>
      </c>
      <c r="C2918" s="45" t="s">
        <v>6811</v>
      </c>
      <c r="D2918" s="45" t="s">
        <v>6812</v>
      </c>
      <c r="E2918" s="44" t="s">
        <v>6840</v>
      </c>
      <c r="F2918" s="37">
        <v>1</v>
      </c>
      <c r="G2918" s="37" t="s">
        <v>6864</v>
      </c>
      <c r="H2918" s="63">
        <v>15701.4</v>
      </c>
    </row>
    <row r="2919" spans="1:8" ht="24.75" customHeight="1">
      <c r="A2919" s="44" t="s">
        <v>252</v>
      </c>
      <c r="B2919" s="45" t="s">
        <v>3566</v>
      </c>
      <c r="C2919" s="45" t="s">
        <v>6811</v>
      </c>
      <c r="D2919" s="45" t="s">
        <v>6812</v>
      </c>
      <c r="E2919" s="44" t="s">
        <v>6840</v>
      </c>
      <c r="F2919" s="37">
        <v>1</v>
      </c>
      <c r="G2919" s="37" t="s">
        <v>6864</v>
      </c>
      <c r="H2919" s="63">
        <v>41970.5</v>
      </c>
    </row>
    <row r="2920" spans="1:8" ht="24.75" customHeight="1">
      <c r="A2920" s="44" t="s">
        <v>3579</v>
      </c>
      <c r="B2920" s="45" t="s">
        <v>3580</v>
      </c>
      <c r="C2920" s="45" t="s">
        <v>6811</v>
      </c>
      <c r="D2920" s="45" t="s">
        <v>6812</v>
      </c>
      <c r="E2920" s="44" t="s">
        <v>6840</v>
      </c>
      <c r="F2920" s="37">
        <v>1</v>
      </c>
      <c r="G2920" s="37" t="s">
        <v>6864</v>
      </c>
      <c r="H2920" s="63">
        <v>18704.400000000001</v>
      </c>
    </row>
    <row r="2921" spans="1:8" ht="24.75" customHeight="1">
      <c r="A2921" s="44" t="s">
        <v>3581</v>
      </c>
      <c r="B2921" s="45" t="s">
        <v>3582</v>
      </c>
      <c r="C2921" s="45" t="s">
        <v>6811</v>
      </c>
      <c r="D2921" s="45" t="s">
        <v>6812</v>
      </c>
      <c r="E2921" s="44" t="s">
        <v>6840</v>
      </c>
      <c r="F2921" s="37">
        <v>1</v>
      </c>
      <c r="G2921" s="37" t="s">
        <v>6864</v>
      </c>
      <c r="H2921" s="63">
        <v>19648.2</v>
      </c>
    </row>
    <row r="2922" spans="1:8" ht="24.75" customHeight="1">
      <c r="A2922" s="44" t="s">
        <v>3575</v>
      </c>
      <c r="B2922" s="45" t="s">
        <v>3576</v>
      </c>
      <c r="C2922" s="45" t="s">
        <v>6811</v>
      </c>
      <c r="D2922" s="45" t="s">
        <v>6812</v>
      </c>
      <c r="E2922" s="44" t="s">
        <v>6840</v>
      </c>
      <c r="F2922" s="37">
        <v>1</v>
      </c>
      <c r="G2922" s="37" t="s">
        <v>6864</v>
      </c>
      <c r="H2922" s="63">
        <v>42900</v>
      </c>
    </row>
    <row r="2923" spans="1:8" ht="24.75" customHeight="1">
      <c r="A2923" s="44" t="s">
        <v>3577</v>
      </c>
      <c r="B2923" s="45" t="s">
        <v>3578</v>
      </c>
      <c r="C2923" s="45" t="s">
        <v>6811</v>
      </c>
      <c r="D2923" s="45" t="s">
        <v>6812</v>
      </c>
      <c r="E2923" s="44" t="s">
        <v>6840</v>
      </c>
      <c r="F2923" s="37">
        <v>1</v>
      </c>
      <c r="G2923" s="37" t="s">
        <v>6864</v>
      </c>
      <c r="H2923" s="63">
        <v>45087.9</v>
      </c>
    </row>
    <row r="2924" spans="1:8" ht="24.75" customHeight="1">
      <c r="A2924" s="44" t="s">
        <v>6904</v>
      </c>
      <c r="B2924" s="45" t="s">
        <v>6905</v>
      </c>
      <c r="C2924" s="46" t="s">
        <v>6811</v>
      </c>
      <c r="D2924" s="45" t="s">
        <v>6812</v>
      </c>
      <c r="E2924" s="44" t="s">
        <v>6840</v>
      </c>
      <c r="F2924" s="37">
        <v>1</v>
      </c>
      <c r="G2924" s="37" t="s">
        <v>6864</v>
      </c>
      <c r="H2924" s="63">
        <v>50150.1</v>
      </c>
    </row>
    <row r="2925" spans="1:8" ht="24.75" customHeight="1">
      <c r="A2925" s="44" t="s">
        <v>6906</v>
      </c>
      <c r="B2925" s="45" t="s">
        <v>6907</v>
      </c>
      <c r="C2925" s="46" t="s">
        <v>6811</v>
      </c>
      <c r="D2925" s="45" t="s">
        <v>6812</v>
      </c>
      <c r="E2925" s="44" t="s">
        <v>6840</v>
      </c>
      <c r="F2925" s="37">
        <v>1</v>
      </c>
      <c r="G2925" s="37" t="s">
        <v>6864</v>
      </c>
      <c r="H2925" s="63">
        <v>52709.8</v>
      </c>
    </row>
    <row r="2926" spans="1:8" ht="24.75" customHeight="1">
      <c r="A2926" s="44" t="s">
        <v>2717</v>
      </c>
      <c r="B2926" s="45" t="s">
        <v>3600</v>
      </c>
      <c r="C2926" s="45" t="s">
        <v>6811</v>
      </c>
      <c r="D2926" s="45" t="s">
        <v>6812</v>
      </c>
      <c r="E2926" s="44" t="s">
        <v>956</v>
      </c>
      <c r="F2926" s="37">
        <v>1</v>
      </c>
      <c r="G2926" s="37" t="s">
        <v>6864</v>
      </c>
      <c r="H2926" s="63">
        <v>7035.6</v>
      </c>
    </row>
    <row r="2927" spans="1:8" ht="24.75" customHeight="1">
      <c r="A2927" s="44" t="s">
        <v>2718</v>
      </c>
      <c r="B2927" s="45" t="s">
        <v>3601</v>
      </c>
      <c r="C2927" s="45" t="s">
        <v>6811</v>
      </c>
      <c r="D2927" s="45" t="s">
        <v>6812</v>
      </c>
      <c r="E2927" s="44" t="s">
        <v>956</v>
      </c>
      <c r="F2927" s="37">
        <v>1</v>
      </c>
      <c r="G2927" s="37" t="s">
        <v>6864</v>
      </c>
      <c r="H2927" s="63">
        <v>7564.7</v>
      </c>
    </row>
    <row r="2928" spans="1:8" ht="24.75" customHeight="1">
      <c r="A2928" s="44" t="s">
        <v>2719</v>
      </c>
      <c r="B2928" s="45" t="s">
        <v>3602</v>
      </c>
      <c r="C2928" s="45" t="s">
        <v>6811</v>
      </c>
      <c r="D2928" s="45" t="s">
        <v>6812</v>
      </c>
      <c r="E2928" s="44" t="s">
        <v>956</v>
      </c>
      <c r="F2928" s="37">
        <v>1</v>
      </c>
      <c r="G2928" s="37" t="s">
        <v>6864</v>
      </c>
      <c r="H2928" s="63">
        <v>8308.2999999999993</v>
      </c>
    </row>
    <row r="2929" spans="1:8" ht="24.75" customHeight="1">
      <c r="A2929" s="44" t="s">
        <v>2720</v>
      </c>
      <c r="B2929" s="45" t="s">
        <v>3603</v>
      </c>
      <c r="C2929" s="45" t="s">
        <v>6811</v>
      </c>
      <c r="D2929" s="45" t="s">
        <v>6812</v>
      </c>
      <c r="E2929" s="44" t="s">
        <v>956</v>
      </c>
      <c r="F2929" s="37">
        <v>1</v>
      </c>
      <c r="G2929" s="37" t="s">
        <v>6864</v>
      </c>
      <c r="H2929" s="63">
        <v>8708.7000000000007</v>
      </c>
    </row>
    <row r="2930" spans="1:8" ht="24.75" customHeight="1">
      <c r="A2930" s="44" t="s">
        <v>2725</v>
      </c>
      <c r="B2930" s="45" t="s">
        <v>3608</v>
      </c>
      <c r="C2930" s="45" t="s">
        <v>6811</v>
      </c>
      <c r="D2930" s="45" t="s">
        <v>6812</v>
      </c>
      <c r="E2930" s="44" t="s">
        <v>956</v>
      </c>
      <c r="F2930" s="37">
        <v>1</v>
      </c>
      <c r="G2930" s="37" t="s">
        <v>6864</v>
      </c>
      <c r="H2930" s="63">
        <v>8236.7999999999993</v>
      </c>
    </row>
    <row r="2931" spans="1:8" ht="24.75" customHeight="1">
      <c r="A2931" s="44" t="s">
        <v>2726</v>
      </c>
      <c r="B2931" s="45" t="s">
        <v>3609</v>
      </c>
      <c r="C2931" s="45" t="s">
        <v>6811</v>
      </c>
      <c r="D2931" s="45" t="s">
        <v>6812</v>
      </c>
      <c r="E2931" s="44" t="s">
        <v>956</v>
      </c>
      <c r="F2931" s="37">
        <v>1</v>
      </c>
      <c r="G2931" s="37" t="s">
        <v>6864</v>
      </c>
      <c r="H2931" s="63">
        <v>8837.4</v>
      </c>
    </row>
    <row r="2932" spans="1:8" ht="24.75" customHeight="1">
      <c r="A2932" s="44" t="s">
        <v>2727</v>
      </c>
      <c r="B2932" s="45" t="s">
        <v>3610</v>
      </c>
      <c r="C2932" s="45" t="s">
        <v>6811</v>
      </c>
      <c r="D2932" s="45" t="s">
        <v>6812</v>
      </c>
      <c r="E2932" s="44" t="s">
        <v>956</v>
      </c>
      <c r="F2932" s="37">
        <v>1</v>
      </c>
      <c r="G2932" s="37" t="s">
        <v>6864</v>
      </c>
      <c r="H2932" s="63">
        <v>9738.2999999999993</v>
      </c>
    </row>
    <row r="2933" spans="1:8" ht="24.75" customHeight="1">
      <c r="A2933" s="44" t="s">
        <v>2728</v>
      </c>
      <c r="B2933" s="45" t="s">
        <v>3611</v>
      </c>
      <c r="C2933" s="45" t="s">
        <v>6811</v>
      </c>
      <c r="D2933" s="45" t="s">
        <v>6812</v>
      </c>
      <c r="E2933" s="44" t="s">
        <v>956</v>
      </c>
      <c r="F2933" s="37">
        <v>1</v>
      </c>
      <c r="G2933" s="37" t="s">
        <v>6864</v>
      </c>
      <c r="H2933" s="63">
        <v>10181.6</v>
      </c>
    </row>
    <row r="2934" spans="1:8" ht="24.75" customHeight="1">
      <c r="A2934" s="44" t="s">
        <v>2721</v>
      </c>
      <c r="B2934" s="45" t="s">
        <v>3604</v>
      </c>
      <c r="C2934" s="45" t="s">
        <v>6811</v>
      </c>
      <c r="D2934" s="45" t="s">
        <v>6812</v>
      </c>
      <c r="E2934" s="44" t="s">
        <v>956</v>
      </c>
      <c r="F2934" s="37">
        <v>1</v>
      </c>
      <c r="G2934" s="37" t="s">
        <v>6864</v>
      </c>
      <c r="H2934" s="63">
        <v>7564.7</v>
      </c>
    </row>
    <row r="2935" spans="1:8" ht="24.75" customHeight="1">
      <c r="A2935" s="44" t="s">
        <v>2722</v>
      </c>
      <c r="B2935" s="45" t="s">
        <v>3605</v>
      </c>
      <c r="C2935" s="45" t="s">
        <v>6811</v>
      </c>
      <c r="D2935" s="45" t="s">
        <v>6812</v>
      </c>
      <c r="E2935" s="44" t="s">
        <v>956</v>
      </c>
      <c r="F2935" s="37">
        <v>1</v>
      </c>
      <c r="G2935" s="37" t="s">
        <v>6864</v>
      </c>
      <c r="H2935" s="63">
        <v>8122.4</v>
      </c>
    </row>
    <row r="2936" spans="1:8" ht="24.75" customHeight="1">
      <c r="A2936" s="44" t="s">
        <v>2723</v>
      </c>
      <c r="B2936" s="45" t="s">
        <v>3606</v>
      </c>
      <c r="C2936" s="45" t="s">
        <v>6811</v>
      </c>
      <c r="D2936" s="45" t="s">
        <v>6812</v>
      </c>
      <c r="E2936" s="44" t="s">
        <v>956</v>
      </c>
      <c r="F2936" s="37">
        <v>1</v>
      </c>
      <c r="G2936" s="37" t="s">
        <v>6864</v>
      </c>
      <c r="H2936" s="63">
        <v>8937.5</v>
      </c>
    </row>
    <row r="2937" spans="1:8" ht="24.75" customHeight="1">
      <c r="A2937" s="44" t="s">
        <v>2724</v>
      </c>
      <c r="B2937" s="45" t="s">
        <v>3607</v>
      </c>
      <c r="C2937" s="45" t="s">
        <v>6811</v>
      </c>
      <c r="D2937" s="45" t="s">
        <v>6812</v>
      </c>
      <c r="E2937" s="44" t="s">
        <v>956</v>
      </c>
      <c r="F2937" s="37">
        <v>1</v>
      </c>
      <c r="G2937" s="37" t="s">
        <v>6864</v>
      </c>
      <c r="H2937" s="63">
        <v>9366.5</v>
      </c>
    </row>
    <row r="2938" spans="1:8" ht="24.75" customHeight="1">
      <c r="A2938" s="44" t="s">
        <v>2729</v>
      </c>
      <c r="B2938" s="45" t="s">
        <v>3612</v>
      </c>
      <c r="C2938" s="45" t="s">
        <v>6811</v>
      </c>
      <c r="D2938" s="45" t="s">
        <v>6812</v>
      </c>
      <c r="E2938" s="44" t="s">
        <v>956</v>
      </c>
      <c r="F2938" s="37">
        <v>1</v>
      </c>
      <c r="G2938" s="37" t="s">
        <v>6864</v>
      </c>
      <c r="H2938" s="63">
        <v>23309</v>
      </c>
    </row>
    <row r="2939" spans="1:8" ht="24.75" customHeight="1">
      <c r="A2939" s="44" t="s">
        <v>2730</v>
      </c>
      <c r="B2939" s="45" t="s">
        <v>3613</v>
      </c>
      <c r="C2939" s="45" t="s">
        <v>6811</v>
      </c>
      <c r="D2939" s="45" t="s">
        <v>6812</v>
      </c>
      <c r="E2939" s="44" t="s">
        <v>956</v>
      </c>
      <c r="F2939" s="37">
        <v>1</v>
      </c>
      <c r="G2939" s="37" t="s">
        <v>6864</v>
      </c>
      <c r="H2939" s="63">
        <v>25010.7</v>
      </c>
    </row>
    <row r="2940" spans="1:8" ht="24.75" customHeight="1">
      <c r="A2940" s="44" t="s">
        <v>6876</v>
      </c>
      <c r="B2940" s="45" t="s">
        <v>6883</v>
      </c>
      <c r="C2940" s="46" t="s">
        <v>6811</v>
      </c>
      <c r="D2940" s="45" t="s">
        <v>6812</v>
      </c>
      <c r="E2940" s="44" t="s">
        <v>6839</v>
      </c>
      <c r="F2940" s="37">
        <v>1</v>
      </c>
      <c r="G2940" s="37" t="s">
        <v>6864</v>
      </c>
      <c r="H2940" s="63" t="e">
        <v>#N/A</v>
      </c>
    </row>
    <row r="2941" spans="1:8" ht="24.75" customHeight="1">
      <c r="A2941" s="44" t="s">
        <v>2383</v>
      </c>
      <c r="B2941" s="45" t="s">
        <v>4823</v>
      </c>
      <c r="C2941" s="45" t="s">
        <v>6811</v>
      </c>
      <c r="D2941" s="45" t="s">
        <v>6813</v>
      </c>
      <c r="E2941" s="44"/>
      <c r="F2941" s="37">
        <v>1</v>
      </c>
      <c r="G2941" s="37" t="s">
        <v>6864</v>
      </c>
      <c r="H2941" s="63">
        <v>7936.5</v>
      </c>
    </row>
    <row r="2942" spans="1:8" ht="24.75" customHeight="1">
      <c r="A2942" s="44" t="s">
        <v>913</v>
      </c>
      <c r="B2942" s="45" t="s">
        <v>4360</v>
      </c>
      <c r="C2942" s="45" t="s">
        <v>6811</v>
      </c>
      <c r="D2942" s="45" t="s">
        <v>6980</v>
      </c>
      <c r="E2942" s="44" t="s">
        <v>6840</v>
      </c>
      <c r="F2942" s="37">
        <v>1</v>
      </c>
      <c r="G2942" s="37" t="s">
        <v>6864</v>
      </c>
      <c r="H2942" s="63">
        <v>9581</v>
      </c>
    </row>
    <row r="2943" spans="1:8" ht="24.75" customHeight="1">
      <c r="A2943" s="44" t="s">
        <v>1522</v>
      </c>
      <c r="B2943" s="45" t="s">
        <v>4366</v>
      </c>
      <c r="C2943" s="45" t="s">
        <v>6811</v>
      </c>
      <c r="D2943" s="45" t="s">
        <v>6980</v>
      </c>
      <c r="E2943" s="44" t="s">
        <v>6840</v>
      </c>
      <c r="F2943" s="37">
        <v>1</v>
      </c>
      <c r="G2943" s="37" t="s">
        <v>6864</v>
      </c>
      <c r="H2943" s="63">
        <v>9681.1</v>
      </c>
    </row>
    <row r="2944" spans="1:8" ht="24.75" customHeight="1">
      <c r="A2944" s="44" t="s">
        <v>589</v>
      </c>
      <c r="B2944" s="45" t="s">
        <v>4349</v>
      </c>
      <c r="C2944" s="45" t="s">
        <v>6811</v>
      </c>
      <c r="D2944" s="45" t="s">
        <v>6980</v>
      </c>
      <c r="E2944" s="44" t="s">
        <v>6840</v>
      </c>
      <c r="F2944" s="37">
        <v>1</v>
      </c>
      <c r="G2944" s="37" t="s">
        <v>6864</v>
      </c>
      <c r="H2944" s="63">
        <v>8580</v>
      </c>
    </row>
    <row r="2945" spans="1:8" ht="24.75" customHeight="1">
      <c r="A2945" s="44" t="s">
        <v>590</v>
      </c>
      <c r="B2945" s="45" t="s">
        <v>4350</v>
      </c>
      <c r="C2945" s="45" t="s">
        <v>6811</v>
      </c>
      <c r="D2945" s="45" t="s">
        <v>6980</v>
      </c>
      <c r="E2945" s="44" t="s">
        <v>6840</v>
      </c>
      <c r="F2945" s="37">
        <v>1</v>
      </c>
      <c r="G2945" s="37" t="s">
        <v>6864</v>
      </c>
      <c r="H2945" s="63">
        <v>8108.1</v>
      </c>
    </row>
    <row r="2946" spans="1:8" ht="24.75" customHeight="1">
      <c r="A2946" s="44" t="s">
        <v>591</v>
      </c>
      <c r="B2946" s="45" t="s">
        <v>4351</v>
      </c>
      <c r="C2946" s="45" t="s">
        <v>6811</v>
      </c>
      <c r="D2946" s="45" t="s">
        <v>6980</v>
      </c>
      <c r="E2946" s="44" t="s">
        <v>6840</v>
      </c>
      <c r="F2946" s="37">
        <v>1</v>
      </c>
      <c r="G2946" s="37" t="s">
        <v>6864</v>
      </c>
      <c r="H2946" s="63">
        <v>9852.7000000000007</v>
      </c>
    </row>
    <row r="2947" spans="1:8" ht="24.75" customHeight="1">
      <c r="A2947" s="44" t="s">
        <v>1064</v>
      </c>
      <c r="B2947" s="45" t="s">
        <v>4343</v>
      </c>
      <c r="C2947" s="45" t="s">
        <v>6811</v>
      </c>
      <c r="D2947" s="45" t="s">
        <v>6980</v>
      </c>
      <c r="E2947" s="44" t="s">
        <v>6840</v>
      </c>
      <c r="F2947" s="37">
        <v>1</v>
      </c>
      <c r="G2947" s="37" t="s">
        <v>6864</v>
      </c>
      <c r="H2947" s="63">
        <v>8594.2999999999993</v>
      </c>
    </row>
    <row r="2948" spans="1:8" ht="24.75" customHeight="1">
      <c r="A2948" s="44" t="s">
        <v>1067</v>
      </c>
      <c r="B2948" s="45" t="s">
        <v>4346</v>
      </c>
      <c r="C2948" s="45" t="s">
        <v>6811</v>
      </c>
      <c r="D2948" s="45" t="s">
        <v>6980</v>
      </c>
      <c r="E2948" s="44" t="s">
        <v>6840</v>
      </c>
      <c r="F2948" s="37">
        <v>1</v>
      </c>
      <c r="G2948" s="37" t="s">
        <v>6864</v>
      </c>
      <c r="H2948" s="63">
        <v>9223.5</v>
      </c>
    </row>
    <row r="2949" spans="1:8" ht="24.75" customHeight="1">
      <c r="A2949" s="44" t="s">
        <v>592</v>
      </c>
      <c r="B2949" s="45" t="s">
        <v>4352</v>
      </c>
      <c r="C2949" s="45" t="s">
        <v>6811</v>
      </c>
      <c r="D2949" s="45" t="s">
        <v>6980</v>
      </c>
      <c r="E2949" s="44" t="s">
        <v>6840</v>
      </c>
      <c r="F2949" s="37">
        <v>1</v>
      </c>
      <c r="G2949" s="37" t="s">
        <v>6864</v>
      </c>
      <c r="H2949" s="63">
        <v>14729</v>
      </c>
    </row>
    <row r="2950" spans="1:8" ht="24.75" customHeight="1">
      <c r="A2950" s="44" t="s">
        <v>911</v>
      </c>
      <c r="B2950" s="45" t="s">
        <v>4358</v>
      </c>
      <c r="C2950" s="45" t="s">
        <v>6811</v>
      </c>
      <c r="D2950" s="45" t="s">
        <v>6980</v>
      </c>
      <c r="E2950" s="44" t="s">
        <v>6840</v>
      </c>
      <c r="F2950" s="37">
        <v>1</v>
      </c>
      <c r="G2950" s="37" t="s">
        <v>6864</v>
      </c>
      <c r="H2950" s="63">
        <v>10467.6</v>
      </c>
    </row>
    <row r="2951" spans="1:8" ht="24.75" customHeight="1">
      <c r="A2951" s="44" t="s">
        <v>593</v>
      </c>
      <c r="B2951" s="45" t="s">
        <v>4353</v>
      </c>
      <c r="C2951" s="45" t="s">
        <v>6811</v>
      </c>
      <c r="D2951" s="45" t="s">
        <v>6980</v>
      </c>
      <c r="E2951" s="44" t="s">
        <v>6840</v>
      </c>
      <c r="F2951" s="37">
        <v>1</v>
      </c>
      <c r="G2951" s="37" t="s">
        <v>6864</v>
      </c>
      <c r="H2951" s="63">
        <v>13813.8</v>
      </c>
    </row>
    <row r="2952" spans="1:8" ht="24.75" customHeight="1">
      <c r="A2952" s="44" t="s">
        <v>914</v>
      </c>
      <c r="B2952" s="45" t="s">
        <v>4361</v>
      </c>
      <c r="C2952" s="45" t="s">
        <v>6811</v>
      </c>
      <c r="D2952" s="45" t="s">
        <v>6980</v>
      </c>
      <c r="E2952" s="44" t="s">
        <v>6840</v>
      </c>
      <c r="F2952" s="37">
        <v>1</v>
      </c>
      <c r="G2952" s="37" t="s">
        <v>6864</v>
      </c>
      <c r="H2952" s="63">
        <v>9409.4</v>
      </c>
    </row>
    <row r="2953" spans="1:8" ht="24.75" customHeight="1">
      <c r="A2953" s="44" t="s">
        <v>909</v>
      </c>
      <c r="B2953" s="45" t="s">
        <v>4356</v>
      </c>
      <c r="C2953" s="45" t="s">
        <v>6811</v>
      </c>
      <c r="D2953" s="45" t="s">
        <v>6980</v>
      </c>
      <c r="E2953" s="44" t="s">
        <v>6840</v>
      </c>
      <c r="F2953" s="37">
        <v>1</v>
      </c>
      <c r="G2953" s="37" t="s">
        <v>6864</v>
      </c>
      <c r="H2953" s="63">
        <v>10467.6</v>
      </c>
    </row>
    <row r="2954" spans="1:8" ht="24.75" customHeight="1">
      <c r="A2954" s="44" t="s">
        <v>910</v>
      </c>
      <c r="B2954" s="45" t="s">
        <v>4357</v>
      </c>
      <c r="C2954" s="45" t="s">
        <v>6811</v>
      </c>
      <c r="D2954" s="45" t="s">
        <v>6980</v>
      </c>
      <c r="E2954" s="44" t="s">
        <v>6840</v>
      </c>
      <c r="F2954" s="37">
        <v>1</v>
      </c>
      <c r="G2954" s="37" t="s">
        <v>6864</v>
      </c>
      <c r="H2954" s="63">
        <v>10138.700000000001</v>
      </c>
    </row>
    <row r="2955" spans="1:8" ht="24.75" customHeight="1">
      <c r="A2955" s="44" t="s">
        <v>1521</v>
      </c>
      <c r="B2955" s="45" t="s">
        <v>4365</v>
      </c>
      <c r="C2955" s="45" t="s">
        <v>6811</v>
      </c>
      <c r="D2955" s="45" t="s">
        <v>6980</v>
      </c>
      <c r="E2955" s="44" t="s">
        <v>6840</v>
      </c>
      <c r="F2955" s="37">
        <v>1</v>
      </c>
      <c r="G2955" s="37" t="s">
        <v>6864</v>
      </c>
      <c r="H2955" s="63">
        <v>13942.5</v>
      </c>
    </row>
    <row r="2956" spans="1:8" ht="24.75" customHeight="1">
      <c r="A2956" s="44" t="s">
        <v>545</v>
      </c>
      <c r="B2956" s="45" t="s">
        <v>4348</v>
      </c>
      <c r="C2956" s="45" t="s">
        <v>6811</v>
      </c>
      <c r="D2956" s="45" t="s">
        <v>6980</v>
      </c>
      <c r="E2956" s="44" t="s">
        <v>6840</v>
      </c>
      <c r="F2956" s="37">
        <v>1</v>
      </c>
      <c r="G2956" s="37" t="s">
        <v>6864</v>
      </c>
      <c r="H2956" s="63">
        <v>8580</v>
      </c>
    </row>
    <row r="2957" spans="1:8" ht="24.75" customHeight="1">
      <c r="A2957" s="44" t="s">
        <v>912</v>
      </c>
      <c r="B2957" s="45" t="s">
        <v>4359</v>
      </c>
      <c r="C2957" s="45" t="s">
        <v>6811</v>
      </c>
      <c r="D2957" s="45" t="s">
        <v>6980</v>
      </c>
      <c r="E2957" s="44" t="s">
        <v>6840</v>
      </c>
      <c r="F2957" s="37">
        <v>1</v>
      </c>
      <c r="G2957" s="37" t="s">
        <v>6864</v>
      </c>
      <c r="H2957" s="63">
        <v>14943.5</v>
      </c>
    </row>
    <row r="2958" spans="1:8" ht="24.75" customHeight="1">
      <c r="A2958" s="44" t="s">
        <v>594</v>
      </c>
      <c r="B2958" s="45" t="s">
        <v>4354</v>
      </c>
      <c r="C2958" s="45" t="s">
        <v>6811</v>
      </c>
      <c r="D2958" s="45" t="s">
        <v>6980</v>
      </c>
      <c r="E2958" s="44" t="s">
        <v>6840</v>
      </c>
      <c r="F2958" s="37">
        <v>1</v>
      </c>
      <c r="G2958" s="37" t="s">
        <v>6864</v>
      </c>
      <c r="H2958" s="63">
        <v>17388.8</v>
      </c>
    </row>
    <row r="2959" spans="1:8" ht="24.75" customHeight="1">
      <c r="A2959" s="44" t="s">
        <v>915</v>
      </c>
      <c r="B2959" s="45" t="s">
        <v>4362</v>
      </c>
      <c r="C2959" s="45" t="s">
        <v>6811</v>
      </c>
      <c r="D2959" s="45" t="s">
        <v>6980</v>
      </c>
      <c r="E2959" s="44" t="s">
        <v>6840</v>
      </c>
      <c r="F2959" s="37">
        <v>1</v>
      </c>
      <c r="G2959" s="37" t="s">
        <v>6864</v>
      </c>
      <c r="H2959" s="63">
        <v>9466.6</v>
      </c>
    </row>
    <row r="2960" spans="1:8" ht="24.75" customHeight="1">
      <c r="A2960" s="44" t="s">
        <v>1065</v>
      </c>
      <c r="B2960" s="45" t="s">
        <v>4344</v>
      </c>
      <c r="C2960" s="45" t="s">
        <v>6811</v>
      </c>
      <c r="D2960" s="45" t="s">
        <v>6980</v>
      </c>
      <c r="E2960" s="44" t="s">
        <v>6840</v>
      </c>
      <c r="F2960" s="37">
        <v>1</v>
      </c>
      <c r="G2960" s="37" t="s">
        <v>6864</v>
      </c>
      <c r="H2960" s="63">
        <v>9309.2999999999993</v>
      </c>
    </row>
    <row r="2961" spans="1:8" ht="24.75" customHeight="1">
      <c r="A2961" s="44" t="s">
        <v>1066</v>
      </c>
      <c r="B2961" s="45" t="s">
        <v>4345</v>
      </c>
      <c r="C2961" s="45" t="s">
        <v>6811</v>
      </c>
      <c r="D2961" s="45" t="s">
        <v>6980</v>
      </c>
      <c r="E2961" s="44" t="s">
        <v>6840</v>
      </c>
      <c r="F2961" s="37">
        <v>1</v>
      </c>
      <c r="G2961" s="37" t="s">
        <v>6864</v>
      </c>
      <c r="H2961" s="63">
        <v>9752.6</v>
      </c>
    </row>
    <row r="2962" spans="1:8" ht="24.75" customHeight="1">
      <c r="A2962" s="44" t="s">
        <v>544</v>
      </c>
      <c r="B2962" s="45" t="s">
        <v>4347</v>
      </c>
      <c r="C2962" s="45" t="s">
        <v>6811</v>
      </c>
      <c r="D2962" s="45" t="s">
        <v>6980</v>
      </c>
      <c r="E2962" s="44" t="s">
        <v>6840</v>
      </c>
      <c r="F2962" s="37">
        <v>1</v>
      </c>
      <c r="G2962" s="37" t="s">
        <v>6864</v>
      </c>
      <c r="H2962" s="63">
        <v>8866</v>
      </c>
    </row>
    <row r="2963" spans="1:8" ht="24.75" customHeight="1">
      <c r="A2963" s="44" t="s">
        <v>1519</v>
      </c>
      <c r="B2963" s="45" t="s">
        <v>4363</v>
      </c>
      <c r="C2963" s="45" t="s">
        <v>6811</v>
      </c>
      <c r="D2963" s="45" t="s">
        <v>6980</v>
      </c>
      <c r="E2963" s="44" t="s">
        <v>6840</v>
      </c>
      <c r="F2963" s="37">
        <v>1</v>
      </c>
      <c r="G2963" s="37" t="s">
        <v>6864</v>
      </c>
      <c r="H2963" s="63">
        <v>11354.2</v>
      </c>
    </row>
    <row r="2964" spans="1:8" ht="24.75" customHeight="1">
      <c r="A2964" s="44" t="s">
        <v>1520</v>
      </c>
      <c r="B2964" s="45" t="s">
        <v>4364</v>
      </c>
      <c r="C2964" s="45" t="s">
        <v>6811</v>
      </c>
      <c r="D2964" s="45" t="s">
        <v>6980</v>
      </c>
      <c r="E2964" s="44" t="s">
        <v>6840</v>
      </c>
      <c r="F2964" s="37">
        <v>1</v>
      </c>
      <c r="G2964" s="37" t="s">
        <v>6864</v>
      </c>
      <c r="H2964" s="63">
        <v>21192.6</v>
      </c>
    </row>
    <row r="2965" spans="1:8" ht="24.75" customHeight="1">
      <c r="A2965" s="44" t="s">
        <v>908</v>
      </c>
      <c r="B2965" s="45" t="s">
        <v>4355</v>
      </c>
      <c r="C2965" s="45" t="s">
        <v>6811</v>
      </c>
      <c r="D2965" s="45" t="s">
        <v>6980</v>
      </c>
      <c r="E2965" s="44" t="s">
        <v>6840</v>
      </c>
      <c r="F2965" s="37">
        <v>1</v>
      </c>
      <c r="G2965" s="37" t="s">
        <v>6864</v>
      </c>
      <c r="H2965" s="63">
        <v>9995.7000000000007</v>
      </c>
    </row>
    <row r="2966" spans="1:8" ht="24.75" customHeight="1">
      <c r="A2966" s="44" t="s">
        <v>6908</v>
      </c>
      <c r="B2966" s="45" t="s">
        <v>6909</v>
      </c>
      <c r="C2966" s="45" t="s">
        <v>6811</v>
      </c>
      <c r="D2966" s="45" t="s">
        <v>6981</v>
      </c>
      <c r="E2966" s="44" t="s">
        <v>6840</v>
      </c>
      <c r="F2966" s="37">
        <v>1</v>
      </c>
      <c r="G2966" s="60" t="s">
        <v>6864</v>
      </c>
      <c r="H2966" s="63">
        <v>19176.3</v>
      </c>
    </row>
    <row r="2967" spans="1:8" ht="24.75" customHeight="1">
      <c r="A2967" s="44" t="s">
        <v>6910</v>
      </c>
      <c r="B2967" s="45" t="s">
        <v>6911</v>
      </c>
      <c r="C2967" s="45" t="s">
        <v>6811</v>
      </c>
      <c r="D2967" s="45" t="s">
        <v>6981</v>
      </c>
      <c r="E2967" s="44" t="s">
        <v>6840</v>
      </c>
      <c r="F2967" s="37">
        <v>1</v>
      </c>
      <c r="G2967" s="60" t="s">
        <v>6864</v>
      </c>
      <c r="H2967" s="63">
        <v>16773.900000000001</v>
      </c>
    </row>
    <row r="2968" spans="1:8" ht="24.75" customHeight="1">
      <c r="A2968" s="44" t="s">
        <v>6912</v>
      </c>
      <c r="B2968" s="45" t="s">
        <v>6913</v>
      </c>
      <c r="C2968" s="45" t="s">
        <v>6811</v>
      </c>
      <c r="D2968" s="45" t="s">
        <v>6981</v>
      </c>
      <c r="E2968" s="44" t="s">
        <v>6840</v>
      </c>
      <c r="F2968" s="37">
        <v>1</v>
      </c>
      <c r="G2968" s="60" t="s">
        <v>6864</v>
      </c>
      <c r="H2968" s="63">
        <v>17217.2</v>
      </c>
    </row>
    <row r="2969" spans="1:8" ht="24.75" customHeight="1">
      <c r="A2969" s="44" t="s">
        <v>6914</v>
      </c>
      <c r="B2969" s="45" t="s">
        <v>6915</v>
      </c>
      <c r="C2969" s="45" t="s">
        <v>6811</v>
      </c>
      <c r="D2969" s="45" t="s">
        <v>6981</v>
      </c>
      <c r="E2969" s="44" t="s">
        <v>6840</v>
      </c>
      <c r="F2969" s="37">
        <v>1</v>
      </c>
      <c r="G2969" s="60" t="s">
        <v>6864</v>
      </c>
      <c r="H2969" s="63">
        <v>17217.2</v>
      </c>
    </row>
    <row r="2970" spans="1:8" ht="24.75" customHeight="1">
      <c r="A2970" s="44" t="s">
        <v>6916</v>
      </c>
      <c r="B2970" s="45" t="s">
        <v>6917</v>
      </c>
      <c r="C2970" s="45" t="s">
        <v>6811</v>
      </c>
      <c r="D2970" s="45" t="s">
        <v>6981</v>
      </c>
      <c r="E2970" s="44" t="s">
        <v>6840</v>
      </c>
      <c r="F2970" s="37">
        <v>1</v>
      </c>
      <c r="G2970" s="60" t="s">
        <v>6864</v>
      </c>
      <c r="H2970" s="63">
        <v>16902.599999999999</v>
      </c>
    </row>
    <row r="2971" spans="1:8" ht="24.75" customHeight="1">
      <c r="A2971" s="44" t="s">
        <v>6918</v>
      </c>
      <c r="B2971" s="45" t="s">
        <v>6919</v>
      </c>
      <c r="C2971" s="45" t="s">
        <v>6811</v>
      </c>
      <c r="D2971" s="45" t="s">
        <v>6981</v>
      </c>
      <c r="E2971" s="44" t="s">
        <v>6840</v>
      </c>
      <c r="F2971" s="37">
        <v>1</v>
      </c>
      <c r="G2971" s="60" t="s">
        <v>6864</v>
      </c>
      <c r="H2971" s="63">
        <v>18518.5</v>
      </c>
    </row>
    <row r="2972" spans="1:8" ht="24.75" customHeight="1">
      <c r="A2972" s="44" t="s">
        <v>6920</v>
      </c>
      <c r="B2972" s="45" t="s">
        <v>6921</v>
      </c>
      <c r="C2972" s="45" t="s">
        <v>6811</v>
      </c>
      <c r="D2972" s="45" t="s">
        <v>6981</v>
      </c>
      <c r="E2972" s="44" t="s">
        <v>6840</v>
      </c>
      <c r="F2972" s="37">
        <v>1</v>
      </c>
      <c r="G2972" s="60" t="s">
        <v>6864</v>
      </c>
      <c r="H2972" s="63">
        <v>24195.599999999999</v>
      </c>
    </row>
    <row r="2973" spans="1:8" ht="24.75" customHeight="1">
      <c r="A2973" s="44" t="s">
        <v>6922</v>
      </c>
      <c r="B2973" s="45" t="s">
        <v>6923</v>
      </c>
      <c r="C2973" s="45" t="s">
        <v>6811</v>
      </c>
      <c r="D2973" s="45" t="s">
        <v>6981</v>
      </c>
      <c r="E2973" s="44" t="s">
        <v>6840</v>
      </c>
      <c r="F2973" s="37">
        <v>1</v>
      </c>
      <c r="G2973" s="60" t="s">
        <v>6864</v>
      </c>
      <c r="H2973" s="63">
        <v>19262.099999999999</v>
      </c>
    </row>
    <row r="2974" spans="1:8" ht="24.75" customHeight="1">
      <c r="A2974" s="44" t="s">
        <v>6924</v>
      </c>
      <c r="B2974" s="45" t="s">
        <v>6925</v>
      </c>
      <c r="C2974" s="45" t="s">
        <v>6811</v>
      </c>
      <c r="D2974" s="45" t="s">
        <v>6981</v>
      </c>
      <c r="E2974" s="44" t="s">
        <v>6840</v>
      </c>
      <c r="F2974" s="37">
        <v>1</v>
      </c>
      <c r="G2974" s="60" t="s">
        <v>6864</v>
      </c>
      <c r="H2974" s="63">
        <v>20148.7</v>
      </c>
    </row>
    <row r="2975" spans="1:8" ht="24.75" customHeight="1">
      <c r="A2975" s="44" t="s">
        <v>6926</v>
      </c>
      <c r="B2975" s="45" t="s">
        <v>6927</v>
      </c>
      <c r="C2975" s="45" t="s">
        <v>6811</v>
      </c>
      <c r="D2975" s="45" t="s">
        <v>6981</v>
      </c>
      <c r="E2975" s="44" t="s">
        <v>6840</v>
      </c>
      <c r="F2975" s="37">
        <v>1</v>
      </c>
      <c r="G2975" s="60" t="s">
        <v>6864</v>
      </c>
      <c r="H2975" s="63">
        <v>18904.599999999999</v>
      </c>
    </row>
    <row r="2976" spans="1:8" ht="24.75" customHeight="1">
      <c r="A2976" s="44" t="s">
        <v>6928</v>
      </c>
      <c r="B2976" s="45" t="s">
        <v>6929</v>
      </c>
      <c r="C2976" s="45" t="s">
        <v>6811</v>
      </c>
      <c r="D2976" s="45" t="s">
        <v>6981</v>
      </c>
      <c r="E2976" s="44" t="s">
        <v>6840</v>
      </c>
      <c r="F2976" s="37">
        <v>1</v>
      </c>
      <c r="G2976" s="60" t="s">
        <v>6864</v>
      </c>
      <c r="H2976" s="63">
        <v>18675.8</v>
      </c>
    </row>
    <row r="2977" spans="1:8" ht="24.75" customHeight="1">
      <c r="A2977" s="44" t="s">
        <v>6930</v>
      </c>
      <c r="B2977" s="45" t="s">
        <v>6931</v>
      </c>
      <c r="C2977" s="45" t="s">
        <v>6811</v>
      </c>
      <c r="D2977" s="45" t="s">
        <v>6981</v>
      </c>
      <c r="E2977" s="44" t="s">
        <v>6840</v>
      </c>
      <c r="F2977" s="37">
        <v>1</v>
      </c>
      <c r="G2977" s="60" t="s">
        <v>6864</v>
      </c>
      <c r="H2977" s="63">
        <v>23895.3</v>
      </c>
    </row>
    <row r="2978" spans="1:8" ht="24.75" customHeight="1">
      <c r="A2978" s="44" t="s">
        <v>6932</v>
      </c>
      <c r="B2978" s="45" t="s">
        <v>6933</v>
      </c>
      <c r="C2978" s="45" t="s">
        <v>6811</v>
      </c>
      <c r="D2978" s="45" t="s">
        <v>6981</v>
      </c>
      <c r="E2978" s="44" t="s">
        <v>6840</v>
      </c>
      <c r="F2978" s="37">
        <v>1</v>
      </c>
      <c r="G2978" s="60" t="s">
        <v>6864</v>
      </c>
      <c r="H2978" s="63">
        <v>20935.2</v>
      </c>
    </row>
    <row r="2979" spans="1:8" ht="24.75" customHeight="1">
      <c r="A2979" s="44" t="s">
        <v>6934</v>
      </c>
      <c r="B2979" s="45" t="s">
        <v>6935</v>
      </c>
      <c r="C2979" s="45" t="s">
        <v>6811</v>
      </c>
      <c r="D2979" s="45" t="s">
        <v>6981</v>
      </c>
      <c r="E2979" s="44" t="s">
        <v>6840</v>
      </c>
      <c r="F2979" s="37">
        <v>1</v>
      </c>
      <c r="G2979" s="60" t="s">
        <v>6864</v>
      </c>
      <c r="H2979" s="63">
        <v>19891.3</v>
      </c>
    </row>
    <row r="2980" spans="1:8" ht="24.75" customHeight="1">
      <c r="A2980" s="44" t="s">
        <v>6936</v>
      </c>
      <c r="B2980" s="45" t="s">
        <v>6937</v>
      </c>
      <c r="C2980" s="45" t="s">
        <v>6811</v>
      </c>
      <c r="D2980" s="45" t="s">
        <v>6981</v>
      </c>
      <c r="E2980" s="44" t="s">
        <v>6840</v>
      </c>
      <c r="F2980" s="37">
        <v>1</v>
      </c>
      <c r="G2980" s="60" t="s">
        <v>6864</v>
      </c>
      <c r="H2980" s="63">
        <v>19776.900000000001</v>
      </c>
    </row>
    <row r="2981" spans="1:8" ht="24.75" customHeight="1">
      <c r="A2981" s="44" t="s">
        <v>6938</v>
      </c>
      <c r="B2981" s="45" t="s">
        <v>6939</v>
      </c>
      <c r="C2981" s="45" t="s">
        <v>6811</v>
      </c>
      <c r="D2981" s="45" t="s">
        <v>6981</v>
      </c>
      <c r="E2981" s="44" t="s">
        <v>6840</v>
      </c>
      <c r="F2981" s="37">
        <v>1</v>
      </c>
      <c r="G2981" s="60" t="s">
        <v>6864</v>
      </c>
      <c r="H2981" s="63">
        <v>19262.099999999999</v>
      </c>
    </row>
    <row r="2982" spans="1:8" ht="24.75" customHeight="1">
      <c r="A2982" s="44" t="s">
        <v>6940</v>
      </c>
      <c r="B2982" s="45" t="s">
        <v>6941</v>
      </c>
      <c r="C2982" s="45" t="s">
        <v>6811</v>
      </c>
      <c r="D2982" s="45" t="s">
        <v>6981</v>
      </c>
      <c r="E2982" s="44" t="s">
        <v>6840</v>
      </c>
      <c r="F2982" s="37">
        <v>1</v>
      </c>
      <c r="G2982" s="60" t="s">
        <v>6864</v>
      </c>
      <c r="H2982" s="63">
        <v>16487.900000000001</v>
      </c>
    </row>
    <row r="2983" spans="1:8" ht="24.75" customHeight="1">
      <c r="A2983" s="44" t="s">
        <v>6942</v>
      </c>
      <c r="B2983" s="45" t="s">
        <v>6943</v>
      </c>
      <c r="C2983" s="45" t="s">
        <v>6811</v>
      </c>
      <c r="D2983" s="45" t="s">
        <v>6981</v>
      </c>
      <c r="E2983" s="44" t="s">
        <v>6840</v>
      </c>
      <c r="F2983" s="37">
        <v>1</v>
      </c>
      <c r="G2983" s="60" t="s">
        <v>6864</v>
      </c>
      <c r="H2983" s="63">
        <v>22408.1</v>
      </c>
    </row>
    <row r="2984" spans="1:8" ht="24.75" customHeight="1">
      <c r="A2984" s="44" t="s">
        <v>6944</v>
      </c>
      <c r="B2984" s="45" t="s">
        <v>6945</v>
      </c>
      <c r="C2984" s="45" t="s">
        <v>6811</v>
      </c>
      <c r="D2984" s="45" t="s">
        <v>6981</v>
      </c>
      <c r="E2984" s="44" t="s">
        <v>6840</v>
      </c>
      <c r="F2984" s="37">
        <v>1</v>
      </c>
      <c r="G2984" s="60" t="s">
        <v>6864</v>
      </c>
      <c r="H2984" s="63">
        <v>21950.5</v>
      </c>
    </row>
    <row r="2985" spans="1:8" ht="24.75" customHeight="1">
      <c r="A2985" s="44" t="s">
        <v>6946</v>
      </c>
      <c r="B2985" s="45" t="s">
        <v>6947</v>
      </c>
      <c r="C2985" s="45" t="s">
        <v>6811</v>
      </c>
      <c r="D2985" s="45" t="s">
        <v>6981</v>
      </c>
      <c r="E2985" s="44" t="s">
        <v>6840</v>
      </c>
      <c r="F2985" s="37">
        <v>1</v>
      </c>
      <c r="G2985" s="60" t="s">
        <v>6864</v>
      </c>
      <c r="H2985" s="63">
        <v>21793.200000000001</v>
      </c>
    </row>
    <row r="2986" spans="1:8" ht="24.75" customHeight="1">
      <c r="A2986" s="44" t="s">
        <v>6948</v>
      </c>
      <c r="B2986" s="45" t="s">
        <v>6949</v>
      </c>
      <c r="C2986" s="45" t="s">
        <v>6811</v>
      </c>
      <c r="D2986" s="45" t="s">
        <v>6981</v>
      </c>
      <c r="E2986" s="44" t="s">
        <v>6840</v>
      </c>
      <c r="F2986" s="37">
        <v>1</v>
      </c>
      <c r="G2986" s="60" t="s">
        <v>6864</v>
      </c>
      <c r="H2986" s="63">
        <v>18032.3</v>
      </c>
    </row>
    <row r="2987" spans="1:8" ht="24.75" customHeight="1">
      <c r="A2987" s="44" t="s">
        <v>6950</v>
      </c>
      <c r="B2987" s="45" t="s">
        <v>6951</v>
      </c>
      <c r="C2987" s="45" t="s">
        <v>6811</v>
      </c>
      <c r="D2987" s="45" t="s">
        <v>6981</v>
      </c>
      <c r="E2987" s="44" t="s">
        <v>6840</v>
      </c>
      <c r="F2987" s="37">
        <v>1</v>
      </c>
      <c r="G2987" s="60" t="s">
        <v>6864</v>
      </c>
      <c r="H2987" s="63">
        <v>18818.8</v>
      </c>
    </row>
    <row r="2988" spans="1:8" ht="24.75" customHeight="1">
      <c r="A2988" s="44" t="s">
        <v>6952</v>
      </c>
      <c r="B2988" s="45" t="s">
        <v>6953</v>
      </c>
      <c r="C2988" s="45" t="s">
        <v>6811</v>
      </c>
      <c r="D2988" s="45" t="s">
        <v>6981</v>
      </c>
      <c r="E2988" s="44" t="s">
        <v>6840</v>
      </c>
      <c r="F2988" s="37">
        <v>1</v>
      </c>
      <c r="G2988" s="60" t="s">
        <v>6864</v>
      </c>
      <c r="H2988" s="63">
        <v>18075.2</v>
      </c>
    </row>
    <row r="2989" spans="1:8" ht="24.75" customHeight="1">
      <c r="A2989" s="44" t="s">
        <v>2681</v>
      </c>
      <c r="B2989" s="45" t="s">
        <v>6368</v>
      </c>
      <c r="C2989" s="45" t="s">
        <v>6811</v>
      </c>
      <c r="D2989" s="45" t="s">
        <v>6814</v>
      </c>
      <c r="E2989" s="44" t="s">
        <v>956</v>
      </c>
      <c r="F2989" s="37">
        <v>1</v>
      </c>
      <c r="G2989" s="37" t="s">
        <v>6864</v>
      </c>
      <c r="H2989" s="63">
        <v>5991.7</v>
      </c>
    </row>
    <row r="2990" spans="1:8" ht="24.75" customHeight="1">
      <c r="A2990" s="44" t="s">
        <v>2682</v>
      </c>
      <c r="B2990" s="45" t="s">
        <v>4368</v>
      </c>
      <c r="C2990" s="45" t="s">
        <v>6811</v>
      </c>
      <c r="D2990" s="45" t="s">
        <v>6814</v>
      </c>
      <c r="E2990" s="44" t="s">
        <v>956</v>
      </c>
      <c r="F2990" s="37">
        <v>1</v>
      </c>
      <c r="G2990" s="37" t="s">
        <v>6864</v>
      </c>
      <c r="H2990" s="63">
        <v>5419.7</v>
      </c>
    </row>
    <row r="2991" spans="1:8" ht="24.75" customHeight="1">
      <c r="A2991" s="44" t="s">
        <v>2680</v>
      </c>
      <c r="B2991" s="45" t="s">
        <v>4373</v>
      </c>
      <c r="C2991" s="45" t="s">
        <v>6811</v>
      </c>
      <c r="D2991" s="45" t="s">
        <v>6814</v>
      </c>
      <c r="E2991" s="44" t="s">
        <v>956</v>
      </c>
      <c r="F2991" s="37">
        <v>1</v>
      </c>
      <c r="G2991" s="37" t="s">
        <v>6864</v>
      </c>
      <c r="H2991" s="63">
        <v>5991.7</v>
      </c>
    </row>
    <row r="2992" spans="1:8" ht="24.75" customHeight="1">
      <c r="A2992" s="44" t="s">
        <v>2684</v>
      </c>
      <c r="B2992" s="45" t="s">
        <v>4379</v>
      </c>
      <c r="C2992" s="45" t="s">
        <v>6811</v>
      </c>
      <c r="D2992" s="45" t="s">
        <v>6814</v>
      </c>
      <c r="E2992" s="44" t="s">
        <v>956</v>
      </c>
      <c r="F2992" s="37">
        <v>1</v>
      </c>
      <c r="G2992" s="37" t="s">
        <v>6864</v>
      </c>
      <c r="H2992" s="63">
        <v>5419.7</v>
      </c>
    </row>
    <row r="2993" spans="1:8" ht="24.75" customHeight="1">
      <c r="A2993" s="44" t="s">
        <v>2688</v>
      </c>
      <c r="B2993" s="45" t="s">
        <v>4370</v>
      </c>
      <c r="C2993" s="45" t="s">
        <v>6811</v>
      </c>
      <c r="D2993" s="45" t="s">
        <v>6814</v>
      </c>
      <c r="E2993" s="44" t="s">
        <v>956</v>
      </c>
      <c r="F2993" s="37">
        <v>1</v>
      </c>
      <c r="G2993" s="37" t="s">
        <v>6864</v>
      </c>
      <c r="H2993" s="63">
        <v>6063.2</v>
      </c>
    </row>
    <row r="2994" spans="1:8" ht="24.75" customHeight="1">
      <c r="A2994" s="44" t="s">
        <v>2686</v>
      </c>
      <c r="B2994" s="45" t="s">
        <v>4369</v>
      </c>
      <c r="C2994" s="45" t="s">
        <v>6811</v>
      </c>
      <c r="D2994" s="45" t="s">
        <v>6814</v>
      </c>
      <c r="E2994" s="44" t="s">
        <v>956</v>
      </c>
      <c r="F2994" s="37">
        <v>1</v>
      </c>
      <c r="G2994" s="37" t="s">
        <v>6864</v>
      </c>
      <c r="H2994" s="63">
        <v>5577</v>
      </c>
    </row>
    <row r="2995" spans="1:8" ht="24.75" customHeight="1">
      <c r="A2995" s="44" t="s">
        <v>2701</v>
      </c>
      <c r="B2995" s="45" t="s">
        <v>4371</v>
      </c>
      <c r="C2995" s="45" t="s">
        <v>6811</v>
      </c>
      <c r="D2995" s="45" t="s">
        <v>6814</v>
      </c>
      <c r="E2995" s="44" t="s">
        <v>956</v>
      </c>
      <c r="F2995" s="37">
        <v>1</v>
      </c>
      <c r="G2995" s="37" t="s">
        <v>6864</v>
      </c>
      <c r="H2995" s="63">
        <v>6234.8</v>
      </c>
    </row>
    <row r="2996" spans="1:8" ht="24.75" customHeight="1">
      <c r="A2996" s="44" t="s">
        <v>2714</v>
      </c>
      <c r="B2996" s="45" t="s">
        <v>4372</v>
      </c>
      <c r="C2996" s="45" t="s">
        <v>6811</v>
      </c>
      <c r="D2996" s="45" t="s">
        <v>6814</v>
      </c>
      <c r="E2996" s="44" t="s">
        <v>956</v>
      </c>
      <c r="F2996" s="37">
        <v>1</v>
      </c>
      <c r="G2996" s="37" t="s">
        <v>6864</v>
      </c>
      <c r="H2996" s="63">
        <v>6234.8</v>
      </c>
    </row>
    <row r="2997" spans="1:8" ht="24.75" customHeight="1">
      <c r="A2997" s="44" t="s">
        <v>3160</v>
      </c>
      <c r="B2997" s="45" t="s">
        <v>4404</v>
      </c>
      <c r="C2997" s="45" t="s">
        <v>6811</v>
      </c>
      <c r="D2997" s="45" t="s">
        <v>6814</v>
      </c>
      <c r="E2997" s="44" t="s">
        <v>956</v>
      </c>
      <c r="F2997" s="37">
        <v>1</v>
      </c>
      <c r="G2997" s="37" t="s">
        <v>6864</v>
      </c>
      <c r="H2997" s="63">
        <v>9323.6</v>
      </c>
    </row>
    <row r="2998" spans="1:8" ht="24.75" customHeight="1">
      <c r="A2998" s="44" t="s">
        <v>2703</v>
      </c>
      <c r="B2998" s="45" t="s">
        <v>4391</v>
      </c>
      <c r="C2998" s="45" t="s">
        <v>6811</v>
      </c>
      <c r="D2998" s="45" t="s">
        <v>6814</v>
      </c>
      <c r="E2998" s="44" t="s">
        <v>956</v>
      </c>
      <c r="F2998" s="37">
        <v>1</v>
      </c>
      <c r="G2998" s="37" t="s">
        <v>6864</v>
      </c>
      <c r="H2998" s="63">
        <v>9881.2999999999993</v>
      </c>
    </row>
    <row r="2999" spans="1:8" ht="24.75" customHeight="1">
      <c r="A2999" s="44" t="s">
        <v>2679</v>
      </c>
      <c r="B2999" s="45" t="s">
        <v>4367</v>
      </c>
      <c r="C2999" s="45" t="s">
        <v>6811</v>
      </c>
      <c r="D2999" s="45" t="s">
        <v>6814</v>
      </c>
      <c r="E2999" s="44" t="s">
        <v>956</v>
      </c>
      <c r="F2999" s="37">
        <v>1</v>
      </c>
      <c r="G2999" s="37" t="s">
        <v>6864</v>
      </c>
      <c r="H2999" s="63">
        <v>6249.1</v>
      </c>
    </row>
    <row r="3000" spans="1:8" ht="24.75" customHeight="1">
      <c r="A3000" s="44" t="s">
        <v>2683</v>
      </c>
      <c r="B3000" s="45" t="s">
        <v>4374</v>
      </c>
      <c r="C3000" s="45" t="s">
        <v>6811</v>
      </c>
      <c r="D3000" s="45" t="s">
        <v>6814</v>
      </c>
      <c r="E3000" s="44" t="s">
        <v>956</v>
      </c>
      <c r="F3000" s="37">
        <v>1</v>
      </c>
      <c r="G3000" s="37" t="s">
        <v>6864</v>
      </c>
      <c r="H3000" s="63">
        <v>5991.7</v>
      </c>
    </row>
    <row r="3001" spans="1:8" ht="24.75" customHeight="1">
      <c r="A3001" s="44" t="s">
        <v>2687</v>
      </c>
      <c r="B3001" s="45" t="s">
        <v>4376</v>
      </c>
      <c r="C3001" s="45" t="s">
        <v>6811</v>
      </c>
      <c r="D3001" s="45" t="s">
        <v>6814</v>
      </c>
      <c r="E3001" s="44" t="s">
        <v>956</v>
      </c>
      <c r="F3001" s="37">
        <v>1</v>
      </c>
      <c r="G3001" s="37" t="s">
        <v>6864</v>
      </c>
      <c r="H3001" s="63">
        <v>6249.1</v>
      </c>
    </row>
    <row r="3002" spans="1:8" ht="24.75" customHeight="1">
      <c r="A3002" s="44" t="s">
        <v>2685</v>
      </c>
      <c r="B3002" s="45" t="s">
        <v>4375</v>
      </c>
      <c r="C3002" s="45" t="s">
        <v>6811</v>
      </c>
      <c r="D3002" s="45" t="s">
        <v>6814</v>
      </c>
      <c r="E3002" s="44" t="s">
        <v>956</v>
      </c>
      <c r="F3002" s="37">
        <v>1</v>
      </c>
      <c r="G3002" s="37" t="s">
        <v>6864</v>
      </c>
      <c r="H3002" s="63">
        <v>6063.2</v>
      </c>
    </row>
    <row r="3003" spans="1:8" ht="24.75" customHeight="1">
      <c r="A3003" s="44" t="s">
        <v>2691</v>
      </c>
      <c r="B3003" s="45" t="s">
        <v>4380</v>
      </c>
      <c r="C3003" s="45" t="s">
        <v>6811</v>
      </c>
      <c r="D3003" s="45" t="s">
        <v>6814</v>
      </c>
      <c r="E3003" s="44" t="s">
        <v>956</v>
      </c>
      <c r="F3003" s="37">
        <v>1</v>
      </c>
      <c r="G3003" s="37" t="s">
        <v>6864</v>
      </c>
      <c r="H3003" s="63">
        <v>6849.7</v>
      </c>
    </row>
    <row r="3004" spans="1:8" ht="24.75" customHeight="1">
      <c r="A3004" s="44" t="s">
        <v>2699</v>
      </c>
      <c r="B3004" s="45" t="s">
        <v>4388</v>
      </c>
      <c r="C3004" s="45" t="s">
        <v>6811</v>
      </c>
      <c r="D3004" s="45" t="s">
        <v>6814</v>
      </c>
      <c r="E3004" s="44" t="s">
        <v>956</v>
      </c>
      <c r="F3004" s="37">
        <v>1</v>
      </c>
      <c r="G3004" s="37" t="s">
        <v>6864</v>
      </c>
      <c r="H3004" s="63">
        <v>6249.1</v>
      </c>
    </row>
    <row r="3005" spans="1:8" ht="24.75" customHeight="1">
      <c r="A3005" s="44" t="s">
        <v>2692</v>
      </c>
      <c r="B3005" s="45" t="s">
        <v>4381</v>
      </c>
      <c r="C3005" s="45" t="s">
        <v>6811</v>
      </c>
      <c r="D3005" s="45" t="s">
        <v>6814</v>
      </c>
      <c r="E3005" s="44" t="s">
        <v>956</v>
      </c>
      <c r="F3005" s="37">
        <v>1</v>
      </c>
      <c r="G3005" s="37" t="s">
        <v>6864</v>
      </c>
      <c r="H3005" s="63">
        <v>5905.9</v>
      </c>
    </row>
    <row r="3006" spans="1:8" ht="24.75" customHeight="1">
      <c r="A3006" s="44" t="s">
        <v>2698</v>
      </c>
      <c r="B3006" s="45" t="s">
        <v>4387</v>
      </c>
      <c r="C3006" s="45" t="s">
        <v>6811</v>
      </c>
      <c r="D3006" s="45" t="s">
        <v>6814</v>
      </c>
      <c r="E3006" s="44" t="s">
        <v>956</v>
      </c>
      <c r="F3006" s="37">
        <v>1</v>
      </c>
      <c r="G3006" s="37" t="s">
        <v>6864</v>
      </c>
      <c r="H3006" s="63">
        <v>8394.1</v>
      </c>
    </row>
    <row r="3007" spans="1:8" ht="24.75" customHeight="1">
      <c r="A3007" s="44" t="s">
        <v>2689</v>
      </c>
      <c r="B3007" s="45" t="s">
        <v>4377</v>
      </c>
      <c r="C3007" s="45" t="s">
        <v>6811</v>
      </c>
      <c r="D3007" s="45" t="s">
        <v>6814</v>
      </c>
      <c r="E3007" s="44" t="s">
        <v>956</v>
      </c>
      <c r="F3007" s="37">
        <v>1</v>
      </c>
      <c r="G3007" s="37" t="s">
        <v>6864</v>
      </c>
      <c r="H3007" s="63">
        <v>6721</v>
      </c>
    </row>
    <row r="3008" spans="1:8" ht="24.75" customHeight="1">
      <c r="A3008" s="44" t="s">
        <v>2702</v>
      </c>
      <c r="B3008" s="45" t="s">
        <v>4390</v>
      </c>
      <c r="C3008" s="45" t="s">
        <v>6811</v>
      </c>
      <c r="D3008" s="45" t="s">
        <v>6814</v>
      </c>
      <c r="E3008" s="44" t="s">
        <v>956</v>
      </c>
      <c r="F3008" s="37">
        <v>1</v>
      </c>
      <c r="G3008" s="37" t="s">
        <v>6864</v>
      </c>
      <c r="H3008" s="63">
        <v>9795.5</v>
      </c>
    </row>
    <row r="3009" spans="1:8" ht="24.75" customHeight="1">
      <c r="A3009" s="44" t="s">
        <v>2697</v>
      </c>
      <c r="B3009" s="45" t="s">
        <v>4386</v>
      </c>
      <c r="C3009" s="45" t="s">
        <v>6811</v>
      </c>
      <c r="D3009" s="45" t="s">
        <v>6814</v>
      </c>
      <c r="E3009" s="44" t="s">
        <v>956</v>
      </c>
      <c r="F3009" s="37">
        <v>1</v>
      </c>
      <c r="G3009" s="37" t="s">
        <v>6864</v>
      </c>
      <c r="H3009" s="63">
        <v>11339.9</v>
      </c>
    </row>
    <row r="3010" spans="1:8" ht="24.75" customHeight="1">
      <c r="A3010" s="44" t="s">
        <v>2696</v>
      </c>
      <c r="B3010" s="45" t="s">
        <v>4385</v>
      </c>
      <c r="C3010" s="45" t="s">
        <v>6811</v>
      </c>
      <c r="D3010" s="45" t="s">
        <v>6814</v>
      </c>
      <c r="E3010" s="44" t="s">
        <v>956</v>
      </c>
      <c r="F3010" s="37">
        <v>1</v>
      </c>
      <c r="G3010" s="37" t="s">
        <v>6864</v>
      </c>
      <c r="H3010" s="63">
        <v>7250.1</v>
      </c>
    </row>
    <row r="3011" spans="1:8" ht="24.75" customHeight="1">
      <c r="A3011" s="44" t="s">
        <v>2694</v>
      </c>
      <c r="B3011" s="45" t="s">
        <v>4383</v>
      </c>
      <c r="C3011" s="45" t="s">
        <v>6811</v>
      </c>
      <c r="D3011" s="45" t="s">
        <v>6814</v>
      </c>
      <c r="E3011" s="44" t="s">
        <v>956</v>
      </c>
      <c r="F3011" s="37">
        <v>1</v>
      </c>
      <c r="G3011" s="37" t="s">
        <v>6864</v>
      </c>
      <c r="H3011" s="63">
        <v>8394.1</v>
      </c>
    </row>
    <row r="3012" spans="1:8" ht="24.75" customHeight="1">
      <c r="A3012" s="44" t="s">
        <v>2693</v>
      </c>
      <c r="B3012" s="45" t="s">
        <v>4382</v>
      </c>
      <c r="C3012" s="45" t="s">
        <v>6811</v>
      </c>
      <c r="D3012" s="45" t="s">
        <v>6814</v>
      </c>
      <c r="E3012" s="44" t="s">
        <v>956</v>
      </c>
      <c r="F3012" s="37">
        <v>1</v>
      </c>
      <c r="G3012" s="37" t="s">
        <v>6864</v>
      </c>
      <c r="H3012" s="63">
        <v>8394.1</v>
      </c>
    </row>
    <row r="3013" spans="1:8" ht="24.75" customHeight="1">
      <c r="A3013" s="44" t="s">
        <v>2690</v>
      </c>
      <c r="B3013" s="45" t="s">
        <v>4378</v>
      </c>
      <c r="C3013" s="45" t="s">
        <v>6811</v>
      </c>
      <c r="D3013" s="45" t="s">
        <v>6814</v>
      </c>
      <c r="E3013" s="44" t="s">
        <v>956</v>
      </c>
      <c r="F3013" s="37">
        <v>1</v>
      </c>
      <c r="G3013" s="37" t="s">
        <v>6864</v>
      </c>
      <c r="H3013" s="63">
        <v>6249.1</v>
      </c>
    </row>
    <row r="3014" spans="1:8" ht="24.75" customHeight="1">
      <c r="A3014" s="44" t="s">
        <v>2700</v>
      </c>
      <c r="B3014" s="45" t="s">
        <v>4389</v>
      </c>
      <c r="C3014" s="45" t="s">
        <v>6811</v>
      </c>
      <c r="D3014" s="45" t="s">
        <v>6814</v>
      </c>
      <c r="E3014" s="44" t="s">
        <v>956</v>
      </c>
      <c r="F3014" s="37">
        <v>1</v>
      </c>
      <c r="G3014" s="37" t="s">
        <v>6864</v>
      </c>
      <c r="H3014" s="63">
        <v>6377.8</v>
      </c>
    </row>
    <row r="3015" spans="1:8" ht="24.75" customHeight="1">
      <c r="A3015" s="44" t="s">
        <v>2695</v>
      </c>
      <c r="B3015" s="45" t="s">
        <v>4384</v>
      </c>
      <c r="C3015" s="45" t="s">
        <v>6811</v>
      </c>
      <c r="D3015" s="45" t="s">
        <v>6814</v>
      </c>
      <c r="E3015" s="44" t="s">
        <v>956</v>
      </c>
      <c r="F3015" s="37">
        <v>1</v>
      </c>
      <c r="G3015" s="37" t="s">
        <v>6864</v>
      </c>
      <c r="H3015" s="63">
        <v>9566.7000000000007</v>
      </c>
    </row>
    <row r="3016" spans="1:8" ht="24.75" customHeight="1">
      <c r="A3016" s="44" t="s">
        <v>2704</v>
      </c>
      <c r="B3016" s="45" t="s">
        <v>4392</v>
      </c>
      <c r="C3016" s="45" t="s">
        <v>6811</v>
      </c>
      <c r="D3016" s="45" t="s">
        <v>6814</v>
      </c>
      <c r="E3016" s="44" t="s">
        <v>956</v>
      </c>
      <c r="F3016" s="37">
        <v>1</v>
      </c>
      <c r="G3016" s="37" t="s">
        <v>6864</v>
      </c>
      <c r="H3016" s="63">
        <v>6721</v>
      </c>
    </row>
    <row r="3017" spans="1:8" ht="24.75" customHeight="1">
      <c r="A3017" s="44" t="s">
        <v>2705</v>
      </c>
      <c r="B3017" s="45" t="s">
        <v>4393</v>
      </c>
      <c r="C3017" s="45" t="s">
        <v>6811</v>
      </c>
      <c r="D3017" s="45" t="s">
        <v>6814</v>
      </c>
      <c r="E3017" s="44" t="s">
        <v>956</v>
      </c>
      <c r="F3017" s="37">
        <v>1</v>
      </c>
      <c r="G3017" s="37" t="s">
        <v>6864</v>
      </c>
      <c r="H3017" s="63">
        <v>7335.9</v>
      </c>
    </row>
    <row r="3018" spans="1:8" ht="24.75" customHeight="1">
      <c r="A3018" s="44" t="s">
        <v>2706</v>
      </c>
      <c r="B3018" s="45" t="s">
        <v>4394</v>
      </c>
      <c r="C3018" s="45" t="s">
        <v>6811</v>
      </c>
      <c r="D3018" s="45" t="s">
        <v>6814</v>
      </c>
      <c r="E3018" s="44" t="s">
        <v>956</v>
      </c>
      <c r="F3018" s="37">
        <v>1</v>
      </c>
      <c r="G3018" s="37" t="s">
        <v>6864</v>
      </c>
      <c r="H3018" s="63">
        <v>8751.6</v>
      </c>
    </row>
    <row r="3019" spans="1:8" ht="24.75" customHeight="1">
      <c r="A3019" s="44" t="s">
        <v>2707</v>
      </c>
      <c r="B3019" s="45" t="s">
        <v>4395</v>
      </c>
      <c r="C3019" s="45" t="s">
        <v>6811</v>
      </c>
      <c r="D3019" s="45" t="s">
        <v>6814</v>
      </c>
      <c r="E3019" s="44" t="s">
        <v>956</v>
      </c>
      <c r="F3019" s="37">
        <v>1</v>
      </c>
      <c r="G3019" s="37" t="s">
        <v>6864</v>
      </c>
      <c r="H3019" s="63">
        <v>8751.6</v>
      </c>
    </row>
    <row r="3020" spans="1:8" ht="24.75" customHeight="1">
      <c r="A3020" s="44" t="s">
        <v>2708</v>
      </c>
      <c r="B3020" s="45" t="s">
        <v>4396</v>
      </c>
      <c r="C3020" s="45" t="s">
        <v>6811</v>
      </c>
      <c r="D3020" s="45" t="s">
        <v>6814</v>
      </c>
      <c r="E3020" s="44" t="s">
        <v>956</v>
      </c>
      <c r="F3020" s="37">
        <v>1</v>
      </c>
      <c r="G3020" s="37" t="s">
        <v>6864</v>
      </c>
      <c r="H3020" s="63">
        <v>7650.5</v>
      </c>
    </row>
    <row r="3021" spans="1:8" ht="24.75" customHeight="1">
      <c r="A3021" s="44" t="s">
        <v>2709</v>
      </c>
      <c r="B3021" s="45" t="s">
        <v>4397</v>
      </c>
      <c r="C3021" s="45" t="s">
        <v>6811</v>
      </c>
      <c r="D3021" s="45" t="s">
        <v>6814</v>
      </c>
      <c r="E3021" s="44" t="s">
        <v>956</v>
      </c>
      <c r="F3021" s="37">
        <v>1</v>
      </c>
      <c r="G3021" s="37" t="s">
        <v>6864</v>
      </c>
      <c r="H3021" s="63">
        <v>7950.8</v>
      </c>
    </row>
    <row r="3022" spans="1:8" ht="24.75" customHeight="1">
      <c r="A3022" s="44" t="s">
        <v>2713</v>
      </c>
      <c r="B3022" s="45" t="s">
        <v>4401</v>
      </c>
      <c r="C3022" s="45" t="s">
        <v>6811</v>
      </c>
      <c r="D3022" s="45" t="s">
        <v>6814</v>
      </c>
      <c r="E3022" s="44" t="s">
        <v>956</v>
      </c>
      <c r="F3022" s="37">
        <v>1</v>
      </c>
      <c r="G3022" s="37" t="s">
        <v>6864</v>
      </c>
      <c r="H3022" s="63">
        <v>6377.8</v>
      </c>
    </row>
    <row r="3023" spans="1:8" ht="24.75" customHeight="1">
      <c r="A3023" s="44" t="s">
        <v>2710</v>
      </c>
      <c r="B3023" s="45" t="s">
        <v>4398</v>
      </c>
      <c r="C3023" s="45" t="s">
        <v>6811</v>
      </c>
      <c r="D3023" s="45" t="s">
        <v>6814</v>
      </c>
      <c r="E3023" s="44" t="s">
        <v>956</v>
      </c>
      <c r="F3023" s="37">
        <v>1</v>
      </c>
      <c r="G3023" s="37" t="s">
        <v>6864</v>
      </c>
      <c r="H3023" s="63">
        <v>7250.1</v>
      </c>
    </row>
    <row r="3024" spans="1:8" ht="24.75" customHeight="1">
      <c r="A3024" s="44" t="s">
        <v>2712</v>
      </c>
      <c r="B3024" s="45" t="s">
        <v>4400</v>
      </c>
      <c r="C3024" s="45" t="s">
        <v>6811</v>
      </c>
      <c r="D3024" s="45" t="s">
        <v>6814</v>
      </c>
      <c r="E3024" s="44" t="s">
        <v>956</v>
      </c>
      <c r="F3024" s="37">
        <v>1</v>
      </c>
      <c r="G3024" s="37" t="s">
        <v>6864</v>
      </c>
      <c r="H3024" s="63">
        <v>9252.1</v>
      </c>
    </row>
    <row r="3025" spans="1:8" ht="24.75" customHeight="1">
      <c r="A3025" s="44" t="s">
        <v>2711</v>
      </c>
      <c r="B3025" s="45" t="s">
        <v>4399</v>
      </c>
      <c r="C3025" s="45" t="s">
        <v>6811</v>
      </c>
      <c r="D3025" s="45" t="s">
        <v>6814</v>
      </c>
      <c r="E3025" s="44" t="s">
        <v>956</v>
      </c>
      <c r="F3025" s="37">
        <v>1</v>
      </c>
      <c r="G3025" s="37" t="s">
        <v>6864</v>
      </c>
      <c r="H3025" s="63">
        <v>8422.7000000000007</v>
      </c>
    </row>
    <row r="3026" spans="1:8" ht="24.75" customHeight="1">
      <c r="A3026" s="44" t="s">
        <v>2715</v>
      </c>
      <c r="B3026" s="45" t="s">
        <v>4402</v>
      </c>
      <c r="C3026" s="45" t="s">
        <v>6811</v>
      </c>
      <c r="D3026" s="45" t="s">
        <v>6814</v>
      </c>
      <c r="E3026" s="44" t="s">
        <v>956</v>
      </c>
      <c r="F3026" s="37">
        <v>1</v>
      </c>
      <c r="G3026" s="37" t="s">
        <v>6864</v>
      </c>
      <c r="H3026" s="63">
        <v>6849.7</v>
      </c>
    </row>
    <row r="3027" spans="1:8" ht="24.75" customHeight="1">
      <c r="A3027" s="44" t="s">
        <v>2716</v>
      </c>
      <c r="B3027" s="45" t="s">
        <v>4403</v>
      </c>
      <c r="C3027" s="45" t="s">
        <v>6811</v>
      </c>
      <c r="D3027" s="45" t="s">
        <v>6814</v>
      </c>
      <c r="E3027" s="44" t="s">
        <v>956</v>
      </c>
      <c r="F3027" s="37">
        <v>1</v>
      </c>
      <c r="G3027" s="37" t="s">
        <v>6864</v>
      </c>
      <c r="H3027" s="63">
        <v>6721</v>
      </c>
    </row>
    <row r="3028" spans="1:8" ht="24.75" customHeight="1">
      <c r="A3028" s="44" t="s">
        <v>238</v>
      </c>
      <c r="B3028" s="45" t="s">
        <v>3552</v>
      </c>
      <c r="C3028" s="45" t="s">
        <v>6811</v>
      </c>
      <c r="D3028" s="45" t="s">
        <v>6815</v>
      </c>
      <c r="E3028" s="44" t="s">
        <v>6840</v>
      </c>
      <c r="F3028" s="37">
        <v>10</v>
      </c>
      <c r="G3028" s="37" t="s">
        <v>6864</v>
      </c>
      <c r="H3028" s="63">
        <v>257.39999999999998</v>
      </c>
    </row>
    <row r="3029" spans="1:8" ht="24.75" customHeight="1">
      <c r="A3029" s="44" t="s">
        <v>241</v>
      </c>
      <c r="B3029" s="45" t="s">
        <v>3555</v>
      </c>
      <c r="C3029" s="45" t="s">
        <v>6811</v>
      </c>
      <c r="D3029" s="45" t="s">
        <v>6815</v>
      </c>
      <c r="E3029" s="44" t="s">
        <v>6840</v>
      </c>
      <c r="F3029" s="37">
        <v>50</v>
      </c>
      <c r="G3029" s="37" t="s">
        <v>6864</v>
      </c>
      <c r="H3029" s="63">
        <v>257.39999999999998</v>
      </c>
    </row>
    <row r="3030" spans="1:8" ht="24.75" customHeight="1">
      <c r="A3030" s="44" t="s">
        <v>257</v>
      </c>
      <c r="B3030" s="45" t="s">
        <v>3571</v>
      </c>
      <c r="C3030" s="45" t="s">
        <v>6811</v>
      </c>
      <c r="D3030" s="45" t="s">
        <v>6815</v>
      </c>
      <c r="E3030" s="44" t="s">
        <v>6840</v>
      </c>
      <c r="F3030" s="37">
        <v>10</v>
      </c>
      <c r="G3030" s="37" t="s">
        <v>6864</v>
      </c>
      <c r="H3030" s="63">
        <v>271.7</v>
      </c>
    </row>
    <row r="3031" spans="1:8" ht="24.75" customHeight="1">
      <c r="A3031" s="44" t="s">
        <v>242</v>
      </c>
      <c r="B3031" s="45" t="s">
        <v>3556</v>
      </c>
      <c r="C3031" s="45" t="s">
        <v>6811</v>
      </c>
      <c r="D3031" s="45" t="s">
        <v>6815</v>
      </c>
      <c r="E3031" s="44" t="s">
        <v>6840</v>
      </c>
      <c r="F3031" s="37">
        <v>50</v>
      </c>
      <c r="G3031" s="37" t="s">
        <v>6864</v>
      </c>
      <c r="H3031" s="63">
        <v>271.7</v>
      </c>
    </row>
    <row r="3032" spans="1:8" ht="24.75" customHeight="1">
      <c r="A3032" s="44" t="s">
        <v>253</v>
      </c>
      <c r="B3032" s="45" t="s">
        <v>3567</v>
      </c>
      <c r="C3032" s="45" t="s">
        <v>6811</v>
      </c>
      <c r="D3032" s="45" t="s">
        <v>6815</v>
      </c>
      <c r="E3032" s="44" t="s">
        <v>6840</v>
      </c>
      <c r="F3032" s="37">
        <v>15</v>
      </c>
      <c r="G3032" s="37" t="s">
        <v>6864</v>
      </c>
      <c r="H3032" s="63">
        <v>1029.5999999999999</v>
      </c>
    </row>
    <row r="3033" spans="1:8" ht="24.75" customHeight="1">
      <c r="A3033" s="44" t="s">
        <v>239</v>
      </c>
      <c r="B3033" s="45" t="s">
        <v>3553</v>
      </c>
      <c r="C3033" s="45" t="s">
        <v>6811</v>
      </c>
      <c r="D3033" s="45" t="s">
        <v>6815</v>
      </c>
      <c r="E3033" s="44" t="s">
        <v>6840</v>
      </c>
      <c r="F3033" s="37">
        <v>40</v>
      </c>
      <c r="G3033" s="37" t="s">
        <v>6864</v>
      </c>
      <c r="H3033" s="63">
        <v>271.7</v>
      </c>
    </row>
    <row r="3034" spans="1:8" ht="24.75" customHeight="1">
      <c r="A3034" s="44" t="s">
        <v>254</v>
      </c>
      <c r="B3034" s="45" t="s">
        <v>3568</v>
      </c>
      <c r="C3034" s="45" t="s">
        <v>6811</v>
      </c>
      <c r="D3034" s="45" t="s">
        <v>6815</v>
      </c>
      <c r="E3034" s="44" t="s">
        <v>6840</v>
      </c>
      <c r="F3034" s="37">
        <v>10</v>
      </c>
      <c r="G3034" s="37" t="s">
        <v>6864</v>
      </c>
      <c r="H3034" s="63">
        <v>1287</v>
      </c>
    </row>
    <row r="3035" spans="1:8" ht="24.75" customHeight="1">
      <c r="A3035" s="44" t="s">
        <v>240</v>
      </c>
      <c r="B3035" s="45" t="s">
        <v>3554</v>
      </c>
      <c r="C3035" s="45" t="s">
        <v>6811</v>
      </c>
      <c r="D3035" s="45" t="s">
        <v>6815</v>
      </c>
      <c r="E3035" s="44" t="s">
        <v>6840</v>
      </c>
      <c r="F3035" s="37">
        <v>25</v>
      </c>
      <c r="G3035" s="37" t="s">
        <v>6864</v>
      </c>
      <c r="H3035" s="63">
        <v>357.5</v>
      </c>
    </row>
    <row r="3036" spans="1:8" ht="24.75" customHeight="1">
      <c r="A3036" s="44" t="s">
        <v>272</v>
      </c>
      <c r="B3036" s="45" t="s">
        <v>3337</v>
      </c>
      <c r="C3036" s="45" t="s">
        <v>6816</v>
      </c>
      <c r="D3036" s="45" t="s">
        <v>6817</v>
      </c>
      <c r="E3036" s="44" t="s">
        <v>6842</v>
      </c>
      <c r="F3036" s="37">
        <v>1</v>
      </c>
      <c r="G3036" s="37" t="s">
        <v>6864</v>
      </c>
      <c r="H3036" s="63">
        <v>42227.9</v>
      </c>
    </row>
    <row r="3037" spans="1:8" ht="24.75" customHeight="1">
      <c r="A3037" s="44" t="s">
        <v>1498</v>
      </c>
      <c r="B3037" s="45" t="s">
        <v>3340</v>
      </c>
      <c r="C3037" s="45" t="s">
        <v>6816</v>
      </c>
      <c r="D3037" s="45" t="s">
        <v>6817</v>
      </c>
      <c r="E3037" s="44" t="s">
        <v>6842</v>
      </c>
      <c r="F3037" s="37">
        <v>1</v>
      </c>
      <c r="G3037" s="37" t="s">
        <v>6864</v>
      </c>
      <c r="H3037" s="63">
        <v>48148.1</v>
      </c>
    </row>
    <row r="3038" spans="1:8" ht="24.75" customHeight="1">
      <c r="A3038" s="44" t="s">
        <v>1499</v>
      </c>
      <c r="B3038" s="45" t="s">
        <v>3341</v>
      </c>
      <c r="C3038" s="45" t="s">
        <v>6816</v>
      </c>
      <c r="D3038" s="45" t="s">
        <v>6817</v>
      </c>
      <c r="E3038" s="44" t="s">
        <v>6842</v>
      </c>
      <c r="F3038" s="37">
        <v>1</v>
      </c>
      <c r="G3038" s="37" t="s">
        <v>6864</v>
      </c>
      <c r="H3038" s="63">
        <v>48148.1</v>
      </c>
    </row>
    <row r="3039" spans="1:8" ht="24.75" customHeight="1">
      <c r="A3039" s="44" t="s">
        <v>1517</v>
      </c>
      <c r="B3039" s="45" t="s">
        <v>3342</v>
      </c>
      <c r="C3039" s="45" t="s">
        <v>6816</v>
      </c>
      <c r="D3039" s="45" t="s">
        <v>6817</v>
      </c>
      <c r="E3039" s="44" t="s">
        <v>6842</v>
      </c>
      <c r="F3039" s="37">
        <v>1</v>
      </c>
      <c r="G3039" s="37" t="s">
        <v>6864</v>
      </c>
      <c r="H3039" s="63">
        <v>46503.6</v>
      </c>
    </row>
    <row r="3040" spans="1:8" ht="24.75" customHeight="1">
      <c r="A3040" s="44" t="s">
        <v>337</v>
      </c>
      <c r="B3040" s="45" t="s">
        <v>3330</v>
      </c>
      <c r="C3040" s="45" t="s">
        <v>6816</v>
      </c>
      <c r="D3040" s="45" t="s">
        <v>6817</v>
      </c>
      <c r="E3040" s="44" t="s">
        <v>6842</v>
      </c>
      <c r="F3040" s="37">
        <v>1</v>
      </c>
      <c r="G3040" s="37" t="s">
        <v>6864</v>
      </c>
      <c r="H3040" s="63">
        <v>62062</v>
      </c>
    </row>
    <row r="3041" spans="1:8" ht="24.75" customHeight="1">
      <c r="A3041" s="44" t="s">
        <v>336</v>
      </c>
      <c r="B3041" s="45" t="s">
        <v>3329</v>
      </c>
      <c r="C3041" s="45" t="s">
        <v>6816</v>
      </c>
      <c r="D3041" s="45" t="s">
        <v>6817</v>
      </c>
      <c r="E3041" s="44" t="s">
        <v>6842</v>
      </c>
      <c r="F3041" s="37">
        <v>1</v>
      </c>
      <c r="G3041" s="37" t="s">
        <v>6864</v>
      </c>
      <c r="H3041" s="63">
        <v>24567.4</v>
      </c>
    </row>
    <row r="3042" spans="1:8" ht="24.75" customHeight="1">
      <c r="A3042" s="44" t="s">
        <v>343</v>
      </c>
      <c r="B3042" s="45" t="s">
        <v>3336</v>
      </c>
      <c r="C3042" s="45" t="s">
        <v>6816</v>
      </c>
      <c r="D3042" s="45" t="s">
        <v>6817</v>
      </c>
      <c r="E3042" s="44" t="s">
        <v>6842</v>
      </c>
      <c r="F3042" s="37">
        <v>1</v>
      </c>
      <c r="G3042" s="37" t="s">
        <v>6864</v>
      </c>
      <c r="H3042" s="63">
        <v>86658</v>
      </c>
    </row>
    <row r="3043" spans="1:8" ht="24.75" customHeight="1">
      <c r="A3043" s="44" t="s">
        <v>342</v>
      </c>
      <c r="B3043" s="45" t="s">
        <v>3335</v>
      </c>
      <c r="C3043" s="45" t="s">
        <v>6816</v>
      </c>
      <c r="D3043" s="45" t="s">
        <v>6817</v>
      </c>
      <c r="E3043" s="44" t="s">
        <v>6842</v>
      </c>
      <c r="F3043" s="37">
        <v>1</v>
      </c>
      <c r="G3043" s="37" t="s">
        <v>6864</v>
      </c>
      <c r="H3043" s="63">
        <v>37666.199999999997</v>
      </c>
    </row>
    <row r="3044" spans="1:8" ht="24.75" customHeight="1">
      <c r="A3044" s="44" t="s">
        <v>1500</v>
      </c>
      <c r="B3044" s="45" t="s">
        <v>3339</v>
      </c>
      <c r="C3044" s="45" t="s">
        <v>6816</v>
      </c>
      <c r="D3044" s="45" t="s">
        <v>6817</v>
      </c>
      <c r="E3044" s="44" t="s">
        <v>6842</v>
      </c>
      <c r="F3044" s="37">
        <v>1</v>
      </c>
      <c r="G3044" s="37" t="s">
        <v>6864</v>
      </c>
      <c r="H3044" s="63">
        <v>54025.4</v>
      </c>
    </row>
    <row r="3045" spans="1:8" ht="24.75" customHeight="1">
      <c r="A3045" s="44" t="s">
        <v>338</v>
      </c>
      <c r="B3045" s="45" t="s">
        <v>3331</v>
      </c>
      <c r="C3045" s="45" t="s">
        <v>6816</v>
      </c>
      <c r="D3045" s="45" t="s">
        <v>6817</v>
      </c>
      <c r="E3045" s="44" t="s">
        <v>6842</v>
      </c>
      <c r="F3045" s="37">
        <v>1</v>
      </c>
      <c r="G3045" s="37" t="s">
        <v>6864</v>
      </c>
      <c r="H3045" s="63">
        <v>32761.3</v>
      </c>
    </row>
    <row r="3046" spans="1:8" ht="24.75" customHeight="1">
      <c r="A3046" s="44" t="s">
        <v>339</v>
      </c>
      <c r="B3046" s="45" t="s">
        <v>3332</v>
      </c>
      <c r="C3046" s="45" t="s">
        <v>6816</v>
      </c>
      <c r="D3046" s="45" t="s">
        <v>6817</v>
      </c>
      <c r="E3046" s="44" t="s">
        <v>6842</v>
      </c>
      <c r="F3046" s="37">
        <v>1</v>
      </c>
      <c r="G3046" s="37" t="s">
        <v>6864</v>
      </c>
      <c r="H3046" s="63">
        <v>40683.5</v>
      </c>
    </row>
    <row r="3047" spans="1:8" ht="24.75" customHeight="1">
      <c r="A3047" s="44" t="s">
        <v>273</v>
      </c>
      <c r="B3047" s="45" t="s">
        <v>3338</v>
      </c>
      <c r="C3047" s="45" t="s">
        <v>6816</v>
      </c>
      <c r="D3047" s="45" t="s">
        <v>6817</v>
      </c>
      <c r="E3047" s="44" t="s">
        <v>6842</v>
      </c>
      <c r="F3047" s="37">
        <v>1</v>
      </c>
      <c r="G3047" s="37" t="s">
        <v>6864</v>
      </c>
      <c r="H3047" s="63">
        <v>55026.400000000001</v>
      </c>
    </row>
    <row r="3048" spans="1:8" ht="24.75" customHeight="1">
      <c r="A3048" s="44" t="s">
        <v>340</v>
      </c>
      <c r="B3048" s="45" t="s">
        <v>3333</v>
      </c>
      <c r="C3048" s="45" t="s">
        <v>6816</v>
      </c>
      <c r="D3048" s="45" t="s">
        <v>6817</v>
      </c>
      <c r="E3048" s="44" t="s">
        <v>6842</v>
      </c>
      <c r="F3048" s="37">
        <v>1</v>
      </c>
      <c r="G3048" s="37" t="s">
        <v>6864</v>
      </c>
      <c r="H3048" s="63">
        <v>52767</v>
      </c>
    </row>
    <row r="3049" spans="1:8" ht="24.75" customHeight="1">
      <c r="A3049" s="44" t="s">
        <v>341</v>
      </c>
      <c r="B3049" s="45" t="s">
        <v>3334</v>
      </c>
      <c r="C3049" s="45" t="s">
        <v>6816</v>
      </c>
      <c r="D3049" s="45" t="s">
        <v>6817</v>
      </c>
      <c r="E3049" s="44" t="s">
        <v>6842</v>
      </c>
      <c r="F3049" s="37">
        <v>1</v>
      </c>
      <c r="G3049" s="37" t="s">
        <v>6864</v>
      </c>
      <c r="H3049" s="63">
        <v>62491</v>
      </c>
    </row>
    <row r="3050" spans="1:8" ht="24.75" customHeight="1">
      <c r="A3050" s="44" t="s">
        <v>2863</v>
      </c>
      <c r="B3050" s="45" t="s">
        <v>3326</v>
      </c>
      <c r="C3050" s="45" t="s">
        <v>6816</v>
      </c>
      <c r="D3050" s="45" t="s">
        <v>6817</v>
      </c>
      <c r="E3050" s="44" t="s">
        <v>6842</v>
      </c>
      <c r="F3050" s="37">
        <v>1</v>
      </c>
      <c r="G3050" s="37" t="s">
        <v>6864</v>
      </c>
      <c r="H3050" s="63">
        <v>95995.9</v>
      </c>
    </row>
    <row r="3051" spans="1:8" ht="24.75" customHeight="1">
      <c r="A3051" s="44" t="s">
        <v>2144</v>
      </c>
      <c r="B3051" s="45" t="s">
        <v>3324</v>
      </c>
      <c r="C3051" s="45" t="s">
        <v>6816</v>
      </c>
      <c r="D3051" s="45" t="s">
        <v>6817</v>
      </c>
      <c r="E3051" s="44" t="s">
        <v>6842</v>
      </c>
      <c r="F3051" s="37">
        <v>1</v>
      </c>
      <c r="G3051" s="37" t="s">
        <v>6864</v>
      </c>
      <c r="H3051" s="63">
        <v>32089.200000000001</v>
      </c>
    </row>
    <row r="3052" spans="1:8" ht="24.75" customHeight="1">
      <c r="A3052" s="44" t="s">
        <v>2145</v>
      </c>
      <c r="B3052" s="45" t="s">
        <v>3325</v>
      </c>
      <c r="C3052" s="45" t="s">
        <v>6816</v>
      </c>
      <c r="D3052" s="45" t="s">
        <v>6817</v>
      </c>
      <c r="E3052" s="44" t="s">
        <v>6842</v>
      </c>
      <c r="F3052" s="37">
        <v>1</v>
      </c>
      <c r="G3052" s="37" t="s">
        <v>6864</v>
      </c>
      <c r="H3052" s="63">
        <v>42356.6</v>
      </c>
    </row>
    <row r="3053" spans="1:8" ht="24.75" customHeight="1">
      <c r="A3053" s="44" t="s">
        <v>2147</v>
      </c>
      <c r="B3053" s="45" t="s">
        <v>3328</v>
      </c>
      <c r="C3053" s="45" t="s">
        <v>6816</v>
      </c>
      <c r="D3053" s="45" t="s">
        <v>6817</v>
      </c>
      <c r="E3053" s="44" t="s">
        <v>6842</v>
      </c>
      <c r="F3053" s="37">
        <v>1</v>
      </c>
      <c r="G3053" s="37" t="s">
        <v>6864</v>
      </c>
      <c r="H3053" s="63">
        <v>57328.7</v>
      </c>
    </row>
    <row r="3054" spans="1:8" ht="24.75" customHeight="1">
      <c r="A3054" s="44" t="s">
        <v>2146</v>
      </c>
      <c r="B3054" s="45" t="s">
        <v>3327</v>
      </c>
      <c r="C3054" s="45" t="s">
        <v>6816</v>
      </c>
      <c r="D3054" s="45" t="s">
        <v>6817</v>
      </c>
      <c r="E3054" s="44" t="s">
        <v>6842</v>
      </c>
      <c r="F3054" s="37">
        <v>1</v>
      </c>
      <c r="G3054" s="37" t="s">
        <v>6864</v>
      </c>
      <c r="H3054" s="63">
        <v>55326.7</v>
      </c>
    </row>
    <row r="3055" spans="1:8" ht="24.75" customHeight="1">
      <c r="A3055" s="44" t="s">
        <v>3163</v>
      </c>
      <c r="B3055" s="45" t="s">
        <v>3353</v>
      </c>
      <c r="C3055" s="45" t="s">
        <v>6816</v>
      </c>
      <c r="D3055" s="45" t="s">
        <v>6817</v>
      </c>
      <c r="E3055" s="44" t="s">
        <v>6855</v>
      </c>
      <c r="F3055" s="37">
        <v>1</v>
      </c>
      <c r="G3055" s="37" t="s">
        <v>6864</v>
      </c>
      <c r="H3055" s="63">
        <v>53896.7</v>
      </c>
    </row>
    <row r="3056" spans="1:8" ht="24.75" customHeight="1">
      <c r="A3056" s="44" t="s">
        <v>3162</v>
      </c>
      <c r="B3056" s="45" t="s">
        <v>3352</v>
      </c>
      <c r="C3056" s="45" t="s">
        <v>6816</v>
      </c>
      <c r="D3056" s="45" t="s">
        <v>6817</v>
      </c>
      <c r="E3056" s="44" t="s">
        <v>6855</v>
      </c>
      <c r="F3056" s="37">
        <v>1</v>
      </c>
      <c r="G3056" s="37" t="s">
        <v>6864</v>
      </c>
      <c r="H3056" s="63">
        <v>68411.199999999997</v>
      </c>
    </row>
    <row r="3057" spans="1:8" ht="24.75" customHeight="1">
      <c r="A3057" s="44" t="s">
        <v>2976</v>
      </c>
      <c r="B3057" s="45" t="s">
        <v>3343</v>
      </c>
      <c r="C3057" s="45" t="s">
        <v>6816</v>
      </c>
      <c r="D3057" s="45" t="s">
        <v>6817</v>
      </c>
      <c r="E3057" s="44" t="s">
        <v>6855</v>
      </c>
      <c r="F3057" s="37">
        <v>1</v>
      </c>
      <c r="G3057" s="37" t="s">
        <v>6864</v>
      </c>
      <c r="H3057" s="63">
        <v>21249.8</v>
      </c>
    </row>
    <row r="3058" spans="1:8" ht="24.75" customHeight="1">
      <c r="A3058" s="44" t="s">
        <v>2979</v>
      </c>
      <c r="B3058" s="45" t="s">
        <v>3346</v>
      </c>
      <c r="C3058" s="45" t="s">
        <v>6816</v>
      </c>
      <c r="D3058" s="45" t="s">
        <v>6817</v>
      </c>
      <c r="E3058" s="44" t="s">
        <v>6855</v>
      </c>
      <c r="F3058" s="37">
        <v>1</v>
      </c>
      <c r="G3058" s="37" t="s">
        <v>6864</v>
      </c>
      <c r="H3058" s="63">
        <v>22393.8</v>
      </c>
    </row>
    <row r="3059" spans="1:8" ht="24.75" customHeight="1">
      <c r="A3059" s="44" t="s">
        <v>2977</v>
      </c>
      <c r="B3059" s="45" t="s">
        <v>3344</v>
      </c>
      <c r="C3059" s="45" t="s">
        <v>6816</v>
      </c>
      <c r="D3059" s="45" t="s">
        <v>6817</v>
      </c>
      <c r="E3059" s="44" t="s">
        <v>6855</v>
      </c>
      <c r="F3059" s="37">
        <v>1</v>
      </c>
      <c r="G3059" s="37" t="s">
        <v>6864</v>
      </c>
      <c r="H3059" s="63">
        <v>22965.8</v>
      </c>
    </row>
    <row r="3060" spans="1:8" ht="24.75" customHeight="1">
      <c r="A3060" s="44" t="s">
        <v>3084</v>
      </c>
      <c r="B3060" s="45" t="s">
        <v>3350</v>
      </c>
      <c r="C3060" s="45" t="s">
        <v>6816</v>
      </c>
      <c r="D3060" s="45" t="s">
        <v>6817</v>
      </c>
      <c r="E3060" s="44" t="s">
        <v>6855</v>
      </c>
      <c r="F3060" s="37">
        <v>1</v>
      </c>
      <c r="G3060" s="37" t="s">
        <v>6864</v>
      </c>
      <c r="H3060" s="63">
        <v>28085.200000000001</v>
      </c>
    </row>
    <row r="3061" spans="1:8" ht="24.75" customHeight="1">
      <c r="A3061" s="44" t="s">
        <v>2980</v>
      </c>
      <c r="B3061" s="45" t="s">
        <v>3347</v>
      </c>
      <c r="C3061" s="45" t="s">
        <v>6816</v>
      </c>
      <c r="D3061" s="45" t="s">
        <v>6817</v>
      </c>
      <c r="E3061" s="44" t="s">
        <v>6855</v>
      </c>
      <c r="F3061" s="37">
        <v>1</v>
      </c>
      <c r="G3061" s="37" t="s">
        <v>6864</v>
      </c>
      <c r="H3061" s="63">
        <v>32961.5</v>
      </c>
    </row>
    <row r="3062" spans="1:8" ht="24.75" customHeight="1">
      <c r="A3062" s="44" t="s">
        <v>2982</v>
      </c>
      <c r="B3062" s="45" t="s">
        <v>3349</v>
      </c>
      <c r="C3062" s="45" t="s">
        <v>6816</v>
      </c>
      <c r="D3062" s="45" t="s">
        <v>6817</v>
      </c>
      <c r="E3062" s="44" t="s">
        <v>6855</v>
      </c>
      <c r="F3062" s="37">
        <v>1</v>
      </c>
      <c r="G3062" s="37" t="s">
        <v>6864</v>
      </c>
      <c r="H3062" s="63">
        <v>31717.4</v>
      </c>
    </row>
    <row r="3063" spans="1:8" ht="24.75" customHeight="1">
      <c r="A3063" s="44" t="s">
        <v>2978</v>
      </c>
      <c r="B3063" s="45" t="s">
        <v>3345</v>
      </c>
      <c r="C3063" s="45" t="s">
        <v>6816</v>
      </c>
      <c r="D3063" s="45" t="s">
        <v>6817</v>
      </c>
      <c r="E3063" s="44" t="s">
        <v>6855</v>
      </c>
      <c r="F3063" s="37">
        <v>1</v>
      </c>
      <c r="G3063" s="37" t="s">
        <v>6864</v>
      </c>
      <c r="H3063" s="63">
        <v>29043.3</v>
      </c>
    </row>
    <row r="3064" spans="1:8" ht="24.75" customHeight="1">
      <c r="A3064" s="44" t="s">
        <v>2981</v>
      </c>
      <c r="B3064" s="45" t="s">
        <v>3348</v>
      </c>
      <c r="C3064" s="45" t="s">
        <v>6816</v>
      </c>
      <c r="D3064" s="45" t="s">
        <v>6817</v>
      </c>
      <c r="E3064" s="44" t="s">
        <v>6855</v>
      </c>
      <c r="F3064" s="37">
        <v>1</v>
      </c>
      <c r="G3064" s="37" t="s">
        <v>6864</v>
      </c>
      <c r="H3064" s="63">
        <v>36822.5</v>
      </c>
    </row>
    <row r="3065" spans="1:8" ht="24.75" customHeight="1">
      <c r="A3065" s="44" t="s">
        <v>3085</v>
      </c>
      <c r="B3065" s="45" t="s">
        <v>3351</v>
      </c>
      <c r="C3065" s="45" t="s">
        <v>6816</v>
      </c>
      <c r="D3065" s="45" t="s">
        <v>6817</v>
      </c>
      <c r="E3065" s="44" t="s">
        <v>6855</v>
      </c>
      <c r="F3065" s="37">
        <v>1</v>
      </c>
      <c r="G3065" s="37" t="s">
        <v>6864</v>
      </c>
      <c r="H3065" s="63">
        <v>39396.5</v>
      </c>
    </row>
    <row r="3066" spans="1:8" ht="24.75" customHeight="1">
      <c r="A3066" s="44" t="s">
        <v>2442</v>
      </c>
      <c r="B3066" s="45" t="s">
        <v>3370</v>
      </c>
      <c r="C3066" s="45" t="s">
        <v>6816</v>
      </c>
      <c r="D3066" s="45" t="s">
        <v>6818</v>
      </c>
      <c r="E3066" s="44" t="s">
        <v>6855</v>
      </c>
      <c r="F3066" s="37">
        <v>1</v>
      </c>
      <c r="G3066" s="37" t="s">
        <v>6864</v>
      </c>
      <c r="H3066" s="63">
        <v>6649.5</v>
      </c>
    </row>
    <row r="3067" spans="1:8" ht="24.75" customHeight="1">
      <c r="A3067" s="44" t="s">
        <v>1584</v>
      </c>
      <c r="B3067" s="45" t="s">
        <v>5466</v>
      </c>
      <c r="C3067" s="45" t="s">
        <v>6816</v>
      </c>
      <c r="D3067" s="45" t="s">
        <v>6818</v>
      </c>
      <c r="E3067" s="44" t="s">
        <v>6839</v>
      </c>
      <c r="F3067" s="37">
        <v>1</v>
      </c>
      <c r="G3067" s="37" t="s">
        <v>6864</v>
      </c>
      <c r="H3067" s="63">
        <v>8737.2999999999993</v>
      </c>
    </row>
    <row r="3068" spans="1:8" ht="24.75" customHeight="1">
      <c r="A3068" s="44" t="s">
        <v>2619</v>
      </c>
      <c r="B3068" s="45" t="s">
        <v>3367</v>
      </c>
      <c r="C3068" s="45" t="s">
        <v>6816</v>
      </c>
      <c r="D3068" s="45" t="s">
        <v>6818</v>
      </c>
      <c r="E3068" s="44" t="s">
        <v>6839</v>
      </c>
      <c r="F3068" s="37">
        <v>1</v>
      </c>
      <c r="G3068" s="37" t="s">
        <v>6864</v>
      </c>
      <c r="H3068" s="63">
        <v>5805.8</v>
      </c>
    </row>
    <row r="3069" spans="1:8" ht="24.75" customHeight="1">
      <c r="A3069" s="44" t="s">
        <v>2965</v>
      </c>
      <c r="B3069" s="45" t="s">
        <v>3369</v>
      </c>
      <c r="C3069" s="45" t="s">
        <v>6816</v>
      </c>
      <c r="D3069" s="45" t="s">
        <v>6818</v>
      </c>
      <c r="E3069" s="44" t="s">
        <v>6855</v>
      </c>
      <c r="F3069" s="37">
        <v>1</v>
      </c>
      <c r="G3069" s="37" t="s">
        <v>6864</v>
      </c>
      <c r="H3069" s="63">
        <v>4018.3</v>
      </c>
    </row>
    <row r="3070" spans="1:8" ht="24.75" customHeight="1">
      <c r="A3070" s="44" t="s">
        <v>153</v>
      </c>
      <c r="B3070" s="45" t="s">
        <v>5121</v>
      </c>
      <c r="C3070" s="45" t="s">
        <v>6816</v>
      </c>
      <c r="D3070" s="45" t="s">
        <v>6818</v>
      </c>
      <c r="E3070" s="44" t="s">
        <v>6839</v>
      </c>
      <c r="F3070" s="37">
        <v>1</v>
      </c>
      <c r="G3070" s="37" t="s">
        <v>6864</v>
      </c>
      <c r="H3070" s="63">
        <v>4604.6000000000004</v>
      </c>
    </row>
    <row r="3071" spans="1:8" ht="24.75" customHeight="1">
      <c r="A3071" s="44" t="s">
        <v>3089</v>
      </c>
      <c r="B3071" s="45" t="s">
        <v>5349</v>
      </c>
      <c r="C3071" s="45" t="s">
        <v>6816</v>
      </c>
      <c r="D3071" s="45" t="s">
        <v>6818</v>
      </c>
      <c r="E3071" s="44"/>
      <c r="F3071" s="37">
        <v>1</v>
      </c>
      <c r="G3071" s="37" t="s">
        <v>6864</v>
      </c>
      <c r="H3071" s="63">
        <v>6592.3</v>
      </c>
    </row>
    <row r="3072" spans="1:8" ht="24.75" customHeight="1">
      <c r="A3072" s="44" t="s">
        <v>678</v>
      </c>
      <c r="B3072" s="45" t="s">
        <v>5712</v>
      </c>
      <c r="C3072" s="45" t="s">
        <v>6816</v>
      </c>
      <c r="D3072" s="45" t="s">
        <v>6818</v>
      </c>
      <c r="E3072" s="44" t="s">
        <v>6839</v>
      </c>
      <c r="F3072" s="37">
        <v>1</v>
      </c>
      <c r="G3072" s="37" t="s">
        <v>6864</v>
      </c>
      <c r="H3072" s="63">
        <v>8866</v>
      </c>
    </row>
    <row r="3073" spans="1:8" ht="24.75" customHeight="1">
      <c r="A3073" s="44" t="s">
        <v>2782</v>
      </c>
      <c r="B3073" s="45" t="s">
        <v>5779</v>
      </c>
      <c r="C3073" s="45" t="s">
        <v>6816</v>
      </c>
      <c r="D3073" s="45" t="s">
        <v>6818</v>
      </c>
      <c r="E3073" s="44" t="s">
        <v>6839</v>
      </c>
      <c r="F3073" s="37">
        <v>1</v>
      </c>
      <c r="G3073" s="37" t="s">
        <v>6864</v>
      </c>
      <c r="H3073" s="63">
        <v>12841.4</v>
      </c>
    </row>
    <row r="3074" spans="1:8" ht="24.75" customHeight="1">
      <c r="A3074" s="44" t="s">
        <v>2357</v>
      </c>
      <c r="B3074" s="45" t="s">
        <v>3363</v>
      </c>
      <c r="C3074" s="45" t="s">
        <v>6816</v>
      </c>
      <c r="D3074" s="45" t="s">
        <v>6818</v>
      </c>
      <c r="E3074" s="44" t="s">
        <v>6855</v>
      </c>
      <c r="F3074" s="37">
        <v>1</v>
      </c>
      <c r="G3074" s="37" t="s">
        <v>6864</v>
      </c>
      <c r="H3074" s="63">
        <v>6477.9</v>
      </c>
    </row>
    <row r="3075" spans="1:8" ht="24.75" customHeight="1">
      <c r="A3075" s="44" t="s">
        <v>2153</v>
      </c>
      <c r="B3075" s="45" t="s">
        <v>5896</v>
      </c>
      <c r="C3075" s="45" t="s">
        <v>6816</v>
      </c>
      <c r="D3075" s="45" t="s">
        <v>6818</v>
      </c>
      <c r="E3075" s="44" t="s">
        <v>6855</v>
      </c>
      <c r="F3075" s="37">
        <v>1</v>
      </c>
      <c r="G3075" s="37" t="s">
        <v>6864</v>
      </c>
      <c r="H3075" s="63">
        <v>4976.3999999999996</v>
      </c>
    </row>
    <row r="3076" spans="1:8" ht="24.75" customHeight="1">
      <c r="A3076" s="44" t="s">
        <v>2356</v>
      </c>
      <c r="B3076" s="45" t="s">
        <v>3365</v>
      </c>
      <c r="C3076" s="45" t="s">
        <v>6816</v>
      </c>
      <c r="D3076" s="45" t="s">
        <v>6818</v>
      </c>
      <c r="E3076" s="44" t="s">
        <v>6855</v>
      </c>
      <c r="F3076" s="37">
        <v>1</v>
      </c>
      <c r="G3076" s="37" t="s">
        <v>6864</v>
      </c>
      <c r="H3076" s="63">
        <v>4189.8999999999996</v>
      </c>
    </row>
    <row r="3077" spans="1:8" ht="24.75" customHeight="1">
      <c r="A3077" s="44" t="s">
        <v>2355</v>
      </c>
      <c r="B3077" s="45" t="s">
        <v>3364</v>
      </c>
      <c r="C3077" s="45" t="s">
        <v>6816</v>
      </c>
      <c r="D3077" s="45" t="s">
        <v>6818</v>
      </c>
      <c r="E3077" s="44" t="s">
        <v>6855</v>
      </c>
      <c r="F3077" s="37">
        <v>1</v>
      </c>
      <c r="G3077" s="37" t="s">
        <v>6864</v>
      </c>
      <c r="H3077" s="63">
        <v>4189.8999999999996</v>
      </c>
    </row>
    <row r="3078" spans="1:8" ht="24.75" customHeight="1">
      <c r="A3078" s="44" t="s">
        <v>727</v>
      </c>
      <c r="B3078" s="45" t="s">
        <v>5996</v>
      </c>
      <c r="C3078" s="45" t="s">
        <v>6816</v>
      </c>
      <c r="D3078" s="45" t="s">
        <v>6818</v>
      </c>
      <c r="E3078" s="44" t="s">
        <v>6839</v>
      </c>
      <c r="F3078" s="37">
        <v>1</v>
      </c>
      <c r="G3078" s="37" t="s">
        <v>6864</v>
      </c>
      <c r="H3078" s="63">
        <v>5905.9</v>
      </c>
    </row>
    <row r="3079" spans="1:8" ht="24.75" customHeight="1">
      <c r="A3079" s="44" t="s">
        <v>2618</v>
      </c>
      <c r="B3079" s="45" t="s">
        <v>3366</v>
      </c>
      <c r="C3079" s="45" t="s">
        <v>6816</v>
      </c>
      <c r="D3079" s="45" t="s">
        <v>6818</v>
      </c>
      <c r="E3079" s="44" t="s">
        <v>6839</v>
      </c>
      <c r="F3079" s="37">
        <v>1</v>
      </c>
      <c r="G3079" s="37" t="s">
        <v>6864</v>
      </c>
      <c r="H3079" s="63">
        <v>6063.2</v>
      </c>
    </row>
    <row r="3080" spans="1:8" ht="24.75" customHeight="1">
      <c r="A3080" s="44" t="s">
        <v>2285</v>
      </c>
      <c r="B3080" s="45" t="s">
        <v>3384</v>
      </c>
      <c r="C3080" s="45" t="s">
        <v>6816</v>
      </c>
      <c r="D3080" s="45" t="s">
        <v>6709</v>
      </c>
      <c r="E3080" s="44" t="s">
        <v>6840</v>
      </c>
      <c r="F3080" s="37">
        <v>10</v>
      </c>
      <c r="G3080" s="37" t="s">
        <v>6864</v>
      </c>
      <c r="H3080" s="63">
        <v>1687.4</v>
      </c>
    </row>
    <row r="3081" spans="1:8" ht="24.75" customHeight="1">
      <c r="A3081" s="44" t="s">
        <v>2286</v>
      </c>
      <c r="B3081" s="45" t="s">
        <v>3385</v>
      </c>
      <c r="C3081" s="45" t="s">
        <v>6816</v>
      </c>
      <c r="D3081" s="45" t="s">
        <v>6709</v>
      </c>
      <c r="E3081" s="44" t="s">
        <v>6840</v>
      </c>
      <c r="F3081" s="37">
        <v>10</v>
      </c>
      <c r="G3081" s="37" t="s">
        <v>6864</v>
      </c>
      <c r="H3081" s="63">
        <v>1301.3</v>
      </c>
    </row>
    <row r="3082" spans="1:8" ht="24.75" customHeight="1">
      <c r="A3082" s="44" t="s">
        <v>2283</v>
      </c>
      <c r="B3082" s="45" t="s">
        <v>3382</v>
      </c>
      <c r="C3082" s="45" t="s">
        <v>6816</v>
      </c>
      <c r="D3082" s="45" t="s">
        <v>6709</v>
      </c>
      <c r="E3082" s="44" t="s">
        <v>6840</v>
      </c>
      <c r="F3082" s="37">
        <v>10</v>
      </c>
      <c r="G3082" s="37" t="s">
        <v>6864</v>
      </c>
      <c r="H3082" s="63">
        <v>1601.6</v>
      </c>
    </row>
    <row r="3083" spans="1:8" ht="24.75" customHeight="1">
      <c r="A3083" s="44" t="s">
        <v>2279</v>
      </c>
      <c r="B3083" s="45" t="s">
        <v>3378</v>
      </c>
      <c r="C3083" s="45" t="s">
        <v>6816</v>
      </c>
      <c r="D3083" s="45" t="s">
        <v>6709</v>
      </c>
      <c r="E3083" s="44" t="s">
        <v>6840</v>
      </c>
      <c r="F3083" s="37">
        <v>10</v>
      </c>
      <c r="G3083" s="37" t="s">
        <v>6864</v>
      </c>
      <c r="H3083" s="63">
        <v>1158.3</v>
      </c>
    </row>
    <row r="3084" spans="1:8" ht="24.75" customHeight="1">
      <c r="A3084" s="44" t="s">
        <v>3208</v>
      </c>
      <c r="B3084" s="45" t="s">
        <v>3387</v>
      </c>
      <c r="C3084" s="45" t="s">
        <v>6816</v>
      </c>
      <c r="D3084" s="45" t="s">
        <v>6709</v>
      </c>
      <c r="E3084" s="44" t="s">
        <v>6840</v>
      </c>
      <c r="F3084" s="37">
        <v>10</v>
      </c>
      <c r="G3084" s="37" t="s">
        <v>6864</v>
      </c>
      <c r="H3084" s="63">
        <v>1372.8</v>
      </c>
    </row>
    <row r="3085" spans="1:8" ht="24.75" customHeight="1">
      <c r="A3085" s="44" t="s">
        <v>2281</v>
      </c>
      <c r="B3085" s="45" t="s">
        <v>3380</v>
      </c>
      <c r="C3085" s="45" t="s">
        <v>6816</v>
      </c>
      <c r="D3085" s="45" t="s">
        <v>6709</v>
      </c>
      <c r="E3085" s="44" t="s">
        <v>6840</v>
      </c>
      <c r="F3085" s="37">
        <v>10</v>
      </c>
      <c r="G3085" s="37" t="s">
        <v>6864</v>
      </c>
      <c r="H3085" s="63">
        <v>1444.3</v>
      </c>
    </row>
    <row r="3086" spans="1:8" ht="24.75" customHeight="1">
      <c r="A3086" s="44" t="s">
        <v>2282</v>
      </c>
      <c r="B3086" s="45" t="s">
        <v>3381</v>
      </c>
      <c r="C3086" s="45" t="s">
        <v>6816</v>
      </c>
      <c r="D3086" s="45" t="s">
        <v>6709</v>
      </c>
      <c r="E3086" s="44" t="s">
        <v>6840</v>
      </c>
      <c r="F3086" s="37">
        <v>10</v>
      </c>
      <c r="G3086" s="37" t="s">
        <v>6864</v>
      </c>
      <c r="H3086" s="63">
        <v>1387.1</v>
      </c>
    </row>
    <row r="3087" spans="1:8" ht="24.75" customHeight="1">
      <c r="A3087" s="44" t="s">
        <v>3207</v>
      </c>
      <c r="B3087" s="45" t="s">
        <v>3388</v>
      </c>
      <c r="C3087" s="45" t="s">
        <v>6816</v>
      </c>
      <c r="D3087" s="45" t="s">
        <v>6709</v>
      </c>
      <c r="E3087" s="44" t="s">
        <v>6840</v>
      </c>
      <c r="F3087" s="37">
        <v>10</v>
      </c>
      <c r="G3087" s="37" t="s">
        <v>6864</v>
      </c>
      <c r="H3087" s="63">
        <v>1372.8</v>
      </c>
    </row>
    <row r="3088" spans="1:8" ht="24.75" customHeight="1">
      <c r="A3088" s="44" t="s">
        <v>2284</v>
      </c>
      <c r="B3088" s="45" t="s">
        <v>3383</v>
      </c>
      <c r="C3088" s="45" t="s">
        <v>6816</v>
      </c>
      <c r="D3088" s="45" t="s">
        <v>6709</v>
      </c>
      <c r="E3088" s="44" t="s">
        <v>6840</v>
      </c>
      <c r="F3088" s="37">
        <v>10</v>
      </c>
      <c r="G3088" s="37" t="s">
        <v>6864</v>
      </c>
      <c r="H3088" s="63">
        <v>2016.3</v>
      </c>
    </row>
    <row r="3089" spans="1:8" ht="24.75" customHeight="1">
      <c r="A3089" s="44" t="s">
        <v>2287</v>
      </c>
      <c r="B3089" s="45" t="s">
        <v>3386</v>
      </c>
      <c r="C3089" s="45" t="s">
        <v>6816</v>
      </c>
      <c r="D3089" s="45" t="s">
        <v>6709</v>
      </c>
      <c r="E3089" s="44" t="s">
        <v>6840</v>
      </c>
      <c r="F3089" s="37">
        <v>10</v>
      </c>
      <c r="G3089" s="37" t="s">
        <v>6864</v>
      </c>
      <c r="H3089" s="63">
        <v>1501.5</v>
      </c>
    </row>
    <row r="3090" spans="1:8" ht="24.75" customHeight="1">
      <c r="A3090" s="44" t="s">
        <v>3191</v>
      </c>
      <c r="B3090" s="45" t="s">
        <v>3372</v>
      </c>
      <c r="C3090" s="45" t="s">
        <v>6816</v>
      </c>
      <c r="D3090" s="45" t="s">
        <v>6709</v>
      </c>
      <c r="E3090" s="44" t="s">
        <v>6840</v>
      </c>
      <c r="F3090" s="37">
        <v>10</v>
      </c>
      <c r="G3090" s="37" t="s">
        <v>6864</v>
      </c>
      <c r="H3090" s="63">
        <v>4747.6000000000004</v>
      </c>
    </row>
    <row r="3091" spans="1:8" ht="24.75" customHeight="1">
      <c r="A3091" s="44" t="s">
        <v>3192</v>
      </c>
      <c r="B3091" s="45" t="s">
        <v>3373</v>
      </c>
      <c r="C3091" s="45" t="s">
        <v>6816</v>
      </c>
      <c r="D3091" s="45" t="s">
        <v>6709</v>
      </c>
      <c r="E3091" s="44" t="s">
        <v>6840</v>
      </c>
      <c r="F3091" s="37">
        <v>10</v>
      </c>
      <c r="G3091" s="37" t="s">
        <v>6864</v>
      </c>
      <c r="H3091" s="63">
        <v>5047.8999999999996</v>
      </c>
    </row>
    <row r="3092" spans="1:8" ht="24.75" customHeight="1">
      <c r="A3092" s="44" t="s">
        <v>3193</v>
      </c>
      <c r="B3092" s="45" t="s">
        <v>3374</v>
      </c>
      <c r="C3092" s="45" t="s">
        <v>6816</v>
      </c>
      <c r="D3092" s="45" t="s">
        <v>6709</v>
      </c>
      <c r="E3092" s="44" t="s">
        <v>6840</v>
      </c>
      <c r="F3092" s="37">
        <v>10</v>
      </c>
      <c r="G3092" s="37" t="s">
        <v>6864</v>
      </c>
      <c r="H3092" s="63">
        <v>5105.1000000000004</v>
      </c>
    </row>
    <row r="3093" spans="1:8" ht="24.75" customHeight="1">
      <c r="A3093" s="44" t="s">
        <v>3196</v>
      </c>
      <c r="B3093" s="45" t="s">
        <v>3377</v>
      </c>
      <c r="C3093" s="45" t="s">
        <v>6816</v>
      </c>
      <c r="D3093" s="45" t="s">
        <v>6709</v>
      </c>
      <c r="E3093" s="44" t="s">
        <v>6840</v>
      </c>
      <c r="F3093" s="37">
        <v>10</v>
      </c>
      <c r="G3093" s="37" t="s">
        <v>6864</v>
      </c>
      <c r="H3093" s="63">
        <v>5291</v>
      </c>
    </row>
    <row r="3094" spans="1:8" ht="24.75" customHeight="1">
      <c r="A3094" s="44" t="s">
        <v>3195</v>
      </c>
      <c r="B3094" s="45" t="s">
        <v>3376</v>
      </c>
      <c r="C3094" s="45" t="s">
        <v>6816</v>
      </c>
      <c r="D3094" s="45" t="s">
        <v>6709</v>
      </c>
      <c r="E3094" s="44" t="s">
        <v>6840</v>
      </c>
      <c r="F3094" s="37">
        <v>10</v>
      </c>
      <c r="G3094" s="37" t="s">
        <v>6864</v>
      </c>
      <c r="H3094" s="63">
        <v>5348.2</v>
      </c>
    </row>
    <row r="3095" spans="1:8" ht="24.75" customHeight="1">
      <c r="A3095" s="44" t="s">
        <v>3194</v>
      </c>
      <c r="B3095" s="45" t="s">
        <v>3375</v>
      </c>
      <c r="C3095" s="45" t="s">
        <v>6816</v>
      </c>
      <c r="D3095" s="45" t="s">
        <v>6709</v>
      </c>
      <c r="E3095" s="44" t="s">
        <v>6840</v>
      </c>
      <c r="F3095" s="37">
        <v>10</v>
      </c>
      <c r="G3095" s="37" t="s">
        <v>6864</v>
      </c>
      <c r="H3095" s="63">
        <v>7478.9</v>
      </c>
    </row>
    <row r="3096" spans="1:8" ht="24.75" customHeight="1">
      <c r="A3096" s="44" t="s">
        <v>2280</v>
      </c>
      <c r="B3096" s="45" t="s">
        <v>3379</v>
      </c>
      <c r="C3096" s="45" t="s">
        <v>6816</v>
      </c>
      <c r="D3096" s="45" t="s">
        <v>6709</v>
      </c>
      <c r="E3096" s="44" t="s">
        <v>6840</v>
      </c>
      <c r="F3096" s="37">
        <v>10</v>
      </c>
      <c r="G3096" s="37" t="s">
        <v>6864</v>
      </c>
      <c r="H3096" s="63">
        <v>1301.3</v>
      </c>
    </row>
    <row r="3097" spans="1:8" ht="24.75" customHeight="1">
      <c r="A3097" s="44" t="s">
        <v>1507</v>
      </c>
      <c r="B3097" s="45" t="s">
        <v>3631</v>
      </c>
      <c r="C3097" s="45" t="s">
        <v>6816</v>
      </c>
      <c r="D3097" s="45" t="s">
        <v>6819</v>
      </c>
      <c r="E3097" s="44"/>
      <c r="F3097" s="37">
        <v>5</v>
      </c>
      <c r="G3097" s="37" t="s">
        <v>6864</v>
      </c>
      <c r="H3097" s="63">
        <v>1987.7</v>
      </c>
    </row>
    <row r="3098" spans="1:8" ht="24.75" customHeight="1">
      <c r="A3098" s="44" t="s">
        <v>1505</v>
      </c>
      <c r="B3098" s="45" t="s">
        <v>3628</v>
      </c>
      <c r="C3098" s="45" t="s">
        <v>6816</v>
      </c>
      <c r="D3098" s="45" t="s">
        <v>6819</v>
      </c>
      <c r="E3098" s="44"/>
      <c r="F3098" s="37">
        <v>5</v>
      </c>
      <c r="G3098" s="37" t="s">
        <v>6864</v>
      </c>
      <c r="H3098" s="63">
        <v>1987.7</v>
      </c>
    </row>
    <row r="3099" spans="1:8" ht="24.75" customHeight="1">
      <c r="A3099" s="44" t="s">
        <v>1504</v>
      </c>
      <c r="B3099" s="45" t="s">
        <v>3626</v>
      </c>
      <c r="C3099" s="45" t="s">
        <v>6816</v>
      </c>
      <c r="D3099" s="45" t="s">
        <v>6819</v>
      </c>
      <c r="E3099" s="44"/>
      <c r="F3099" s="37">
        <v>5</v>
      </c>
      <c r="G3099" s="37" t="s">
        <v>6864</v>
      </c>
      <c r="H3099" s="63">
        <v>1987.7</v>
      </c>
    </row>
    <row r="3100" spans="1:8" ht="24.75" customHeight="1">
      <c r="A3100" s="44" t="s">
        <v>2973</v>
      </c>
      <c r="B3100" s="45" t="s">
        <v>3630</v>
      </c>
      <c r="C3100" s="45" t="s">
        <v>6816</v>
      </c>
      <c r="D3100" s="45" t="s">
        <v>6819</v>
      </c>
      <c r="E3100" s="44"/>
      <c r="F3100" s="37">
        <v>5</v>
      </c>
      <c r="G3100" s="37" t="s">
        <v>6864</v>
      </c>
      <c r="H3100" s="63">
        <v>1987.7</v>
      </c>
    </row>
    <row r="3101" spans="1:8" ht="24.75" customHeight="1">
      <c r="A3101" s="44" t="s">
        <v>1506</v>
      </c>
      <c r="B3101" s="45" t="s">
        <v>3629</v>
      </c>
      <c r="C3101" s="45" t="s">
        <v>6816</v>
      </c>
      <c r="D3101" s="45" t="s">
        <v>6819</v>
      </c>
      <c r="E3101" s="44"/>
      <c r="F3101" s="37">
        <v>5</v>
      </c>
      <c r="G3101" s="37" t="s">
        <v>6864</v>
      </c>
      <c r="H3101" s="63">
        <v>1987.7</v>
      </c>
    </row>
    <row r="3102" spans="1:8" ht="24.75" customHeight="1">
      <c r="A3102" s="44" t="s">
        <v>295</v>
      </c>
      <c r="B3102" s="45" t="s">
        <v>3627</v>
      </c>
      <c r="C3102" s="45" t="s">
        <v>6816</v>
      </c>
      <c r="D3102" s="45" t="s">
        <v>6819</v>
      </c>
      <c r="E3102" s="44"/>
      <c r="F3102" s="37">
        <v>10</v>
      </c>
      <c r="G3102" s="37" t="s">
        <v>6864</v>
      </c>
      <c r="H3102" s="63">
        <v>443.3</v>
      </c>
    </row>
    <row r="3103" spans="1:8" ht="24.75" customHeight="1">
      <c r="A3103" s="44" t="s">
        <v>728</v>
      </c>
      <c r="B3103" s="45" t="s">
        <v>5993</v>
      </c>
      <c r="C3103" s="45" t="s">
        <v>6816</v>
      </c>
      <c r="D3103" s="45" t="s">
        <v>958</v>
      </c>
      <c r="E3103" s="44" t="s">
        <v>6839</v>
      </c>
      <c r="F3103" s="37">
        <v>1</v>
      </c>
      <c r="G3103" s="37" t="s">
        <v>6864</v>
      </c>
      <c r="H3103" s="63">
        <v>4790.5</v>
      </c>
    </row>
    <row r="3104" spans="1:8" ht="24.75" customHeight="1">
      <c r="A3104" s="44" t="s">
        <v>720</v>
      </c>
      <c r="B3104" s="45" t="s">
        <v>5078</v>
      </c>
      <c r="C3104" s="45" t="s">
        <v>6816</v>
      </c>
      <c r="D3104" s="45" t="s">
        <v>958</v>
      </c>
      <c r="E3104" s="44" t="s">
        <v>6839</v>
      </c>
      <c r="F3104" s="37">
        <v>1</v>
      </c>
      <c r="G3104" s="37" t="s">
        <v>6864</v>
      </c>
      <c r="H3104" s="63">
        <v>8394.1</v>
      </c>
    </row>
    <row r="3105" spans="1:8" ht="24.75" customHeight="1">
      <c r="A3105" s="44" t="s">
        <v>2583</v>
      </c>
      <c r="B3105" s="45" t="s">
        <v>5241</v>
      </c>
      <c r="C3105" s="45" t="s">
        <v>6816</v>
      </c>
      <c r="D3105" s="45" t="s">
        <v>958</v>
      </c>
      <c r="E3105" s="44" t="s">
        <v>6855</v>
      </c>
      <c r="F3105" s="37">
        <v>1</v>
      </c>
      <c r="G3105" s="37" t="s">
        <v>6864</v>
      </c>
      <c r="H3105" s="63">
        <v>19147.7</v>
      </c>
    </row>
    <row r="3106" spans="1:8" ht="24.75" customHeight="1">
      <c r="A3106" s="44" t="s">
        <v>1582</v>
      </c>
      <c r="B3106" s="45" t="s">
        <v>5462</v>
      </c>
      <c r="C3106" s="45" t="s">
        <v>6816</v>
      </c>
      <c r="D3106" s="45" t="s">
        <v>958</v>
      </c>
      <c r="E3106" s="44" t="s">
        <v>6839</v>
      </c>
      <c r="F3106" s="37">
        <v>1</v>
      </c>
      <c r="G3106" s="37" t="s">
        <v>6864</v>
      </c>
      <c r="H3106" s="63">
        <v>27856.400000000001</v>
      </c>
    </row>
    <row r="3107" spans="1:8" ht="24.75" customHeight="1">
      <c r="A3107" s="44" t="s">
        <v>610</v>
      </c>
      <c r="B3107" s="45" t="s">
        <v>5656</v>
      </c>
      <c r="C3107" s="45" t="s">
        <v>6816</v>
      </c>
      <c r="D3107" s="45" t="s">
        <v>958</v>
      </c>
      <c r="E3107" s="44" t="s">
        <v>6839</v>
      </c>
      <c r="F3107" s="37">
        <v>1</v>
      </c>
      <c r="G3107" s="37" t="s">
        <v>6864</v>
      </c>
      <c r="H3107" s="63">
        <v>11354.2</v>
      </c>
    </row>
    <row r="3108" spans="1:8" ht="24.75" customHeight="1">
      <c r="A3108" s="44" t="s">
        <v>2781</v>
      </c>
      <c r="B3108" s="45" t="s">
        <v>5778</v>
      </c>
      <c r="C3108" s="45" t="s">
        <v>6816</v>
      </c>
      <c r="D3108" s="45" t="s">
        <v>958</v>
      </c>
      <c r="E3108" s="44" t="s">
        <v>6839</v>
      </c>
      <c r="F3108" s="37">
        <v>1</v>
      </c>
      <c r="G3108" s="37" t="s">
        <v>6864</v>
      </c>
      <c r="H3108" s="63">
        <v>32332.3</v>
      </c>
    </row>
    <row r="3109" spans="1:8" ht="24.75" customHeight="1">
      <c r="A3109" s="44" t="s">
        <v>2967</v>
      </c>
      <c r="B3109" s="45" t="s">
        <v>5239</v>
      </c>
      <c r="C3109" s="45" t="s">
        <v>6816</v>
      </c>
      <c r="D3109" s="45" t="s">
        <v>958</v>
      </c>
      <c r="E3109" s="44" t="s">
        <v>6855</v>
      </c>
      <c r="F3109" s="37">
        <v>1</v>
      </c>
      <c r="G3109" s="37" t="s">
        <v>6864</v>
      </c>
      <c r="H3109" s="63">
        <v>22422.400000000001</v>
      </c>
    </row>
    <row r="3110" spans="1:8" ht="24.75" customHeight="1">
      <c r="A3110" s="44" t="s">
        <v>2582</v>
      </c>
      <c r="B3110" s="45" t="s">
        <v>5240</v>
      </c>
      <c r="C3110" s="45" t="s">
        <v>6816</v>
      </c>
      <c r="D3110" s="45" t="s">
        <v>958</v>
      </c>
      <c r="E3110" s="44" t="s">
        <v>6855</v>
      </c>
      <c r="F3110" s="37">
        <v>1</v>
      </c>
      <c r="G3110" s="37" t="s">
        <v>6864</v>
      </c>
      <c r="H3110" s="63">
        <v>15329.6</v>
      </c>
    </row>
    <row r="3111" spans="1:8" ht="24.75" customHeight="1">
      <c r="A3111" s="44" t="s">
        <v>2613</v>
      </c>
      <c r="B3111" s="45" t="s">
        <v>5243</v>
      </c>
      <c r="C3111" s="45" t="s">
        <v>6816</v>
      </c>
      <c r="D3111" s="45" t="s">
        <v>958</v>
      </c>
      <c r="E3111" s="44" t="s">
        <v>6839</v>
      </c>
      <c r="F3111" s="37">
        <v>1</v>
      </c>
      <c r="G3111" s="37" t="s">
        <v>6864</v>
      </c>
      <c r="H3111" s="63">
        <v>5705.7</v>
      </c>
    </row>
    <row r="3112" spans="1:8" ht="24.75" customHeight="1">
      <c r="A3112" s="44" t="s">
        <v>2183</v>
      </c>
      <c r="B3112" s="45" t="s">
        <v>5910</v>
      </c>
      <c r="C3112" s="45" t="s">
        <v>6816</v>
      </c>
      <c r="D3112" s="45" t="s">
        <v>958</v>
      </c>
      <c r="E3112" s="44" t="s">
        <v>6855</v>
      </c>
      <c r="F3112" s="37">
        <v>1</v>
      </c>
      <c r="G3112" s="37" t="s">
        <v>6864</v>
      </c>
      <c r="H3112" s="63">
        <v>7250.1</v>
      </c>
    </row>
    <row r="3113" spans="1:8" ht="24.75" customHeight="1">
      <c r="A3113" s="44" t="s">
        <v>2350</v>
      </c>
      <c r="B3113" s="45" t="s">
        <v>5242</v>
      </c>
      <c r="C3113" s="45" t="s">
        <v>6816</v>
      </c>
      <c r="D3113" s="45" t="s">
        <v>958</v>
      </c>
      <c r="E3113" s="44" t="s">
        <v>6855</v>
      </c>
      <c r="F3113" s="37">
        <v>1</v>
      </c>
      <c r="G3113" s="37" t="s">
        <v>6864</v>
      </c>
      <c r="H3113" s="63">
        <v>19648.2</v>
      </c>
    </row>
    <row r="3114" spans="1:8" ht="24.75" customHeight="1">
      <c r="A3114" s="44" t="s">
        <v>1487</v>
      </c>
      <c r="B3114" s="45" t="s">
        <v>4968</v>
      </c>
      <c r="C3114" s="45" t="s">
        <v>6816</v>
      </c>
      <c r="D3114" s="45" t="s">
        <v>958</v>
      </c>
      <c r="E3114" s="44"/>
      <c r="F3114" s="37">
        <v>1</v>
      </c>
      <c r="G3114" s="37" t="s">
        <v>6864</v>
      </c>
      <c r="H3114" s="63">
        <v>13742.3</v>
      </c>
    </row>
    <row r="3115" spans="1:8" ht="24.75" customHeight="1">
      <c r="A3115" s="44" t="s">
        <v>2363</v>
      </c>
      <c r="B3115" s="45" t="s">
        <v>4812</v>
      </c>
      <c r="C3115" s="45" t="s">
        <v>6816</v>
      </c>
      <c r="D3115" s="45" t="s">
        <v>6820</v>
      </c>
      <c r="E3115" s="44" t="s">
        <v>6855</v>
      </c>
      <c r="F3115" s="37">
        <v>1</v>
      </c>
      <c r="G3115" s="37" t="s">
        <v>6864</v>
      </c>
      <c r="H3115" s="63">
        <v>22422.400000000001</v>
      </c>
    </row>
    <row r="3116" spans="1:8" ht="24.75" customHeight="1">
      <c r="A3116" s="44" t="s">
        <v>1376</v>
      </c>
      <c r="B3116" s="45" t="s">
        <v>5696</v>
      </c>
      <c r="C3116" s="45" t="s">
        <v>6816</v>
      </c>
      <c r="D3116" s="45" t="s">
        <v>6820</v>
      </c>
      <c r="E3116" s="44" t="s">
        <v>6839</v>
      </c>
      <c r="F3116" s="37">
        <v>1</v>
      </c>
      <c r="G3116" s="37" t="s">
        <v>2568</v>
      </c>
      <c r="H3116" s="63">
        <v>6377.8</v>
      </c>
    </row>
    <row r="3117" spans="1:8" ht="24.75" customHeight="1">
      <c r="A3117" s="44" t="s">
        <v>926</v>
      </c>
      <c r="B3117" s="45" t="s">
        <v>4887</v>
      </c>
      <c r="C3117" s="45" t="s">
        <v>6816</v>
      </c>
      <c r="D3117" s="45" t="s">
        <v>6820</v>
      </c>
      <c r="E3117" s="44" t="s">
        <v>6855</v>
      </c>
      <c r="F3117" s="37">
        <v>1</v>
      </c>
      <c r="G3117" s="37" t="s">
        <v>6864</v>
      </c>
      <c r="H3117" s="63">
        <v>6477.9</v>
      </c>
    </row>
    <row r="3118" spans="1:8" ht="24.75" customHeight="1">
      <c r="A3118" s="44" t="s">
        <v>1236</v>
      </c>
      <c r="B3118" s="45" t="s">
        <v>4888</v>
      </c>
      <c r="C3118" s="45" t="s">
        <v>6816</v>
      </c>
      <c r="D3118" s="45" t="s">
        <v>6820</v>
      </c>
      <c r="E3118" s="44" t="s">
        <v>6855</v>
      </c>
      <c r="F3118" s="37">
        <v>1</v>
      </c>
      <c r="G3118" s="37" t="s">
        <v>6864</v>
      </c>
      <c r="H3118" s="63">
        <v>3374.8</v>
      </c>
    </row>
    <row r="3119" spans="1:8" ht="24.75" customHeight="1">
      <c r="A3119" s="44" t="s">
        <v>1237</v>
      </c>
      <c r="B3119" s="45" t="s">
        <v>4889</v>
      </c>
      <c r="C3119" s="45" t="s">
        <v>6816</v>
      </c>
      <c r="D3119" s="45" t="s">
        <v>6820</v>
      </c>
      <c r="E3119" s="44" t="s">
        <v>6855</v>
      </c>
      <c r="F3119" s="37">
        <v>1</v>
      </c>
      <c r="G3119" s="37" t="s">
        <v>6864</v>
      </c>
      <c r="H3119" s="63">
        <v>3103.1</v>
      </c>
    </row>
    <row r="3120" spans="1:8" ht="24.75" customHeight="1">
      <c r="A3120" s="44" t="s">
        <v>1238</v>
      </c>
      <c r="B3120" s="45" t="s">
        <v>4890</v>
      </c>
      <c r="C3120" s="45" t="s">
        <v>6816</v>
      </c>
      <c r="D3120" s="45" t="s">
        <v>6820</v>
      </c>
      <c r="E3120" s="44" t="s">
        <v>6855</v>
      </c>
      <c r="F3120" s="37">
        <v>1</v>
      </c>
      <c r="G3120" s="37" t="s">
        <v>6864</v>
      </c>
      <c r="H3120" s="63">
        <v>6806.8</v>
      </c>
    </row>
    <row r="3121" spans="1:8" ht="24.75" customHeight="1">
      <c r="A3121" s="44" t="s">
        <v>2360</v>
      </c>
      <c r="B3121" s="45" t="s">
        <v>4809</v>
      </c>
      <c r="C3121" s="45" t="s">
        <v>6816</v>
      </c>
      <c r="D3121" s="45" t="s">
        <v>6820</v>
      </c>
      <c r="E3121" s="44" t="s">
        <v>6855</v>
      </c>
      <c r="F3121" s="37">
        <v>1</v>
      </c>
      <c r="G3121" s="37" t="s">
        <v>6864</v>
      </c>
      <c r="H3121" s="63">
        <v>5376.8</v>
      </c>
    </row>
    <row r="3122" spans="1:8" ht="24.75" customHeight="1">
      <c r="A3122" s="44" t="s">
        <v>1899</v>
      </c>
      <c r="B3122" s="45" t="s">
        <v>4897</v>
      </c>
      <c r="C3122" s="45" t="s">
        <v>6816</v>
      </c>
      <c r="D3122" s="45" t="s">
        <v>6820</v>
      </c>
      <c r="E3122" s="44" t="s">
        <v>6855</v>
      </c>
      <c r="F3122" s="37">
        <v>1</v>
      </c>
      <c r="G3122" s="37" t="s">
        <v>6864</v>
      </c>
      <c r="H3122" s="63">
        <v>5033.6000000000004</v>
      </c>
    </row>
    <row r="3123" spans="1:8" ht="24.75" customHeight="1">
      <c r="A3123" s="44" t="s">
        <v>1901</v>
      </c>
      <c r="B3123" s="45" t="s">
        <v>4899</v>
      </c>
      <c r="C3123" s="45" t="s">
        <v>6816</v>
      </c>
      <c r="D3123" s="45" t="s">
        <v>6820</v>
      </c>
      <c r="E3123" s="44" t="s">
        <v>6855</v>
      </c>
      <c r="F3123" s="37">
        <v>1</v>
      </c>
      <c r="G3123" s="37" t="s">
        <v>6864</v>
      </c>
      <c r="H3123" s="63">
        <v>5319.6</v>
      </c>
    </row>
    <row r="3124" spans="1:8" ht="24.75" customHeight="1">
      <c r="A3124" s="44" t="s">
        <v>1906</v>
      </c>
      <c r="B3124" s="45" t="s">
        <v>4904</v>
      </c>
      <c r="C3124" s="45" t="s">
        <v>6816</v>
      </c>
      <c r="D3124" s="45" t="s">
        <v>6820</v>
      </c>
      <c r="E3124" s="44" t="s">
        <v>6855</v>
      </c>
      <c r="F3124" s="37">
        <v>1</v>
      </c>
      <c r="G3124" s="37" t="s">
        <v>6864</v>
      </c>
      <c r="H3124" s="63">
        <v>7750.6</v>
      </c>
    </row>
    <row r="3125" spans="1:8" ht="24.75" customHeight="1">
      <c r="A3125" s="44" t="s">
        <v>2362</v>
      </c>
      <c r="B3125" s="45" t="s">
        <v>4811</v>
      </c>
      <c r="C3125" s="45" t="s">
        <v>6816</v>
      </c>
      <c r="D3125" s="45" t="s">
        <v>6820</v>
      </c>
      <c r="E3125" s="44" t="s">
        <v>6855</v>
      </c>
      <c r="F3125" s="37">
        <v>1</v>
      </c>
      <c r="G3125" s="37" t="s">
        <v>6864</v>
      </c>
      <c r="H3125" s="63">
        <v>8751.6</v>
      </c>
    </row>
    <row r="3126" spans="1:8" ht="24.75" customHeight="1">
      <c r="A3126" s="44" t="s">
        <v>1904</v>
      </c>
      <c r="B3126" s="45" t="s">
        <v>4902</v>
      </c>
      <c r="C3126" s="45" t="s">
        <v>6816</v>
      </c>
      <c r="D3126" s="45" t="s">
        <v>6820</v>
      </c>
      <c r="E3126" s="44" t="s">
        <v>6855</v>
      </c>
      <c r="F3126" s="37">
        <v>1</v>
      </c>
      <c r="G3126" s="37" t="s">
        <v>6864</v>
      </c>
      <c r="H3126" s="63">
        <v>7092.8</v>
      </c>
    </row>
    <row r="3127" spans="1:8" ht="24.75" customHeight="1">
      <c r="A3127" s="44" t="s">
        <v>769</v>
      </c>
      <c r="B3127" s="45" t="s">
        <v>5989</v>
      </c>
      <c r="C3127" s="45" t="s">
        <v>6816</v>
      </c>
      <c r="D3127" s="45" t="s">
        <v>6820</v>
      </c>
      <c r="E3127" s="44" t="s">
        <v>6839</v>
      </c>
      <c r="F3127" s="37">
        <v>1</v>
      </c>
      <c r="G3127" s="37" t="s">
        <v>6864</v>
      </c>
      <c r="H3127" s="63">
        <v>7221.5</v>
      </c>
    </row>
    <row r="3128" spans="1:8" ht="24.75" customHeight="1">
      <c r="A3128" s="44" t="s">
        <v>2364</v>
      </c>
      <c r="B3128" s="45" t="s">
        <v>4813</v>
      </c>
      <c r="C3128" s="45" t="s">
        <v>6816</v>
      </c>
      <c r="D3128" s="45" t="s">
        <v>6820</v>
      </c>
      <c r="E3128" s="44" t="s">
        <v>6855</v>
      </c>
      <c r="F3128" s="37">
        <v>1</v>
      </c>
      <c r="G3128" s="37" t="s">
        <v>6864</v>
      </c>
      <c r="H3128" s="63">
        <v>22422.400000000001</v>
      </c>
    </row>
    <row r="3129" spans="1:8" ht="24.75" customHeight="1">
      <c r="A3129" s="44" t="s">
        <v>3170</v>
      </c>
      <c r="B3129" s="45" t="s">
        <v>4906</v>
      </c>
      <c r="C3129" s="45" t="s">
        <v>6816</v>
      </c>
      <c r="D3129" s="45" t="s">
        <v>6820</v>
      </c>
      <c r="E3129" s="44"/>
      <c r="F3129" s="37">
        <v>1</v>
      </c>
      <c r="G3129" s="37" t="s">
        <v>6864</v>
      </c>
      <c r="H3129" s="63">
        <v>8422.7000000000007</v>
      </c>
    </row>
    <row r="3130" spans="1:8" ht="24.75" customHeight="1">
      <c r="A3130" s="44" t="s">
        <v>1240</v>
      </c>
      <c r="B3130" s="45" t="s">
        <v>4892</v>
      </c>
      <c r="C3130" s="45" t="s">
        <v>6816</v>
      </c>
      <c r="D3130" s="45" t="s">
        <v>6820</v>
      </c>
      <c r="E3130" s="44" t="s">
        <v>6855</v>
      </c>
      <c r="F3130" s="37">
        <v>1</v>
      </c>
      <c r="G3130" s="37" t="s">
        <v>6864</v>
      </c>
      <c r="H3130" s="63">
        <v>6592.3</v>
      </c>
    </row>
    <row r="3131" spans="1:8" ht="24.75" customHeight="1">
      <c r="A3131" s="44" t="s">
        <v>1581</v>
      </c>
      <c r="B3131" s="45" t="s">
        <v>5461</v>
      </c>
      <c r="C3131" s="45" t="s">
        <v>6816</v>
      </c>
      <c r="D3131" s="45" t="s">
        <v>6820</v>
      </c>
      <c r="E3131" s="44" t="s">
        <v>6839</v>
      </c>
      <c r="F3131" s="37">
        <v>1</v>
      </c>
      <c r="G3131" s="37" t="s">
        <v>6864</v>
      </c>
      <c r="H3131" s="63">
        <v>10010</v>
      </c>
    </row>
    <row r="3132" spans="1:8" ht="24.75" customHeight="1">
      <c r="A3132" s="44" t="s">
        <v>1242</v>
      </c>
      <c r="B3132" s="45" t="s">
        <v>4894</v>
      </c>
      <c r="C3132" s="45" t="s">
        <v>6816</v>
      </c>
      <c r="D3132" s="45" t="s">
        <v>6820</v>
      </c>
      <c r="E3132" s="44" t="s">
        <v>6855</v>
      </c>
      <c r="F3132" s="37">
        <v>1</v>
      </c>
      <c r="G3132" s="37" t="s">
        <v>6864</v>
      </c>
      <c r="H3132" s="63">
        <v>10124.4</v>
      </c>
    </row>
    <row r="3133" spans="1:8" ht="24.75" customHeight="1">
      <c r="A3133" s="44" t="s">
        <v>1241</v>
      </c>
      <c r="B3133" s="45" t="s">
        <v>4893</v>
      </c>
      <c r="C3133" s="45" t="s">
        <v>6816</v>
      </c>
      <c r="D3133" s="45" t="s">
        <v>6820</v>
      </c>
      <c r="E3133" s="44" t="s">
        <v>6855</v>
      </c>
      <c r="F3133" s="37">
        <v>1</v>
      </c>
      <c r="G3133" s="37" t="s">
        <v>6864</v>
      </c>
      <c r="H3133" s="63">
        <v>10124.4</v>
      </c>
    </row>
    <row r="3134" spans="1:8" ht="24.75" customHeight="1">
      <c r="A3134" s="44" t="s">
        <v>1239</v>
      </c>
      <c r="B3134" s="45" t="s">
        <v>4891</v>
      </c>
      <c r="C3134" s="45" t="s">
        <v>6816</v>
      </c>
      <c r="D3134" s="45" t="s">
        <v>6820</v>
      </c>
      <c r="E3134" s="44" t="s">
        <v>6855</v>
      </c>
      <c r="F3134" s="37">
        <v>1</v>
      </c>
      <c r="G3134" s="37" t="s">
        <v>6864</v>
      </c>
      <c r="H3134" s="63">
        <v>9909.9</v>
      </c>
    </row>
    <row r="3135" spans="1:8" ht="24.75" customHeight="1">
      <c r="A3135" s="44" t="s">
        <v>1243</v>
      </c>
      <c r="B3135" s="45" t="s">
        <v>4895</v>
      </c>
      <c r="C3135" s="45" t="s">
        <v>6816</v>
      </c>
      <c r="D3135" s="45" t="s">
        <v>6820</v>
      </c>
      <c r="E3135" s="44" t="s">
        <v>6855</v>
      </c>
      <c r="F3135" s="37">
        <v>1</v>
      </c>
      <c r="G3135" s="37" t="s">
        <v>6864</v>
      </c>
      <c r="H3135" s="63">
        <v>8408.4</v>
      </c>
    </row>
    <row r="3136" spans="1:8" ht="24.75" customHeight="1">
      <c r="A3136" s="44" t="s">
        <v>1902</v>
      </c>
      <c r="B3136" s="45" t="s">
        <v>4900</v>
      </c>
      <c r="C3136" s="45" t="s">
        <v>6816</v>
      </c>
      <c r="D3136" s="45" t="s">
        <v>6820</v>
      </c>
      <c r="E3136" s="44" t="s">
        <v>6855</v>
      </c>
      <c r="F3136" s="37">
        <v>1</v>
      </c>
      <c r="G3136" s="37" t="s">
        <v>6864</v>
      </c>
      <c r="H3136" s="63">
        <v>11683.1</v>
      </c>
    </row>
    <row r="3137" spans="1:8" ht="24.75" customHeight="1">
      <c r="A3137" s="44" t="s">
        <v>2361</v>
      </c>
      <c r="B3137" s="45" t="s">
        <v>4810</v>
      </c>
      <c r="C3137" s="45" t="s">
        <v>6816</v>
      </c>
      <c r="D3137" s="45" t="s">
        <v>6820</v>
      </c>
      <c r="E3137" s="44" t="s">
        <v>6855</v>
      </c>
      <c r="F3137" s="37">
        <v>1</v>
      </c>
      <c r="G3137" s="37" t="s">
        <v>6864</v>
      </c>
      <c r="H3137" s="63">
        <v>12283.7</v>
      </c>
    </row>
    <row r="3138" spans="1:8" ht="24.75" customHeight="1">
      <c r="A3138" s="44" t="s">
        <v>1898</v>
      </c>
      <c r="B3138" s="45" t="s">
        <v>4896</v>
      </c>
      <c r="C3138" s="45" t="s">
        <v>6816</v>
      </c>
      <c r="D3138" s="45" t="s">
        <v>6820</v>
      </c>
      <c r="E3138" s="44" t="s">
        <v>6855</v>
      </c>
      <c r="F3138" s="37">
        <v>1</v>
      </c>
      <c r="G3138" s="37" t="s">
        <v>6864</v>
      </c>
      <c r="H3138" s="63">
        <v>9909.9</v>
      </c>
    </row>
    <row r="3139" spans="1:8" ht="24.75" customHeight="1">
      <c r="A3139" s="44" t="s">
        <v>1900</v>
      </c>
      <c r="B3139" s="45" t="s">
        <v>4898</v>
      </c>
      <c r="C3139" s="45" t="s">
        <v>6816</v>
      </c>
      <c r="D3139" s="45" t="s">
        <v>6820</v>
      </c>
      <c r="E3139" s="44" t="s">
        <v>6855</v>
      </c>
      <c r="F3139" s="37">
        <v>1</v>
      </c>
      <c r="G3139" s="37" t="s">
        <v>6864</v>
      </c>
      <c r="H3139" s="63">
        <v>10024.299999999999</v>
      </c>
    </row>
    <row r="3140" spans="1:8" ht="24.75" customHeight="1">
      <c r="A3140" s="44" t="s">
        <v>1907</v>
      </c>
      <c r="B3140" s="45" t="s">
        <v>4905</v>
      </c>
      <c r="C3140" s="45" t="s">
        <v>6816</v>
      </c>
      <c r="D3140" s="45" t="s">
        <v>6820</v>
      </c>
      <c r="E3140" s="44" t="s">
        <v>6855</v>
      </c>
      <c r="F3140" s="37">
        <v>1</v>
      </c>
      <c r="G3140" s="37" t="s">
        <v>6864</v>
      </c>
      <c r="H3140" s="63">
        <v>11568.7</v>
      </c>
    </row>
    <row r="3141" spans="1:8" ht="24.75" customHeight="1">
      <c r="A3141" s="44" t="s">
        <v>1905</v>
      </c>
      <c r="B3141" s="45" t="s">
        <v>4903</v>
      </c>
      <c r="C3141" s="45" t="s">
        <v>6816</v>
      </c>
      <c r="D3141" s="45" t="s">
        <v>6820</v>
      </c>
      <c r="E3141" s="44" t="s">
        <v>6855</v>
      </c>
      <c r="F3141" s="37">
        <v>1</v>
      </c>
      <c r="G3141" s="37" t="s">
        <v>6864</v>
      </c>
      <c r="H3141" s="63">
        <v>8079.5</v>
      </c>
    </row>
    <row r="3142" spans="1:8" ht="24.75" customHeight="1">
      <c r="A3142" s="44" t="s">
        <v>1903</v>
      </c>
      <c r="B3142" s="45" t="s">
        <v>4901</v>
      </c>
      <c r="C3142" s="45" t="s">
        <v>6816</v>
      </c>
      <c r="D3142" s="45" t="s">
        <v>6820</v>
      </c>
      <c r="E3142" s="44" t="s">
        <v>6855</v>
      </c>
      <c r="F3142" s="37">
        <v>1</v>
      </c>
      <c r="G3142" s="37" t="s">
        <v>6864</v>
      </c>
      <c r="H3142" s="63">
        <v>7579</v>
      </c>
    </row>
    <row r="3143" spans="1:8" ht="24.75" customHeight="1">
      <c r="A3143" s="44" t="s">
        <v>770</v>
      </c>
      <c r="B3143" s="45" t="s">
        <v>5990</v>
      </c>
      <c r="C3143" s="45" t="s">
        <v>6816</v>
      </c>
      <c r="D3143" s="45" t="s">
        <v>6820</v>
      </c>
      <c r="E3143" s="44" t="s">
        <v>6839</v>
      </c>
      <c r="F3143" s="37">
        <v>1</v>
      </c>
      <c r="G3143" s="37" t="s">
        <v>6864</v>
      </c>
      <c r="H3143" s="63">
        <v>7965.1</v>
      </c>
    </row>
    <row r="3144" spans="1:8" ht="24.75" customHeight="1">
      <c r="A3144" s="44" t="s">
        <v>2185</v>
      </c>
      <c r="B3144" s="45" t="s">
        <v>5887</v>
      </c>
      <c r="C3144" s="45" t="s">
        <v>6816</v>
      </c>
      <c r="D3144" s="45" t="s">
        <v>6820</v>
      </c>
      <c r="E3144" s="44" t="s">
        <v>6855</v>
      </c>
      <c r="F3144" s="37">
        <v>1</v>
      </c>
      <c r="G3144" s="37" t="s">
        <v>6864</v>
      </c>
      <c r="H3144" s="63">
        <v>9967.1</v>
      </c>
    </row>
    <row r="3145" spans="1:8" ht="24.75" customHeight="1">
      <c r="A3145" s="44" t="s">
        <v>2853</v>
      </c>
      <c r="B3145" s="45" t="s">
        <v>5312</v>
      </c>
      <c r="C3145" s="45" t="s">
        <v>6816</v>
      </c>
      <c r="D3145" s="45" t="s">
        <v>6820</v>
      </c>
      <c r="E3145" s="44"/>
      <c r="F3145" s="37">
        <v>10</v>
      </c>
      <c r="G3145" s="37" t="s">
        <v>6864</v>
      </c>
      <c r="H3145" s="63">
        <v>829.4</v>
      </c>
    </row>
    <row r="3146" spans="1:8" ht="24.75" customHeight="1">
      <c r="A3146" s="44" t="s">
        <v>157</v>
      </c>
      <c r="B3146" s="45" t="s">
        <v>5125</v>
      </c>
      <c r="C3146" s="45" t="s">
        <v>6816</v>
      </c>
      <c r="D3146" s="45" t="s">
        <v>6821</v>
      </c>
      <c r="E3146" s="44"/>
      <c r="F3146" s="37">
        <v>1</v>
      </c>
      <c r="G3146" s="37" t="s">
        <v>6864</v>
      </c>
      <c r="H3146" s="63">
        <v>4962.1000000000004</v>
      </c>
    </row>
    <row r="3147" spans="1:8" ht="24.75" customHeight="1">
      <c r="A3147" s="44" t="s">
        <v>1579</v>
      </c>
      <c r="B3147" s="45" t="s">
        <v>5459</v>
      </c>
      <c r="C3147" s="45" t="s">
        <v>6816</v>
      </c>
      <c r="D3147" s="45" t="s">
        <v>6821</v>
      </c>
      <c r="E3147" s="44"/>
      <c r="F3147" s="37">
        <v>1</v>
      </c>
      <c r="G3147" s="37" t="s">
        <v>6864</v>
      </c>
      <c r="H3147" s="63">
        <v>10682.1</v>
      </c>
    </row>
    <row r="3148" spans="1:8" ht="24.75" customHeight="1">
      <c r="A3148" s="44" t="s">
        <v>1123</v>
      </c>
      <c r="B3148" s="45" t="s">
        <v>5683</v>
      </c>
      <c r="C3148" s="45" t="s">
        <v>6816</v>
      </c>
      <c r="D3148" s="45" t="s">
        <v>6821</v>
      </c>
      <c r="E3148" s="44"/>
      <c r="F3148" s="37">
        <v>1</v>
      </c>
      <c r="G3148" s="37" t="s">
        <v>6864</v>
      </c>
      <c r="H3148" s="63">
        <v>5005</v>
      </c>
    </row>
    <row r="3149" spans="1:8" ht="24.75" customHeight="1">
      <c r="A3149" s="44" t="s">
        <v>2797</v>
      </c>
      <c r="B3149" s="45" t="s">
        <v>5795</v>
      </c>
      <c r="C3149" s="45" t="s">
        <v>6816</v>
      </c>
      <c r="D3149" s="45" t="s">
        <v>6821</v>
      </c>
      <c r="E3149" s="44"/>
      <c r="F3149" s="37">
        <v>1</v>
      </c>
      <c r="G3149" s="37" t="s">
        <v>6864</v>
      </c>
      <c r="H3149" s="63">
        <v>6292</v>
      </c>
    </row>
    <row r="3150" spans="1:8" ht="24.75" customHeight="1">
      <c r="A3150" s="44" t="s">
        <v>2625</v>
      </c>
      <c r="B3150" s="45" t="s">
        <v>5248</v>
      </c>
      <c r="C3150" s="45" t="s">
        <v>6816</v>
      </c>
      <c r="D3150" s="45" t="s">
        <v>6821</v>
      </c>
      <c r="E3150" s="44"/>
      <c r="F3150" s="37">
        <v>1</v>
      </c>
      <c r="G3150" s="37" t="s">
        <v>6864</v>
      </c>
      <c r="H3150" s="63">
        <v>7450.3</v>
      </c>
    </row>
    <row r="3151" spans="1:8" ht="24.75" customHeight="1">
      <c r="A3151" s="44" t="s">
        <v>1422</v>
      </c>
      <c r="B3151" s="45" t="s">
        <v>4976</v>
      </c>
      <c r="C3151" s="45" t="s">
        <v>6816</v>
      </c>
      <c r="D3151" s="45" t="s">
        <v>6821</v>
      </c>
      <c r="E3151" s="44"/>
      <c r="F3151" s="37">
        <v>1</v>
      </c>
      <c r="G3151" s="37" t="s">
        <v>6864</v>
      </c>
      <c r="H3151" s="63">
        <v>6277.7</v>
      </c>
    </row>
    <row r="3152" spans="1:8" ht="24.75" customHeight="1">
      <c r="A3152" s="44" t="s">
        <v>780</v>
      </c>
      <c r="B3152" s="45" t="s">
        <v>5986</v>
      </c>
      <c r="C3152" s="45" t="s">
        <v>6816</v>
      </c>
      <c r="D3152" s="45" t="s">
        <v>6821</v>
      </c>
      <c r="E3152" s="44"/>
      <c r="F3152" s="37">
        <v>1</v>
      </c>
      <c r="G3152" s="37" t="s">
        <v>6864</v>
      </c>
      <c r="H3152" s="63">
        <v>4347.2</v>
      </c>
    </row>
    <row r="3153" spans="1:8" ht="24.75" customHeight="1">
      <c r="A3153" s="44" t="s">
        <v>2626</v>
      </c>
      <c r="B3153" s="45" t="s">
        <v>5249</v>
      </c>
      <c r="C3153" s="45" t="s">
        <v>6816</v>
      </c>
      <c r="D3153" s="45" t="s">
        <v>6821</v>
      </c>
      <c r="E3153" s="44"/>
      <c r="F3153" s="37">
        <v>1</v>
      </c>
      <c r="G3153" s="37" t="s">
        <v>6864</v>
      </c>
      <c r="H3153" s="63">
        <v>7450.3</v>
      </c>
    </row>
    <row r="3154" spans="1:8" ht="24.75" customHeight="1">
      <c r="A3154" s="44" t="s">
        <v>2163</v>
      </c>
      <c r="B3154" s="45" t="s">
        <v>5908</v>
      </c>
      <c r="C3154" s="45" t="s">
        <v>6816</v>
      </c>
      <c r="D3154" s="45" t="s">
        <v>6822</v>
      </c>
      <c r="E3154" s="44"/>
      <c r="F3154" s="37">
        <v>10</v>
      </c>
      <c r="G3154" s="37" t="s">
        <v>6864</v>
      </c>
      <c r="H3154" s="63">
        <v>1930.5</v>
      </c>
    </row>
    <row r="3155" spans="1:8" ht="24.75" customHeight="1">
      <c r="A3155" s="44" t="s">
        <v>783</v>
      </c>
      <c r="B3155" s="45" t="s">
        <v>6355</v>
      </c>
      <c r="C3155" s="45" t="s">
        <v>6816</v>
      </c>
      <c r="D3155" s="45" t="s">
        <v>6822</v>
      </c>
      <c r="E3155" s="44" t="s">
        <v>6839</v>
      </c>
      <c r="F3155" s="37">
        <v>1</v>
      </c>
      <c r="G3155" s="37" t="s">
        <v>6864</v>
      </c>
      <c r="H3155" s="63">
        <v>2860</v>
      </c>
    </row>
    <row r="3156" spans="1:8" ht="24.75" customHeight="1">
      <c r="A3156" s="44" t="s">
        <v>1609</v>
      </c>
      <c r="B3156" s="45" t="s">
        <v>5497</v>
      </c>
      <c r="C3156" s="45" t="s">
        <v>6816</v>
      </c>
      <c r="D3156" s="45" t="s">
        <v>6822</v>
      </c>
      <c r="E3156" s="44"/>
      <c r="F3156" s="37">
        <v>1</v>
      </c>
      <c r="G3156" s="37" t="s">
        <v>6864</v>
      </c>
      <c r="H3156" s="63">
        <v>3832.4</v>
      </c>
    </row>
    <row r="3157" spans="1:8" ht="24.75" customHeight="1">
      <c r="A3157" s="44" t="s">
        <v>2796</v>
      </c>
      <c r="B3157" s="45" t="s">
        <v>5794</v>
      </c>
      <c r="C3157" s="45" t="s">
        <v>6816</v>
      </c>
      <c r="D3157" s="45" t="s">
        <v>6822</v>
      </c>
      <c r="E3157" s="44"/>
      <c r="F3157" s="37">
        <v>1</v>
      </c>
      <c r="G3157" s="37" t="s">
        <v>6864</v>
      </c>
      <c r="H3157" s="63">
        <v>4089.8</v>
      </c>
    </row>
    <row r="3158" spans="1:8" ht="24.75" customHeight="1">
      <c r="A3158" s="44" t="s">
        <v>2402</v>
      </c>
      <c r="B3158" s="45" t="s">
        <v>4833</v>
      </c>
      <c r="C3158" s="45" t="s">
        <v>6816</v>
      </c>
      <c r="D3158" s="45" t="s">
        <v>6822</v>
      </c>
      <c r="E3158" s="44"/>
      <c r="F3158" s="37">
        <v>5</v>
      </c>
      <c r="G3158" s="37" t="s">
        <v>6864</v>
      </c>
      <c r="H3158" s="63">
        <v>3045.9</v>
      </c>
    </row>
    <row r="3159" spans="1:8" ht="24.75" customHeight="1">
      <c r="A3159" s="44" t="s">
        <v>2215</v>
      </c>
      <c r="B3159" s="45" t="s">
        <v>5937</v>
      </c>
      <c r="C3159" s="45" t="s">
        <v>6816</v>
      </c>
      <c r="D3159" s="45" t="s">
        <v>6822</v>
      </c>
      <c r="E3159" s="44"/>
      <c r="F3159" s="37">
        <v>5</v>
      </c>
      <c r="G3159" s="37" t="s">
        <v>6864</v>
      </c>
      <c r="H3159" s="63">
        <v>3217.5</v>
      </c>
    </row>
    <row r="3160" spans="1:8" ht="24.75" customHeight="1">
      <c r="A3160" s="44" t="s">
        <v>1041</v>
      </c>
      <c r="B3160" s="45" t="s">
        <v>5719</v>
      </c>
      <c r="C3160" s="45" t="s">
        <v>6816</v>
      </c>
      <c r="D3160" s="45" t="s">
        <v>6822</v>
      </c>
      <c r="E3160" s="44" t="s">
        <v>6839</v>
      </c>
      <c r="F3160" s="37">
        <v>1</v>
      </c>
      <c r="G3160" s="37" t="s">
        <v>6864</v>
      </c>
      <c r="H3160" s="63">
        <v>2288</v>
      </c>
    </row>
    <row r="3161" spans="1:8" ht="24.75" customHeight="1">
      <c r="A3161" s="44" t="s">
        <v>127</v>
      </c>
      <c r="B3161" s="45" t="s">
        <v>5751</v>
      </c>
      <c r="C3161" s="45" t="s">
        <v>6816</v>
      </c>
      <c r="D3161" s="45" t="s">
        <v>6822</v>
      </c>
      <c r="E3161" s="44" t="s">
        <v>6839</v>
      </c>
      <c r="F3161" s="37">
        <v>1</v>
      </c>
      <c r="G3161" s="37" t="s">
        <v>6864</v>
      </c>
      <c r="H3161" s="63">
        <v>12083.5</v>
      </c>
    </row>
    <row r="3162" spans="1:8" ht="24.75" customHeight="1">
      <c r="A3162" s="44" t="s">
        <v>613</v>
      </c>
      <c r="B3162" s="45" t="s">
        <v>5659</v>
      </c>
      <c r="C3162" s="45" t="s">
        <v>6816</v>
      </c>
      <c r="D3162" s="45" t="s">
        <v>6822</v>
      </c>
      <c r="E3162" s="44" t="s">
        <v>6839</v>
      </c>
      <c r="F3162" s="37">
        <v>1</v>
      </c>
      <c r="G3162" s="37" t="s">
        <v>6864</v>
      </c>
      <c r="H3162" s="63">
        <v>32975.800000000003</v>
      </c>
    </row>
    <row r="3163" spans="1:8" ht="24.75" customHeight="1">
      <c r="A3163" s="44" t="s">
        <v>2668</v>
      </c>
      <c r="B3163" s="45" t="s">
        <v>3942</v>
      </c>
      <c r="C3163" s="45" t="s">
        <v>6816</v>
      </c>
      <c r="D3163" s="45" t="s">
        <v>6822</v>
      </c>
      <c r="E3163" s="44" t="s">
        <v>6839</v>
      </c>
      <c r="F3163" s="37">
        <v>1</v>
      </c>
      <c r="G3163" s="37" t="s">
        <v>6864</v>
      </c>
      <c r="H3163" s="63">
        <v>31831.8</v>
      </c>
    </row>
    <row r="3164" spans="1:8" ht="24.75" customHeight="1">
      <c r="A3164" s="44" t="s">
        <v>2672</v>
      </c>
      <c r="B3164" s="45" t="s">
        <v>3947</v>
      </c>
      <c r="C3164" s="45" t="s">
        <v>6816</v>
      </c>
      <c r="D3164" s="45" t="s">
        <v>6822</v>
      </c>
      <c r="E3164" s="44" t="s">
        <v>6839</v>
      </c>
      <c r="F3164" s="37">
        <v>1</v>
      </c>
      <c r="G3164" s="37" t="s">
        <v>6864</v>
      </c>
      <c r="H3164" s="63">
        <v>17117.099999999999</v>
      </c>
    </row>
    <row r="3165" spans="1:8" ht="24.75" customHeight="1">
      <c r="A3165" s="44" t="s">
        <v>1017</v>
      </c>
      <c r="B3165" s="45" t="s">
        <v>3937</v>
      </c>
      <c r="C3165" s="45" t="s">
        <v>6816</v>
      </c>
      <c r="D3165" s="45" t="s">
        <v>6822</v>
      </c>
      <c r="E3165" s="44" t="s">
        <v>6839</v>
      </c>
      <c r="F3165" s="37">
        <v>1</v>
      </c>
      <c r="G3165" s="37" t="s">
        <v>6864</v>
      </c>
      <c r="H3165" s="63">
        <v>16344.9</v>
      </c>
    </row>
    <row r="3166" spans="1:8" ht="24.75" customHeight="1">
      <c r="A3166" s="44" t="s">
        <v>2673</v>
      </c>
      <c r="B3166" s="45" t="s">
        <v>3948</v>
      </c>
      <c r="C3166" s="45" t="s">
        <v>6816</v>
      </c>
      <c r="D3166" s="45" t="s">
        <v>6822</v>
      </c>
      <c r="E3166" s="44" t="s">
        <v>6839</v>
      </c>
      <c r="F3166" s="37">
        <v>1</v>
      </c>
      <c r="G3166" s="37" t="s">
        <v>6864</v>
      </c>
      <c r="H3166" s="63">
        <v>18018</v>
      </c>
    </row>
    <row r="3167" spans="1:8" ht="24.75" customHeight="1">
      <c r="A3167" s="44" t="s">
        <v>2674</v>
      </c>
      <c r="B3167" s="45" t="s">
        <v>3949</v>
      </c>
      <c r="C3167" s="45" t="s">
        <v>6816</v>
      </c>
      <c r="D3167" s="45" t="s">
        <v>6822</v>
      </c>
      <c r="E3167" s="44" t="s">
        <v>6839</v>
      </c>
      <c r="F3167" s="37">
        <v>1</v>
      </c>
      <c r="G3167" s="37" t="s">
        <v>6864</v>
      </c>
      <c r="H3167" s="63">
        <v>16302</v>
      </c>
    </row>
    <row r="3168" spans="1:8" ht="24.75" customHeight="1">
      <c r="A3168" s="44" t="s">
        <v>2792</v>
      </c>
      <c r="B3168" s="45" t="s">
        <v>5789</v>
      </c>
      <c r="C3168" s="45" t="s">
        <v>6816</v>
      </c>
      <c r="D3168" s="45" t="s">
        <v>6822</v>
      </c>
      <c r="E3168" s="44" t="s">
        <v>6839</v>
      </c>
      <c r="F3168" s="37">
        <v>1</v>
      </c>
      <c r="G3168" s="37" t="s">
        <v>6864</v>
      </c>
      <c r="H3168" s="63">
        <v>25568.400000000001</v>
      </c>
    </row>
    <row r="3169" spans="1:8" ht="24.75" customHeight="1">
      <c r="A3169" s="44" t="s">
        <v>1015</v>
      </c>
      <c r="B3169" s="45" t="s">
        <v>3935</v>
      </c>
      <c r="C3169" s="45" t="s">
        <v>6816</v>
      </c>
      <c r="D3169" s="45" t="s">
        <v>6822</v>
      </c>
      <c r="E3169" s="44" t="s">
        <v>6839</v>
      </c>
      <c r="F3169" s="37">
        <v>1</v>
      </c>
      <c r="G3169" s="37" t="s">
        <v>6864</v>
      </c>
      <c r="H3169" s="63">
        <v>18933.2</v>
      </c>
    </row>
    <row r="3170" spans="1:8" ht="24.75" customHeight="1">
      <c r="A3170" s="44" t="s">
        <v>2670</v>
      </c>
      <c r="B3170" s="45" t="s">
        <v>3945</v>
      </c>
      <c r="C3170" s="45" t="s">
        <v>6816</v>
      </c>
      <c r="D3170" s="45" t="s">
        <v>6822</v>
      </c>
      <c r="E3170" s="44" t="s">
        <v>6839</v>
      </c>
      <c r="F3170" s="37">
        <v>1</v>
      </c>
      <c r="G3170" s="37" t="s">
        <v>6864</v>
      </c>
      <c r="H3170" s="63">
        <v>15887.3</v>
      </c>
    </row>
    <row r="3171" spans="1:8" ht="24.75" customHeight="1">
      <c r="A3171" s="44" t="s">
        <v>2671</v>
      </c>
      <c r="B3171" s="45" t="s">
        <v>3946</v>
      </c>
      <c r="C3171" s="45" t="s">
        <v>6816</v>
      </c>
      <c r="D3171" s="45" t="s">
        <v>6822</v>
      </c>
      <c r="E3171" s="44" t="s">
        <v>6839</v>
      </c>
      <c r="F3171" s="37">
        <v>1</v>
      </c>
      <c r="G3171" s="37" t="s">
        <v>6864</v>
      </c>
      <c r="H3171" s="63">
        <v>17989.400000000001</v>
      </c>
    </row>
    <row r="3172" spans="1:8" ht="24.75" customHeight="1">
      <c r="A3172" s="44" t="s">
        <v>2669</v>
      </c>
      <c r="B3172" s="45" t="s">
        <v>3943</v>
      </c>
      <c r="C3172" s="45" t="s">
        <v>6816</v>
      </c>
      <c r="D3172" s="45" t="s">
        <v>6822</v>
      </c>
      <c r="E3172" s="44" t="s">
        <v>6839</v>
      </c>
      <c r="F3172" s="37">
        <v>1</v>
      </c>
      <c r="G3172" s="37" t="s">
        <v>6864</v>
      </c>
      <c r="H3172" s="63">
        <v>32890</v>
      </c>
    </row>
    <row r="3173" spans="1:8" ht="24.75" customHeight="1">
      <c r="A3173" s="44" t="s">
        <v>1670</v>
      </c>
      <c r="B3173" s="45" t="s">
        <v>5463</v>
      </c>
      <c r="C3173" s="45" t="s">
        <v>6816</v>
      </c>
      <c r="D3173" s="45" t="s">
        <v>6822</v>
      </c>
      <c r="E3173" s="44" t="s">
        <v>6839</v>
      </c>
      <c r="F3173" s="37">
        <v>1</v>
      </c>
      <c r="G3173" s="37" t="s">
        <v>6864</v>
      </c>
      <c r="H3173" s="63">
        <v>32890</v>
      </c>
    </row>
    <row r="3174" spans="1:8" ht="24.75" customHeight="1">
      <c r="A3174" s="44" t="s">
        <v>2786</v>
      </c>
      <c r="B3174" s="45" t="s">
        <v>5783</v>
      </c>
      <c r="C3174" s="45" t="s">
        <v>6816</v>
      </c>
      <c r="D3174" s="45" t="s">
        <v>6822</v>
      </c>
      <c r="E3174" s="44" t="s">
        <v>6839</v>
      </c>
      <c r="F3174" s="37">
        <v>1</v>
      </c>
      <c r="G3174" s="37" t="s">
        <v>6864</v>
      </c>
      <c r="H3174" s="63">
        <v>32575.4</v>
      </c>
    </row>
    <row r="3175" spans="1:8" ht="24.75" customHeight="1">
      <c r="A3175" s="44" t="s">
        <v>2667</v>
      </c>
      <c r="B3175" s="45" t="s">
        <v>3940</v>
      </c>
      <c r="C3175" s="45" t="s">
        <v>6816</v>
      </c>
      <c r="D3175" s="45" t="s">
        <v>6822</v>
      </c>
      <c r="E3175" s="44" t="s">
        <v>6839</v>
      </c>
      <c r="F3175" s="37">
        <v>1</v>
      </c>
      <c r="G3175" s="37" t="s">
        <v>6864</v>
      </c>
      <c r="H3175" s="63">
        <v>29701.1</v>
      </c>
    </row>
    <row r="3176" spans="1:8" ht="24.75" customHeight="1">
      <c r="A3176" s="44" t="s">
        <v>2216</v>
      </c>
      <c r="B3176" s="45" t="s">
        <v>5912</v>
      </c>
      <c r="C3176" s="45" t="s">
        <v>6816</v>
      </c>
      <c r="D3176" s="45" t="s">
        <v>6822</v>
      </c>
      <c r="E3176" s="44" t="s">
        <v>6839</v>
      </c>
      <c r="F3176" s="37">
        <v>1</v>
      </c>
      <c r="G3176" s="37" t="s">
        <v>6864</v>
      </c>
      <c r="H3176" s="63">
        <v>27899.3</v>
      </c>
    </row>
    <row r="3177" spans="1:8" ht="24.75" customHeight="1">
      <c r="A3177" s="44" t="s">
        <v>1018</v>
      </c>
      <c r="B3177" s="45" t="s">
        <v>3938</v>
      </c>
      <c r="C3177" s="45" t="s">
        <v>6816</v>
      </c>
      <c r="D3177" s="45" t="s">
        <v>6822</v>
      </c>
      <c r="E3177" s="44" t="s">
        <v>6839</v>
      </c>
      <c r="F3177" s="37">
        <v>1</v>
      </c>
      <c r="G3177" s="37" t="s">
        <v>6864</v>
      </c>
      <c r="H3177" s="63">
        <v>30773.599999999999</v>
      </c>
    </row>
    <row r="3178" spans="1:8" ht="24.75" customHeight="1">
      <c r="A3178" s="44" t="s">
        <v>2851</v>
      </c>
      <c r="B3178" s="45" t="s">
        <v>3944</v>
      </c>
      <c r="C3178" s="45" t="s">
        <v>6816</v>
      </c>
      <c r="D3178" s="45" t="s">
        <v>6822</v>
      </c>
      <c r="E3178" s="44" t="s">
        <v>6839</v>
      </c>
      <c r="F3178" s="37">
        <v>1</v>
      </c>
      <c r="G3178" s="37" t="s">
        <v>6864</v>
      </c>
      <c r="H3178" s="63">
        <v>27398.799999999999</v>
      </c>
    </row>
    <row r="3179" spans="1:8" ht="24.75" customHeight="1">
      <c r="A3179" s="44" t="s">
        <v>1016</v>
      </c>
      <c r="B3179" s="45" t="s">
        <v>3936</v>
      </c>
      <c r="C3179" s="45" t="s">
        <v>6816</v>
      </c>
      <c r="D3179" s="45" t="s">
        <v>6822</v>
      </c>
      <c r="E3179" s="44" t="s">
        <v>6839</v>
      </c>
      <c r="F3179" s="37">
        <v>1</v>
      </c>
      <c r="G3179" s="37" t="s">
        <v>6864</v>
      </c>
      <c r="H3179" s="63">
        <v>26211.9</v>
      </c>
    </row>
    <row r="3180" spans="1:8" ht="24.75" customHeight="1">
      <c r="A3180" s="44" t="s">
        <v>2852</v>
      </c>
      <c r="B3180" s="45" t="s">
        <v>3941</v>
      </c>
      <c r="C3180" s="45" t="s">
        <v>6816</v>
      </c>
      <c r="D3180" s="45" t="s">
        <v>6822</v>
      </c>
      <c r="E3180" s="44" t="s">
        <v>6839</v>
      </c>
      <c r="F3180" s="37">
        <v>1</v>
      </c>
      <c r="G3180" s="37" t="s">
        <v>6864</v>
      </c>
      <c r="H3180" s="63">
        <v>29229.200000000001</v>
      </c>
    </row>
    <row r="3181" spans="1:8" ht="24.75" customHeight="1">
      <c r="A3181" s="44" t="s">
        <v>2508</v>
      </c>
      <c r="B3181" s="45" t="s">
        <v>3939</v>
      </c>
      <c r="C3181" s="45" t="s">
        <v>6816</v>
      </c>
      <c r="D3181" s="45" t="s">
        <v>6822</v>
      </c>
      <c r="E3181" s="44" t="s">
        <v>6839</v>
      </c>
      <c r="F3181" s="37">
        <v>1</v>
      </c>
      <c r="G3181" s="37" t="s">
        <v>6864</v>
      </c>
      <c r="H3181" s="63">
        <v>21578.7</v>
      </c>
    </row>
    <row r="3182" spans="1:8" ht="24.75" customHeight="1">
      <c r="A3182" s="44" t="s">
        <v>1416</v>
      </c>
      <c r="B3182" s="45" t="s">
        <v>4965</v>
      </c>
      <c r="C3182" s="45" t="s">
        <v>6816</v>
      </c>
      <c r="D3182" s="45" t="s">
        <v>6822</v>
      </c>
      <c r="E3182" s="44" t="s">
        <v>6839</v>
      </c>
      <c r="F3182" s="37">
        <v>1</v>
      </c>
      <c r="G3182" s="37" t="s">
        <v>6864</v>
      </c>
      <c r="H3182" s="63">
        <v>19162</v>
      </c>
    </row>
    <row r="3183" spans="1:8" ht="24.75" customHeight="1">
      <c r="A3183" s="44" t="s">
        <v>1509</v>
      </c>
      <c r="B3183" s="45" t="s">
        <v>5995</v>
      </c>
      <c r="C3183" s="45" t="s">
        <v>6816</v>
      </c>
      <c r="D3183" s="45" t="s">
        <v>6822</v>
      </c>
      <c r="E3183" s="44" t="s">
        <v>6839</v>
      </c>
      <c r="F3183" s="37">
        <v>1</v>
      </c>
      <c r="G3183" s="37" t="s">
        <v>6864</v>
      </c>
      <c r="H3183" s="63">
        <v>31917.599999999999</v>
      </c>
    </row>
    <row r="3184" spans="1:8" ht="24.75" customHeight="1">
      <c r="A3184" s="44" t="s">
        <v>1363</v>
      </c>
      <c r="B3184" s="45" t="s">
        <v>5205</v>
      </c>
      <c r="C3184" s="45" t="s">
        <v>6816</v>
      </c>
      <c r="D3184" s="45" t="s">
        <v>6823</v>
      </c>
      <c r="E3184" s="44"/>
      <c r="F3184" s="37">
        <v>10</v>
      </c>
      <c r="G3184" s="37" t="s">
        <v>6864</v>
      </c>
      <c r="H3184" s="63">
        <v>729.3</v>
      </c>
    </row>
    <row r="3185" spans="1:8" ht="24.75" customHeight="1">
      <c r="A3185" s="44" t="s">
        <v>1062</v>
      </c>
      <c r="B3185" s="45" t="s">
        <v>5192</v>
      </c>
      <c r="C3185" s="45" t="s">
        <v>6816</v>
      </c>
      <c r="D3185" s="45" t="s">
        <v>6823</v>
      </c>
      <c r="E3185" s="44"/>
      <c r="F3185" s="37">
        <v>10</v>
      </c>
      <c r="G3185" s="37" t="s">
        <v>6864</v>
      </c>
      <c r="H3185" s="63">
        <v>2173.6</v>
      </c>
    </row>
    <row r="3186" spans="1:8" ht="24.75" customHeight="1">
      <c r="A3186" s="44" t="s">
        <v>1171</v>
      </c>
      <c r="B3186" s="45" t="s">
        <v>5147</v>
      </c>
      <c r="C3186" s="45" t="s">
        <v>6816</v>
      </c>
      <c r="D3186" s="45" t="s">
        <v>6823</v>
      </c>
      <c r="E3186" s="44"/>
      <c r="F3186" s="37">
        <v>10</v>
      </c>
      <c r="G3186" s="37" t="s">
        <v>6864</v>
      </c>
      <c r="H3186" s="63">
        <v>672.1</v>
      </c>
    </row>
    <row r="3187" spans="1:8" ht="24.75" customHeight="1">
      <c r="A3187" s="44" t="s">
        <v>2633</v>
      </c>
      <c r="B3187" s="45" t="s">
        <v>5314</v>
      </c>
      <c r="C3187" s="45" t="s">
        <v>6816</v>
      </c>
      <c r="D3187" s="45" t="s">
        <v>6823</v>
      </c>
      <c r="E3187" s="44"/>
      <c r="F3187" s="37">
        <v>10</v>
      </c>
      <c r="G3187" s="37" t="s">
        <v>6864</v>
      </c>
      <c r="H3187" s="63">
        <v>2373.8000000000002</v>
      </c>
    </row>
    <row r="3188" spans="1:8" ht="24.75" customHeight="1">
      <c r="A3188" s="44" t="s">
        <v>2632</v>
      </c>
      <c r="B3188" s="45" t="s">
        <v>5313</v>
      </c>
      <c r="C3188" s="45" t="s">
        <v>6816</v>
      </c>
      <c r="D3188" s="45" t="s">
        <v>6823</v>
      </c>
      <c r="E3188" s="44"/>
      <c r="F3188" s="37">
        <v>10</v>
      </c>
      <c r="G3188" s="37" t="s">
        <v>6864</v>
      </c>
      <c r="H3188" s="63">
        <v>1887.6</v>
      </c>
    </row>
    <row r="3189" spans="1:8" ht="24.75" customHeight="1">
      <c r="A3189" s="44" t="s">
        <v>1366</v>
      </c>
      <c r="B3189" s="45" t="s">
        <v>5207</v>
      </c>
      <c r="C3189" s="45" t="s">
        <v>6816</v>
      </c>
      <c r="D3189" s="45" t="s">
        <v>6823</v>
      </c>
      <c r="E3189" s="44"/>
      <c r="F3189" s="37">
        <v>10</v>
      </c>
      <c r="G3189" s="37" t="s">
        <v>6864</v>
      </c>
      <c r="H3189" s="63">
        <v>729.3</v>
      </c>
    </row>
    <row r="3190" spans="1:8" ht="24.75" customHeight="1">
      <c r="A3190" s="44" t="s">
        <v>1364</v>
      </c>
      <c r="B3190" s="45" t="s">
        <v>5206</v>
      </c>
      <c r="C3190" s="45" t="s">
        <v>6816</v>
      </c>
      <c r="D3190" s="45" t="s">
        <v>6823</v>
      </c>
      <c r="E3190" s="44"/>
      <c r="F3190" s="37">
        <v>10</v>
      </c>
      <c r="G3190" s="37" t="s">
        <v>6864</v>
      </c>
      <c r="H3190" s="63">
        <v>729.3</v>
      </c>
    </row>
    <row r="3191" spans="1:8" ht="24.75" customHeight="1">
      <c r="A3191" s="44" t="s">
        <v>1362</v>
      </c>
      <c r="B3191" s="45" t="s">
        <v>5204</v>
      </c>
      <c r="C3191" s="45" t="s">
        <v>6816</v>
      </c>
      <c r="D3191" s="45" t="s">
        <v>6823</v>
      </c>
      <c r="E3191" s="44"/>
      <c r="F3191" s="37">
        <v>10</v>
      </c>
      <c r="G3191" s="37" t="s">
        <v>6864</v>
      </c>
      <c r="H3191" s="63">
        <v>729.3</v>
      </c>
    </row>
    <row r="3192" spans="1:8" ht="24.75" customHeight="1">
      <c r="A3192" s="44" t="s">
        <v>1365</v>
      </c>
      <c r="B3192" s="45" t="s">
        <v>5204</v>
      </c>
      <c r="C3192" s="45" t="s">
        <v>6816</v>
      </c>
      <c r="D3192" s="45" t="s">
        <v>6823</v>
      </c>
      <c r="E3192" s="44"/>
      <c r="F3192" s="37">
        <v>10</v>
      </c>
      <c r="G3192" s="37" t="s">
        <v>6864</v>
      </c>
      <c r="H3192" s="63">
        <v>729.3</v>
      </c>
    </row>
    <row r="3193" spans="1:8" ht="24.75" customHeight="1">
      <c r="A3193" s="44" t="s">
        <v>1170</v>
      </c>
      <c r="B3193" s="45" t="s">
        <v>5146</v>
      </c>
      <c r="C3193" s="45" t="s">
        <v>6816</v>
      </c>
      <c r="D3193" s="45" t="s">
        <v>6823</v>
      </c>
      <c r="E3193" s="44"/>
      <c r="F3193" s="37">
        <v>10</v>
      </c>
      <c r="G3193" s="37" t="s">
        <v>6864</v>
      </c>
      <c r="H3193" s="63">
        <v>786.5</v>
      </c>
    </row>
    <row r="3194" spans="1:8" ht="24.75" customHeight="1">
      <c r="A3194" s="44" t="s">
        <v>1172</v>
      </c>
      <c r="B3194" s="45" t="s">
        <v>5146</v>
      </c>
      <c r="C3194" s="45" t="s">
        <v>6816</v>
      </c>
      <c r="D3194" s="45" t="s">
        <v>6823</v>
      </c>
      <c r="E3194" s="44"/>
      <c r="F3194" s="37">
        <v>10</v>
      </c>
      <c r="G3194" s="37" t="s">
        <v>6864</v>
      </c>
      <c r="H3194" s="63">
        <v>672.1</v>
      </c>
    </row>
    <row r="3195" spans="1:8" ht="24.75" customHeight="1">
      <c r="A3195" s="44" t="s">
        <v>1173</v>
      </c>
      <c r="B3195" s="45" t="s">
        <v>5146</v>
      </c>
      <c r="C3195" s="45" t="s">
        <v>6816</v>
      </c>
      <c r="D3195" s="45" t="s">
        <v>6823</v>
      </c>
      <c r="E3195" s="44"/>
      <c r="F3195" s="37">
        <v>10</v>
      </c>
      <c r="G3195" s="37" t="s">
        <v>6864</v>
      </c>
      <c r="H3195" s="63">
        <v>672.1</v>
      </c>
    </row>
    <row r="3196" spans="1:8" ht="24.75" customHeight="1">
      <c r="A3196" s="44" t="s">
        <v>1861</v>
      </c>
      <c r="B3196" s="45" t="s">
        <v>5278</v>
      </c>
      <c r="C3196" s="45" t="s">
        <v>6816</v>
      </c>
      <c r="D3196" s="45" t="s">
        <v>6824</v>
      </c>
      <c r="E3196" s="44" t="s">
        <v>6855</v>
      </c>
      <c r="F3196" s="37">
        <v>1</v>
      </c>
      <c r="G3196" s="37" t="s">
        <v>6864</v>
      </c>
      <c r="H3196" s="63">
        <v>12712.7</v>
      </c>
    </row>
    <row r="3197" spans="1:8" ht="24.75" customHeight="1">
      <c r="A3197" s="44" t="s">
        <v>985</v>
      </c>
      <c r="B3197" s="45" t="s">
        <v>5700</v>
      </c>
      <c r="C3197" s="45" t="s">
        <v>6816</v>
      </c>
      <c r="D3197" s="45" t="s">
        <v>6824</v>
      </c>
      <c r="E3197" s="44" t="s">
        <v>6839</v>
      </c>
      <c r="F3197" s="37">
        <v>1</v>
      </c>
      <c r="G3197" s="37" t="s">
        <v>6864</v>
      </c>
      <c r="H3197" s="63">
        <v>7693.4</v>
      </c>
    </row>
    <row r="3198" spans="1:8" ht="24.75" customHeight="1">
      <c r="A3198" s="44" t="s">
        <v>448</v>
      </c>
      <c r="B3198" s="45" t="s">
        <v>4158</v>
      </c>
      <c r="C3198" s="45" t="s">
        <v>6816</v>
      </c>
      <c r="D3198" s="45" t="s">
        <v>6824</v>
      </c>
      <c r="E3198" s="44" t="s">
        <v>6839</v>
      </c>
      <c r="F3198" s="37">
        <v>1</v>
      </c>
      <c r="G3198" s="37" t="s">
        <v>6864</v>
      </c>
      <c r="H3198" s="63">
        <v>8608.6</v>
      </c>
    </row>
    <row r="3199" spans="1:8" ht="24.75" customHeight="1">
      <c r="A3199" s="44" t="s">
        <v>452</v>
      </c>
      <c r="B3199" s="45" t="s">
        <v>4162</v>
      </c>
      <c r="C3199" s="45" t="s">
        <v>6816</v>
      </c>
      <c r="D3199" s="45" t="s">
        <v>6824</v>
      </c>
      <c r="E3199" s="44" t="s">
        <v>6839</v>
      </c>
      <c r="F3199" s="37">
        <v>1</v>
      </c>
      <c r="G3199" s="37" t="s">
        <v>6864</v>
      </c>
      <c r="H3199" s="63">
        <v>3803.8</v>
      </c>
    </row>
    <row r="3200" spans="1:8" ht="24.75" customHeight="1">
      <c r="A3200" s="44" t="s">
        <v>445</v>
      </c>
      <c r="B3200" s="45" t="s">
        <v>4155</v>
      </c>
      <c r="C3200" s="45" t="s">
        <v>6816</v>
      </c>
      <c r="D3200" s="45" t="s">
        <v>6824</v>
      </c>
      <c r="E3200" s="44" t="s">
        <v>6839</v>
      </c>
      <c r="F3200" s="37">
        <v>1</v>
      </c>
      <c r="G3200" s="37" t="s">
        <v>6864</v>
      </c>
      <c r="H3200" s="63">
        <v>5677.1</v>
      </c>
    </row>
    <row r="3201" spans="1:8" ht="24.75" customHeight="1">
      <c r="A3201" s="44" t="s">
        <v>447</v>
      </c>
      <c r="B3201" s="45" t="s">
        <v>4157</v>
      </c>
      <c r="C3201" s="45" t="s">
        <v>6816</v>
      </c>
      <c r="D3201" s="45" t="s">
        <v>6824</v>
      </c>
      <c r="E3201" s="44" t="s">
        <v>6839</v>
      </c>
      <c r="F3201" s="37">
        <v>1</v>
      </c>
      <c r="G3201" s="37" t="s">
        <v>6864</v>
      </c>
      <c r="H3201" s="63">
        <v>3632.2</v>
      </c>
    </row>
    <row r="3202" spans="1:8" ht="24.75" customHeight="1">
      <c r="A3202" s="44" t="s">
        <v>1037</v>
      </c>
      <c r="B3202" s="45" t="s">
        <v>4154</v>
      </c>
      <c r="C3202" s="45" t="s">
        <v>6816</v>
      </c>
      <c r="D3202" s="45" t="s">
        <v>6824</v>
      </c>
      <c r="E3202" s="44" t="s">
        <v>6839</v>
      </c>
      <c r="F3202" s="37">
        <v>1</v>
      </c>
      <c r="G3202" s="37" t="s">
        <v>6864</v>
      </c>
      <c r="H3202" s="63">
        <v>6406.4</v>
      </c>
    </row>
    <row r="3203" spans="1:8" ht="24.75" customHeight="1">
      <c r="A3203" s="44" t="s">
        <v>458</v>
      </c>
      <c r="B3203" s="45" t="s">
        <v>4168</v>
      </c>
      <c r="C3203" s="45" t="s">
        <v>6816</v>
      </c>
      <c r="D3203" s="45" t="s">
        <v>6824</v>
      </c>
      <c r="E3203" s="44" t="s">
        <v>6839</v>
      </c>
      <c r="F3203" s="37">
        <v>1</v>
      </c>
      <c r="G3203" s="37" t="s">
        <v>6864</v>
      </c>
      <c r="H3203" s="63">
        <v>3417.7</v>
      </c>
    </row>
    <row r="3204" spans="1:8" ht="24.75" customHeight="1">
      <c r="A3204" s="44" t="s">
        <v>446</v>
      </c>
      <c r="B3204" s="45" t="s">
        <v>4156</v>
      </c>
      <c r="C3204" s="45" t="s">
        <v>6816</v>
      </c>
      <c r="D3204" s="45" t="s">
        <v>6824</v>
      </c>
      <c r="E3204" s="44" t="s">
        <v>6839</v>
      </c>
      <c r="F3204" s="37">
        <v>1</v>
      </c>
      <c r="G3204" s="37" t="s">
        <v>6864</v>
      </c>
      <c r="H3204" s="63">
        <v>2960.1</v>
      </c>
    </row>
    <row r="3205" spans="1:8" ht="24.75" customHeight="1">
      <c r="A3205" s="44" t="s">
        <v>2429</v>
      </c>
      <c r="B3205" s="45" t="s">
        <v>4150</v>
      </c>
      <c r="C3205" s="45" t="s">
        <v>6816</v>
      </c>
      <c r="D3205" s="45" t="s">
        <v>6824</v>
      </c>
      <c r="E3205" s="44" t="s">
        <v>6855</v>
      </c>
      <c r="F3205" s="37">
        <v>1</v>
      </c>
      <c r="G3205" s="37" t="s">
        <v>6864</v>
      </c>
      <c r="H3205" s="63">
        <v>3846.7</v>
      </c>
    </row>
    <row r="3206" spans="1:8" ht="24.75" customHeight="1">
      <c r="A3206" s="44" t="s">
        <v>450</v>
      </c>
      <c r="B3206" s="45" t="s">
        <v>4160</v>
      </c>
      <c r="C3206" s="45" t="s">
        <v>6816</v>
      </c>
      <c r="D3206" s="45" t="s">
        <v>6824</v>
      </c>
      <c r="E3206" s="44" t="s">
        <v>6839</v>
      </c>
      <c r="F3206" s="37">
        <v>1</v>
      </c>
      <c r="G3206" s="37" t="s">
        <v>6864</v>
      </c>
      <c r="H3206" s="63">
        <v>4032.6</v>
      </c>
    </row>
    <row r="3207" spans="1:8" ht="24.75" customHeight="1">
      <c r="A3207" s="44" t="s">
        <v>453</v>
      </c>
      <c r="B3207" s="45" t="s">
        <v>4163</v>
      </c>
      <c r="C3207" s="45" t="s">
        <v>6816</v>
      </c>
      <c r="D3207" s="45" t="s">
        <v>6824</v>
      </c>
      <c r="E3207" s="44" t="s">
        <v>6839</v>
      </c>
      <c r="F3207" s="37">
        <v>1</v>
      </c>
      <c r="G3207" s="37" t="s">
        <v>6864</v>
      </c>
      <c r="H3207" s="63">
        <v>6635.2</v>
      </c>
    </row>
    <row r="3208" spans="1:8" ht="24.75" customHeight="1">
      <c r="A3208" s="44" t="s">
        <v>3132</v>
      </c>
      <c r="B3208" s="45" t="s">
        <v>5867</v>
      </c>
      <c r="C3208" s="45" t="s">
        <v>6816</v>
      </c>
      <c r="D3208" s="45" t="s">
        <v>6824</v>
      </c>
      <c r="E3208" s="44"/>
      <c r="F3208" s="37">
        <v>1</v>
      </c>
      <c r="G3208" s="37" t="s">
        <v>6864</v>
      </c>
      <c r="H3208" s="63">
        <v>16373.5</v>
      </c>
    </row>
    <row r="3209" spans="1:8" ht="24.75" customHeight="1">
      <c r="A3209" s="44" t="s">
        <v>459</v>
      </c>
      <c r="B3209" s="45" t="s">
        <v>4169</v>
      </c>
      <c r="C3209" s="45" t="s">
        <v>6816</v>
      </c>
      <c r="D3209" s="45" t="s">
        <v>6824</v>
      </c>
      <c r="E3209" s="44" t="s">
        <v>6839</v>
      </c>
      <c r="F3209" s="37">
        <v>1</v>
      </c>
      <c r="G3209" s="37" t="s">
        <v>6864</v>
      </c>
      <c r="H3209" s="63">
        <v>2688.4</v>
      </c>
    </row>
    <row r="3210" spans="1:8" ht="24.75" customHeight="1">
      <c r="A3210" s="44" t="s">
        <v>1036</v>
      </c>
      <c r="B3210" s="45" t="s">
        <v>4153</v>
      </c>
      <c r="C3210" s="45" t="s">
        <v>6816</v>
      </c>
      <c r="D3210" s="45" t="s">
        <v>6824</v>
      </c>
      <c r="E3210" s="44" t="s">
        <v>6839</v>
      </c>
      <c r="F3210" s="37">
        <v>1</v>
      </c>
      <c r="G3210" s="37" t="s">
        <v>6864</v>
      </c>
      <c r="H3210" s="63">
        <v>8008</v>
      </c>
    </row>
    <row r="3211" spans="1:8" ht="24.75" customHeight="1">
      <c r="A3211" s="44" t="s">
        <v>1627</v>
      </c>
      <c r="B3211" s="45" t="s">
        <v>5522</v>
      </c>
      <c r="C3211" s="45" t="s">
        <v>6816</v>
      </c>
      <c r="D3211" s="45" t="s">
        <v>6824</v>
      </c>
      <c r="E3211" s="44" t="s">
        <v>6839</v>
      </c>
      <c r="F3211" s="37">
        <v>1</v>
      </c>
      <c r="G3211" s="37" t="s">
        <v>6864</v>
      </c>
      <c r="H3211" s="63">
        <v>12626.9</v>
      </c>
    </row>
    <row r="3212" spans="1:8" ht="24.75" customHeight="1">
      <c r="A3212" s="44" t="s">
        <v>460</v>
      </c>
      <c r="B3212" s="45" t="s">
        <v>4170</v>
      </c>
      <c r="C3212" s="45" t="s">
        <v>6816</v>
      </c>
      <c r="D3212" s="45" t="s">
        <v>6824</v>
      </c>
      <c r="E3212" s="44" t="s">
        <v>6839</v>
      </c>
      <c r="F3212" s="37">
        <v>1</v>
      </c>
      <c r="G3212" s="37" t="s">
        <v>6864</v>
      </c>
      <c r="H3212" s="63">
        <v>2702.7</v>
      </c>
    </row>
    <row r="3213" spans="1:8" ht="24.75" customHeight="1">
      <c r="A3213" s="44" t="s">
        <v>2793</v>
      </c>
      <c r="B3213" s="45" t="s">
        <v>5790</v>
      </c>
      <c r="C3213" s="45" t="s">
        <v>6816</v>
      </c>
      <c r="D3213" s="45" t="s">
        <v>6824</v>
      </c>
      <c r="E3213" s="44" t="s">
        <v>6839</v>
      </c>
      <c r="F3213" s="37">
        <v>1</v>
      </c>
      <c r="G3213" s="37" t="s">
        <v>6864</v>
      </c>
      <c r="H3213" s="63">
        <v>10038.6</v>
      </c>
    </row>
    <row r="3214" spans="1:8" ht="24.75" customHeight="1">
      <c r="A3214" s="44" t="s">
        <v>461</v>
      </c>
      <c r="B3214" s="45" t="s">
        <v>4171</v>
      </c>
      <c r="C3214" s="45" t="s">
        <v>6816</v>
      </c>
      <c r="D3214" s="45" t="s">
        <v>6824</v>
      </c>
      <c r="E3214" s="44" t="s">
        <v>6839</v>
      </c>
      <c r="F3214" s="37">
        <v>1</v>
      </c>
      <c r="G3214" s="37" t="s">
        <v>6864</v>
      </c>
      <c r="H3214" s="63">
        <v>3060.2</v>
      </c>
    </row>
    <row r="3215" spans="1:8" ht="24.75" customHeight="1">
      <c r="A3215" s="44" t="s">
        <v>40</v>
      </c>
      <c r="B3215" s="45" t="s">
        <v>4174</v>
      </c>
      <c r="C3215" s="45" t="s">
        <v>6816</v>
      </c>
      <c r="D3215" s="45" t="s">
        <v>6824</v>
      </c>
      <c r="E3215" s="44" t="s">
        <v>6855</v>
      </c>
      <c r="F3215" s="37">
        <v>1</v>
      </c>
      <c r="G3215" s="37" t="s">
        <v>6864</v>
      </c>
      <c r="H3215" s="63">
        <v>10253.1</v>
      </c>
    </row>
    <row r="3216" spans="1:8" ht="24.75" customHeight="1">
      <c r="A3216" s="44" t="s">
        <v>2428</v>
      </c>
      <c r="B3216" s="45" t="s">
        <v>4149</v>
      </c>
      <c r="C3216" s="45" t="s">
        <v>6816</v>
      </c>
      <c r="D3216" s="45" t="s">
        <v>6824</v>
      </c>
      <c r="E3216" s="44" t="s">
        <v>6855</v>
      </c>
      <c r="F3216" s="37">
        <v>1</v>
      </c>
      <c r="G3216" s="37" t="s">
        <v>6864</v>
      </c>
      <c r="H3216" s="63">
        <v>9595.2999999999993</v>
      </c>
    </row>
    <row r="3217" spans="1:8" ht="24.75" customHeight="1">
      <c r="A3217" s="44" t="s">
        <v>454</v>
      </c>
      <c r="B3217" s="45" t="s">
        <v>4164</v>
      </c>
      <c r="C3217" s="45" t="s">
        <v>6816</v>
      </c>
      <c r="D3217" s="45" t="s">
        <v>6824</v>
      </c>
      <c r="E3217" s="44" t="s">
        <v>6839</v>
      </c>
      <c r="F3217" s="37">
        <v>1</v>
      </c>
      <c r="G3217" s="37" t="s">
        <v>6864</v>
      </c>
      <c r="H3217" s="63">
        <v>9009</v>
      </c>
    </row>
    <row r="3218" spans="1:8" ht="24.75" customHeight="1">
      <c r="A3218" s="44" t="s">
        <v>2675</v>
      </c>
      <c r="B3218" s="45" t="s">
        <v>4179</v>
      </c>
      <c r="C3218" s="45" t="s">
        <v>6816</v>
      </c>
      <c r="D3218" s="45" t="s">
        <v>6824</v>
      </c>
      <c r="E3218" s="44" t="s">
        <v>6839</v>
      </c>
      <c r="F3218" s="37">
        <v>1</v>
      </c>
      <c r="G3218" s="37" t="s">
        <v>6864</v>
      </c>
      <c r="H3218" s="63">
        <v>5162.3</v>
      </c>
    </row>
    <row r="3219" spans="1:8" ht="24.75" customHeight="1">
      <c r="A3219" s="44" t="s">
        <v>455</v>
      </c>
      <c r="B3219" s="45" t="s">
        <v>4165</v>
      </c>
      <c r="C3219" s="45" t="s">
        <v>6816</v>
      </c>
      <c r="D3219" s="45" t="s">
        <v>6824</v>
      </c>
      <c r="E3219" s="44" t="s">
        <v>6839</v>
      </c>
      <c r="F3219" s="37">
        <v>1</v>
      </c>
      <c r="G3219" s="37" t="s">
        <v>6864</v>
      </c>
      <c r="H3219" s="63">
        <v>6220.5</v>
      </c>
    </row>
    <row r="3220" spans="1:8" ht="24.75" customHeight="1">
      <c r="A3220" s="44" t="s">
        <v>41</v>
      </c>
      <c r="B3220" s="45" t="s">
        <v>4177</v>
      </c>
      <c r="C3220" s="45" t="s">
        <v>6816</v>
      </c>
      <c r="D3220" s="45" t="s">
        <v>6824</v>
      </c>
      <c r="E3220" s="44" t="s">
        <v>6839</v>
      </c>
      <c r="F3220" s="37">
        <v>1</v>
      </c>
      <c r="G3220" s="37" t="s">
        <v>6864</v>
      </c>
      <c r="H3220" s="63">
        <v>9981.4</v>
      </c>
    </row>
    <row r="3221" spans="1:8" ht="24.75" customHeight="1">
      <c r="A3221" s="44" t="s">
        <v>1034</v>
      </c>
      <c r="B3221" s="45" t="s">
        <v>4151</v>
      </c>
      <c r="C3221" s="45" t="s">
        <v>6816</v>
      </c>
      <c r="D3221" s="45" t="s">
        <v>6824</v>
      </c>
      <c r="E3221" s="44" t="s">
        <v>6839</v>
      </c>
      <c r="F3221" s="37">
        <v>1</v>
      </c>
      <c r="G3221" s="37" t="s">
        <v>6864</v>
      </c>
      <c r="H3221" s="63">
        <v>4290</v>
      </c>
    </row>
    <row r="3222" spans="1:8" ht="24.75" customHeight="1">
      <c r="A3222" s="44" t="s">
        <v>42</v>
      </c>
      <c r="B3222" s="45" t="s">
        <v>4176</v>
      </c>
      <c r="C3222" s="45" t="s">
        <v>6816</v>
      </c>
      <c r="D3222" s="45" t="s">
        <v>6824</v>
      </c>
      <c r="E3222" s="44" t="s">
        <v>6855</v>
      </c>
      <c r="F3222" s="37">
        <v>1</v>
      </c>
      <c r="G3222" s="37" t="s">
        <v>6864</v>
      </c>
      <c r="H3222" s="63">
        <v>5762.9</v>
      </c>
    </row>
    <row r="3223" spans="1:8" ht="24.75" customHeight="1">
      <c r="A3223" s="44" t="s">
        <v>451</v>
      </c>
      <c r="B3223" s="45" t="s">
        <v>4161</v>
      </c>
      <c r="C3223" s="45" t="s">
        <v>6816</v>
      </c>
      <c r="D3223" s="45" t="s">
        <v>6824</v>
      </c>
      <c r="E3223" s="44" t="s">
        <v>6839</v>
      </c>
      <c r="F3223" s="37">
        <v>1</v>
      </c>
      <c r="G3223" s="37" t="s">
        <v>6864</v>
      </c>
      <c r="H3223" s="63">
        <v>2831.4</v>
      </c>
    </row>
    <row r="3224" spans="1:8" ht="24.75" customHeight="1">
      <c r="A3224" s="44" t="s">
        <v>1035</v>
      </c>
      <c r="B3224" s="45" t="s">
        <v>4152</v>
      </c>
      <c r="C3224" s="45" t="s">
        <v>6816</v>
      </c>
      <c r="D3224" s="45" t="s">
        <v>6824</v>
      </c>
      <c r="E3224" s="44" t="s">
        <v>6839</v>
      </c>
      <c r="F3224" s="37">
        <v>1</v>
      </c>
      <c r="G3224" s="37" t="s">
        <v>6864</v>
      </c>
      <c r="H3224" s="63">
        <v>7378.8</v>
      </c>
    </row>
    <row r="3225" spans="1:8" ht="24.75" customHeight="1">
      <c r="A3225" s="44" t="s">
        <v>2030</v>
      </c>
      <c r="B3225" s="45" t="s">
        <v>4178</v>
      </c>
      <c r="C3225" s="45" t="s">
        <v>6816</v>
      </c>
      <c r="D3225" s="45" t="s">
        <v>6824</v>
      </c>
      <c r="E3225" s="44" t="s">
        <v>6855</v>
      </c>
      <c r="F3225" s="37">
        <v>1</v>
      </c>
      <c r="G3225" s="37" t="s">
        <v>6864</v>
      </c>
      <c r="H3225" s="63">
        <v>11797.5</v>
      </c>
    </row>
    <row r="3226" spans="1:8" ht="24.75" customHeight="1">
      <c r="A3226" s="44" t="s">
        <v>449</v>
      </c>
      <c r="B3226" s="45" t="s">
        <v>4159</v>
      </c>
      <c r="C3226" s="45" t="s">
        <v>6816</v>
      </c>
      <c r="D3226" s="45" t="s">
        <v>6824</v>
      </c>
      <c r="E3226" s="44" t="s">
        <v>6839</v>
      </c>
      <c r="F3226" s="37">
        <v>1</v>
      </c>
      <c r="G3226" s="37" t="s">
        <v>6864</v>
      </c>
      <c r="H3226" s="63">
        <v>8465.6</v>
      </c>
    </row>
    <row r="3227" spans="1:8" ht="24.75" customHeight="1">
      <c r="A3227" s="44" t="s">
        <v>1497</v>
      </c>
      <c r="B3227" s="45" t="s">
        <v>4175</v>
      </c>
      <c r="C3227" s="45" t="s">
        <v>6816</v>
      </c>
      <c r="D3227" s="45" t="s">
        <v>6824</v>
      </c>
      <c r="E3227" s="44" t="s">
        <v>6855</v>
      </c>
      <c r="F3227" s="37">
        <v>1</v>
      </c>
      <c r="G3227" s="37" t="s">
        <v>6864</v>
      </c>
      <c r="H3227" s="63">
        <v>12998.7</v>
      </c>
    </row>
    <row r="3228" spans="1:8" ht="24.75" customHeight="1">
      <c r="A3228" s="44" t="s">
        <v>456</v>
      </c>
      <c r="B3228" s="45" t="s">
        <v>4166</v>
      </c>
      <c r="C3228" s="45" t="s">
        <v>6816</v>
      </c>
      <c r="D3228" s="45" t="s">
        <v>6824</v>
      </c>
      <c r="E3228" s="44" t="s">
        <v>6839</v>
      </c>
      <c r="F3228" s="37">
        <v>1</v>
      </c>
      <c r="G3228" s="37" t="s">
        <v>6864</v>
      </c>
      <c r="H3228" s="63">
        <v>3489.2</v>
      </c>
    </row>
    <row r="3229" spans="1:8" ht="24.75" customHeight="1">
      <c r="A3229" s="44" t="s">
        <v>457</v>
      </c>
      <c r="B3229" s="45" t="s">
        <v>4167</v>
      </c>
      <c r="C3229" s="45" t="s">
        <v>6816</v>
      </c>
      <c r="D3229" s="45" t="s">
        <v>6824</v>
      </c>
      <c r="E3229" s="44" t="s">
        <v>6839</v>
      </c>
      <c r="F3229" s="37">
        <v>1</v>
      </c>
      <c r="G3229" s="37" t="s">
        <v>6864</v>
      </c>
      <c r="H3229" s="63">
        <v>8680.1</v>
      </c>
    </row>
    <row r="3230" spans="1:8" ht="24.75" customHeight="1">
      <c r="A3230" s="44" t="s">
        <v>1479</v>
      </c>
      <c r="B3230" s="45" t="s">
        <v>5051</v>
      </c>
      <c r="C3230" s="45" t="s">
        <v>6816</v>
      </c>
      <c r="D3230" s="45" t="s">
        <v>6824</v>
      </c>
      <c r="E3230" s="44" t="s">
        <v>6855</v>
      </c>
      <c r="F3230" s="37">
        <v>1</v>
      </c>
      <c r="G3230" s="37" t="s">
        <v>6864</v>
      </c>
      <c r="H3230" s="63">
        <v>13456.3</v>
      </c>
    </row>
    <row r="3231" spans="1:8" ht="24.75" customHeight="1">
      <c r="A3231" s="44" t="s">
        <v>462</v>
      </c>
      <c r="B3231" s="45" t="s">
        <v>4172</v>
      </c>
      <c r="C3231" s="45" t="s">
        <v>6816</v>
      </c>
      <c r="D3231" s="45" t="s">
        <v>6824</v>
      </c>
      <c r="E3231" s="44" t="s">
        <v>6839</v>
      </c>
      <c r="F3231" s="37">
        <v>1</v>
      </c>
      <c r="G3231" s="37" t="s">
        <v>6864</v>
      </c>
      <c r="H3231" s="63">
        <v>8823.1</v>
      </c>
    </row>
    <row r="3232" spans="1:8" ht="24.75" customHeight="1">
      <c r="A3232" s="44" t="s">
        <v>463</v>
      </c>
      <c r="B3232" s="45" t="s">
        <v>4173</v>
      </c>
      <c r="C3232" s="45" t="s">
        <v>6816</v>
      </c>
      <c r="D3232" s="45" t="s">
        <v>6824</v>
      </c>
      <c r="E3232" s="44" t="s">
        <v>6839</v>
      </c>
      <c r="F3232" s="37">
        <v>1</v>
      </c>
      <c r="G3232" s="37" t="s">
        <v>6864</v>
      </c>
      <c r="H3232" s="63">
        <v>3832.4</v>
      </c>
    </row>
    <row r="3233" spans="1:8" ht="24.75" customHeight="1">
      <c r="A3233" s="44" t="s">
        <v>881</v>
      </c>
      <c r="B3233" s="45" t="s">
        <v>5991</v>
      </c>
      <c r="C3233" s="45" t="s">
        <v>6816</v>
      </c>
      <c r="D3233" s="45" t="s">
        <v>6824</v>
      </c>
      <c r="E3233" s="44" t="s">
        <v>6839</v>
      </c>
      <c r="F3233" s="37">
        <v>1</v>
      </c>
      <c r="G3233" s="37" t="s">
        <v>6864</v>
      </c>
      <c r="H3233" s="63">
        <v>9223.5</v>
      </c>
    </row>
    <row r="3234" spans="1:8" ht="24.75" customHeight="1">
      <c r="A3234" s="44" t="s">
        <v>172</v>
      </c>
      <c r="B3234" s="45" t="s">
        <v>4098</v>
      </c>
      <c r="C3234" s="45" t="s">
        <v>6816</v>
      </c>
      <c r="D3234" s="45" t="s">
        <v>6825</v>
      </c>
      <c r="E3234" s="44"/>
      <c r="F3234" s="37">
        <v>10</v>
      </c>
      <c r="G3234" s="37" t="s">
        <v>6864</v>
      </c>
      <c r="H3234" s="63">
        <v>986.7</v>
      </c>
    </row>
    <row r="3235" spans="1:8" ht="24.75" customHeight="1">
      <c r="A3235" s="44" t="s">
        <v>2957</v>
      </c>
      <c r="B3235" s="45" t="s">
        <v>4097</v>
      </c>
      <c r="C3235" s="45" t="s">
        <v>6816</v>
      </c>
      <c r="D3235" s="45" t="s">
        <v>6825</v>
      </c>
      <c r="E3235" s="44"/>
      <c r="F3235" s="37">
        <v>10</v>
      </c>
      <c r="G3235" s="37" t="s">
        <v>6864</v>
      </c>
      <c r="H3235" s="63">
        <v>1272.7</v>
      </c>
    </row>
    <row r="3236" spans="1:8" ht="24.75" customHeight="1">
      <c r="A3236" s="44" t="s">
        <v>2249</v>
      </c>
      <c r="B3236" s="45" t="s">
        <v>5880</v>
      </c>
      <c r="C3236" s="45" t="s">
        <v>6816</v>
      </c>
      <c r="D3236" s="45" t="s">
        <v>6825</v>
      </c>
      <c r="E3236" s="44"/>
      <c r="F3236" s="37">
        <v>3</v>
      </c>
      <c r="G3236" s="37" t="s">
        <v>6864</v>
      </c>
      <c r="H3236" s="63">
        <v>2988.7</v>
      </c>
    </row>
    <row r="3237" spans="1:8" ht="24.75" customHeight="1">
      <c r="A3237" s="44" t="s">
        <v>2419</v>
      </c>
      <c r="B3237" s="45" t="s">
        <v>5224</v>
      </c>
      <c r="C3237" s="45" t="s">
        <v>6816</v>
      </c>
      <c r="D3237" s="45" t="s">
        <v>6825</v>
      </c>
      <c r="E3237" s="44"/>
      <c r="F3237" s="37">
        <v>5</v>
      </c>
      <c r="G3237" s="37" t="s">
        <v>6864</v>
      </c>
      <c r="H3237" s="63">
        <v>4232.8</v>
      </c>
    </row>
    <row r="3238" spans="1:8" ht="24.75" customHeight="1">
      <c r="A3238" s="44" t="s">
        <v>2481</v>
      </c>
      <c r="B3238" s="45" t="s">
        <v>4851</v>
      </c>
      <c r="C3238" s="45" t="s">
        <v>6816</v>
      </c>
      <c r="D3238" s="45" t="s">
        <v>6825</v>
      </c>
      <c r="E3238" s="44"/>
      <c r="F3238" s="37">
        <v>1</v>
      </c>
      <c r="G3238" s="37" t="s">
        <v>6864</v>
      </c>
      <c r="H3238" s="63">
        <v>3760.9</v>
      </c>
    </row>
    <row r="3239" spans="1:8" ht="24.75" customHeight="1">
      <c r="A3239" s="44" t="s">
        <v>2662</v>
      </c>
      <c r="B3239" s="45" t="s">
        <v>5226</v>
      </c>
      <c r="C3239" s="45" t="s">
        <v>6816</v>
      </c>
      <c r="D3239" s="45" t="s">
        <v>6825</v>
      </c>
      <c r="E3239" s="44"/>
      <c r="F3239" s="37">
        <v>5</v>
      </c>
      <c r="G3239" s="37" t="s">
        <v>6864</v>
      </c>
      <c r="H3239" s="63">
        <v>2316.6</v>
      </c>
    </row>
    <row r="3240" spans="1:8" ht="24.75" customHeight="1">
      <c r="A3240" s="44" t="s">
        <v>2663</v>
      </c>
      <c r="B3240" s="45" t="s">
        <v>5227</v>
      </c>
      <c r="C3240" s="45" t="s">
        <v>6816</v>
      </c>
      <c r="D3240" s="45" t="s">
        <v>6825</v>
      </c>
      <c r="E3240" s="44"/>
      <c r="F3240" s="37">
        <v>5</v>
      </c>
      <c r="G3240" s="37" t="s">
        <v>6864</v>
      </c>
      <c r="H3240" s="63">
        <v>4104.1000000000004</v>
      </c>
    </row>
    <row r="3241" spans="1:8" ht="24.75" customHeight="1">
      <c r="A3241" s="44" t="s">
        <v>2661</v>
      </c>
      <c r="B3241" s="45" t="s">
        <v>5225</v>
      </c>
      <c r="C3241" s="45" t="s">
        <v>6816</v>
      </c>
      <c r="D3241" s="45" t="s">
        <v>6825</v>
      </c>
      <c r="E3241" s="44"/>
      <c r="F3241" s="37">
        <v>5</v>
      </c>
      <c r="G3241" s="37" t="s">
        <v>6864</v>
      </c>
      <c r="H3241" s="63">
        <v>2245.1</v>
      </c>
    </row>
    <row r="3242" spans="1:8" ht="24.75" customHeight="1">
      <c r="A3242" s="44" t="s">
        <v>2250</v>
      </c>
      <c r="B3242" s="45" t="s">
        <v>5881</v>
      </c>
      <c r="C3242" s="45" t="s">
        <v>6816</v>
      </c>
      <c r="D3242" s="45" t="s">
        <v>6825</v>
      </c>
      <c r="E3242" s="44"/>
      <c r="F3242" s="37">
        <v>3</v>
      </c>
      <c r="G3242" s="37" t="s">
        <v>6864</v>
      </c>
      <c r="H3242" s="63">
        <v>1987.7</v>
      </c>
    </row>
    <row r="3243" spans="1:8" ht="24.75" customHeight="1">
      <c r="A3243" s="44" t="s">
        <v>2794</v>
      </c>
      <c r="B3243" s="45" t="s">
        <v>5791</v>
      </c>
      <c r="C3243" s="45" t="s">
        <v>6816</v>
      </c>
      <c r="D3243" s="45" t="s">
        <v>6825</v>
      </c>
      <c r="E3243" s="44"/>
      <c r="F3243" s="37">
        <v>10</v>
      </c>
      <c r="G3243" s="37" t="s">
        <v>6864</v>
      </c>
      <c r="H3243" s="63">
        <v>3017.3</v>
      </c>
    </row>
    <row r="3244" spans="1:8" ht="24.75" customHeight="1">
      <c r="A3244" s="44" t="s">
        <v>2585</v>
      </c>
      <c r="B3244" s="45" t="s">
        <v>4834</v>
      </c>
      <c r="C3244" s="45" t="s">
        <v>6816</v>
      </c>
      <c r="D3244" s="45" t="s">
        <v>6825</v>
      </c>
      <c r="E3244" s="44"/>
      <c r="F3244" s="37">
        <v>1</v>
      </c>
      <c r="G3244" s="37" t="s">
        <v>6864</v>
      </c>
      <c r="H3244" s="63">
        <v>1444.3</v>
      </c>
    </row>
    <row r="3245" spans="1:8" ht="24.75" customHeight="1">
      <c r="A3245" s="44" t="s">
        <v>2097</v>
      </c>
      <c r="B3245" s="45" t="s">
        <v>5222</v>
      </c>
      <c r="C3245" s="45" t="s">
        <v>6816</v>
      </c>
      <c r="D3245" s="45" t="s">
        <v>6825</v>
      </c>
      <c r="E3245" s="44" t="s">
        <v>956</v>
      </c>
      <c r="F3245" s="37">
        <v>1</v>
      </c>
      <c r="G3245" s="37" t="s">
        <v>6864</v>
      </c>
      <c r="H3245" s="63">
        <v>2273.6999999999998</v>
      </c>
    </row>
    <row r="3246" spans="1:8" ht="24.75" customHeight="1">
      <c r="A3246" s="44" t="s">
        <v>2098</v>
      </c>
      <c r="B3246" s="45" t="s">
        <v>5223</v>
      </c>
      <c r="C3246" s="45" t="s">
        <v>6816</v>
      </c>
      <c r="D3246" s="45" t="s">
        <v>6825</v>
      </c>
      <c r="E3246" s="44"/>
      <c r="F3246" s="37">
        <v>5</v>
      </c>
      <c r="G3246" s="37" t="s">
        <v>6864</v>
      </c>
      <c r="H3246" s="63">
        <v>757.9</v>
      </c>
    </row>
    <row r="3247" spans="1:8" ht="24.75" customHeight="1">
      <c r="A3247" s="44" t="s">
        <v>2095</v>
      </c>
      <c r="B3247" s="45" t="s">
        <v>5220</v>
      </c>
      <c r="C3247" s="45" t="s">
        <v>6816</v>
      </c>
      <c r="D3247" s="45" t="s">
        <v>6825</v>
      </c>
      <c r="E3247" s="44" t="s">
        <v>956</v>
      </c>
      <c r="F3247" s="37">
        <v>1</v>
      </c>
      <c r="G3247" s="37" t="s">
        <v>6864</v>
      </c>
      <c r="H3247" s="63">
        <v>1515.8</v>
      </c>
    </row>
    <row r="3248" spans="1:8" ht="24.75" customHeight="1">
      <c r="A3248" s="44" t="s">
        <v>2096</v>
      </c>
      <c r="B3248" s="45" t="s">
        <v>5221</v>
      </c>
      <c r="C3248" s="45" t="s">
        <v>6816</v>
      </c>
      <c r="D3248" s="45" t="s">
        <v>6825</v>
      </c>
      <c r="E3248" s="44" t="s">
        <v>956</v>
      </c>
      <c r="F3248" s="37">
        <v>1</v>
      </c>
      <c r="G3248" s="37" t="s">
        <v>6864</v>
      </c>
      <c r="H3248" s="63">
        <v>1458.6</v>
      </c>
    </row>
    <row r="3249" spans="1:8" ht="24.75" customHeight="1">
      <c r="A3249" s="44" t="s">
        <v>2094</v>
      </c>
      <c r="B3249" s="45" t="s">
        <v>5219</v>
      </c>
      <c r="C3249" s="45" t="s">
        <v>6816</v>
      </c>
      <c r="D3249" s="45" t="s">
        <v>6825</v>
      </c>
      <c r="E3249" s="44"/>
      <c r="F3249" s="37">
        <v>5</v>
      </c>
      <c r="G3249" s="37" t="s">
        <v>6864</v>
      </c>
      <c r="H3249" s="63">
        <v>829.4</v>
      </c>
    </row>
    <row r="3250" spans="1:8" ht="24.75" customHeight="1">
      <c r="A3250" s="44" t="s">
        <v>2050</v>
      </c>
      <c r="B3250" s="45" t="s">
        <v>5289</v>
      </c>
      <c r="C3250" s="45" t="s">
        <v>6816</v>
      </c>
      <c r="D3250" s="45" t="s">
        <v>6826</v>
      </c>
      <c r="E3250" s="44"/>
      <c r="F3250" s="37">
        <v>1</v>
      </c>
      <c r="G3250" s="37" t="s">
        <v>6864</v>
      </c>
      <c r="H3250" s="63">
        <v>17932.2</v>
      </c>
    </row>
    <row r="3251" spans="1:8" ht="24.75" customHeight="1">
      <c r="A3251" s="44" t="s">
        <v>1058</v>
      </c>
      <c r="B3251" s="45" t="s">
        <v>5188</v>
      </c>
      <c r="C3251" s="45" t="s">
        <v>6816</v>
      </c>
      <c r="D3251" s="45" t="s">
        <v>6826</v>
      </c>
      <c r="E3251" s="44" t="s">
        <v>6839</v>
      </c>
      <c r="F3251" s="37">
        <v>1</v>
      </c>
      <c r="G3251" s="37" t="s">
        <v>6864</v>
      </c>
      <c r="H3251" s="63">
        <v>5562.7</v>
      </c>
    </row>
    <row r="3252" spans="1:8" ht="24.75" customHeight="1">
      <c r="A3252" s="44" t="s">
        <v>2238</v>
      </c>
      <c r="B3252" s="45" t="s">
        <v>5897</v>
      </c>
      <c r="C3252" s="45" t="s">
        <v>6816</v>
      </c>
      <c r="D3252" s="45" t="s">
        <v>6826</v>
      </c>
      <c r="E3252" s="44" t="s">
        <v>6855</v>
      </c>
      <c r="F3252" s="37">
        <v>1</v>
      </c>
      <c r="G3252" s="37" t="s">
        <v>6864</v>
      </c>
      <c r="H3252" s="63">
        <v>8694.4</v>
      </c>
    </row>
    <row r="3253" spans="1:8" ht="24.75" customHeight="1">
      <c r="A3253" s="44" t="s">
        <v>2647</v>
      </c>
      <c r="B3253" s="45" t="s">
        <v>5329</v>
      </c>
      <c r="C3253" s="45" t="s">
        <v>6816</v>
      </c>
      <c r="D3253" s="45" t="s">
        <v>6826</v>
      </c>
      <c r="E3253" s="44" t="s">
        <v>6839</v>
      </c>
      <c r="F3253" s="37">
        <v>1</v>
      </c>
      <c r="G3253" s="37" t="s">
        <v>6864</v>
      </c>
      <c r="H3253" s="63">
        <v>13027.3</v>
      </c>
    </row>
    <row r="3254" spans="1:8" ht="24.75" customHeight="1">
      <c r="A3254" s="44" t="s">
        <v>1252</v>
      </c>
      <c r="B3254" s="45" t="s">
        <v>4915</v>
      </c>
      <c r="C3254" s="45" t="s">
        <v>6816</v>
      </c>
      <c r="D3254" s="45" t="s">
        <v>6826</v>
      </c>
      <c r="E3254" s="44" t="s">
        <v>6839</v>
      </c>
      <c r="F3254" s="37">
        <v>1</v>
      </c>
      <c r="G3254" s="37" t="s">
        <v>6864</v>
      </c>
      <c r="H3254" s="63">
        <v>5934.5</v>
      </c>
    </row>
    <row r="3255" spans="1:8" ht="24.75" customHeight="1">
      <c r="A3255" s="44" t="s">
        <v>924</v>
      </c>
      <c r="B3255" s="45" t="s">
        <v>4884</v>
      </c>
      <c r="C3255" s="45" t="s">
        <v>6816</v>
      </c>
      <c r="D3255" s="45" t="s">
        <v>6826</v>
      </c>
      <c r="E3255" s="44" t="s">
        <v>6839</v>
      </c>
      <c r="F3255" s="37">
        <v>1</v>
      </c>
      <c r="G3255" s="37" t="s">
        <v>6864</v>
      </c>
      <c r="H3255" s="63">
        <v>9137.7000000000007</v>
      </c>
    </row>
    <row r="3256" spans="1:8" ht="24.75" customHeight="1">
      <c r="A3256" s="44" t="s">
        <v>1637</v>
      </c>
      <c r="B3256" s="45" t="s">
        <v>5533</v>
      </c>
      <c r="C3256" s="45" t="s">
        <v>6816</v>
      </c>
      <c r="D3256" s="45" t="s">
        <v>6826</v>
      </c>
      <c r="E3256" s="44" t="s">
        <v>6839</v>
      </c>
      <c r="F3256" s="37">
        <v>1</v>
      </c>
      <c r="G3256" s="37" t="s">
        <v>6864</v>
      </c>
      <c r="H3256" s="63">
        <v>6477.9</v>
      </c>
    </row>
    <row r="3257" spans="1:8" ht="24.75" customHeight="1">
      <c r="A3257" s="44" t="s">
        <v>1044</v>
      </c>
      <c r="B3257" s="45" t="s">
        <v>5722</v>
      </c>
      <c r="C3257" s="45" t="s">
        <v>6816</v>
      </c>
      <c r="D3257" s="45" t="s">
        <v>6826</v>
      </c>
      <c r="E3257" s="44" t="s">
        <v>6839</v>
      </c>
      <c r="F3257" s="37">
        <v>1</v>
      </c>
      <c r="G3257" s="37" t="s">
        <v>6864</v>
      </c>
      <c r="H3257" s="63">
        <v>11625.9</v>
      </c>
    </row>
    <row r="3258" spans="1:8" ht="24.75" customHeight="1">
      <c r="A3258" s="44" t="s">
        <v>609</v>
      </c>
      <c r="B3258" s="45" t="s">
        <v>5655</v>
      </c>
      <c r="C3258" s="45" t="s">
        <v>6816</v>
      </c>
      <c r="D3258" s="45" t="s">
        <v>6826</v>
      </c>
      <c r="E3258" s="44" t="s">
        <v>6839</v>
      </c>
      <c r="F3258" s="37">
        <v>1</v>
      </c>
      <c r="G3258" s="37" t="s">
        <v>6864</v>
      </c>
      <c r="H3258" s="63">
        <v>6349.2</v>
      </c>
    </row>
    <row r="3259" spans="1:8" ht="24.75" customHeight="1">
      <c r="A3259" s="44" t="s">
        <v>2785</v>
      </c>
      <c r="B3259" s="45" t="s">
        <v>5782</v>
      </c>
      <c r="C3259" s="45" t="s">
        <v>6816</v>
      </c>
      <c r="D3259" s="45" t="s">
        <v>6826</v>
      </c>
      <c r="E3259" s="44" t="s">
        <v>6839</v>
      </c>
      <c r="F3259" s="37">
        <v>1</v>
      </c>
      <c r="G3259" s="37" t="s">
        <v>6864</v>
      </c>
      <c r="H3259" s="63">
        <v>8622.9</v>
      </c>
    </row>
    <row r="3260" spans="1:8" ht="24.75" customHeight="1">
      <c r="A3260" s="44" t="s">
        <v>2411</v>
      </c>
      <c r="B3260" s="45" t="s">
        <v>4836</v>
      </c>
      <c r="C3260" s="45" t="s">
        <v>6816</v>
      </c>
      <c r="D3260" s="45" t="s">
        <v>6826</v>
      </c>
      <c r="E3260" s="44" t="s">
        <v>6855</v>
      </c>
      <c r="F3260" s="37">
        <v>1</v>
      </c>
      <c r="G3260" s="37" t="s">
        <v>6864</v>
      </c>
      <c r="H3260" s="63">
        <v>15358.2</v>
      </c>
    </row>
    <row r="3261" spans="1:8" ht="24.75" customHeight="1">
      <c r="A3261" s="44" t="s">
        <v>2645</v>
      </c>
      <c r="B3261" s="45" t="s">
        <v>5327</v>
      </c>
      <c r="C3261" s="45" t="s">
        <v>6816</v>
      </c>
      <c r="D3261" s="45" t="s">
        <v>6826</v>
      </c>
      <c r="E3261" s="44" t="s">
        <v>6839</v>
      </c>
      <c r="F3261" s="37">
        <v>1</v>
      </c>
      <c r="G3261" s="37" t="s">
        <v>6864</v>
      </c>
      <c r="H3261" s="63">
        <v>10124.4</v>
      </c>
    </row>
    <row r="3262" spans="1:8" ht="24.75" customHeight="1">
      <c r="A3262" s="44" t="s">
        <v>2482</v>
      </c>
      <c r="B3262" s="45" t="s">
        <v>4852</v>
      </c>
      <c r="C3262" s="45" t="s">
        <v>6816</v>
      </c>
      <c r="D3262" s="45" t="s">
        <v>6826</v>
      </c>
      <c r="E3262" s="44"/>
      <c r="F3262" s="37">
        <v>10</v>
      </c>
      <c r="G3262" s="37" t="s">
        <v>6864</v>
      </c>
      <c r="H3262" s="63">
        <v>2273.6999999999998</v>
      </c>
    </row>
    <row r="3263" spans="1:8" ht="24.75" customHeight="1">
      <c r="A3263" s="44" t="s">
        <v>2648</v>
      </c>
      <c r="B3263" s="45" t="s">
        <v>5330</v>
      </c>
      <c r="C3263" s="45" t="s">
        <v>6816</v>
      </c>
      <c r="D3263" s="45" t="s">
        <v>6826</v>
      </c>
      <c r="E3263" s="44" t="s">
        <v>6839</v>
      </c>
      <c r="F3263" s="37">
        <v>1</v>
      </c>
      <c r="G3263" s="37" t="s">
        <v>6864</v>
      </c>
      <c r="H3263" s="63">
        <v>15958.8</v>
      </c>
    </row>
    <row r="3264" spans="1:8" ht="24.75" customHeight="1">
      <c r="A3264" s="44" t="s">
        <v>1488</v>
      </c>
      <c r="B3264" s="45" t="s">
        <v>4969</v>
      </c>
      <c r="C3264" s="45" t="s">
        <v>6816</v>
      </c>
      <c r="D3264" s="45" t="s">
        <v>6826</v>
      </c>
      <c r="E3264" s="44" t="s">
        <v>6855</v>
      </c>
      <c r="F3264" s="37">
        <v>1</v>
      </c>
      <c r="G3264" s="37" t="s">
        <v>6864</v>
      </c>
      <c r="H3264" s="63">
        <v>12255.1</v>
      </c>
    </row>
    <row r="3265" spans="1:8" ht="24.75" customHeight="1">
      <c r="A3265" s="44" t="s">
        <v>1069</v>
      </c>
      <c r="B3265" s="45" t="s">
        <v>5994</v>
      </c>
      <c r="C3265" s="45" t="s">
        <v>6816</v>
      </c>
      <c r="D3265" s="45" t="s">
        <v>6826</v>
      </c>
      <c r="E3265" s="44" t="s">
        <v>6839</v>
      </c>
      <c r="F3265" s="37">
        <v>1</v>
      </c>
      <c r="G3265" s="37" t="s">
        <v>6864</v>
      </c>
      <c r="H3265" s="63">
        <v>7621.9</v>
      </c>
    </row>
    <row r="3266" spans="1:8" ht="24.75" customHeight="1">
      <c r="A3266" s="44" t="s">
        <v>1381</v>
      </c>
      <c r="B3266" s="45" t="s">
        <v>6071</v>
      </c>
      <c r="C3266" s="45" t="s">
        <v>6816</v>
      </c>
      <c r="D3266" s="45" t="s">
        <v>6826</v>
      </c>
      <c r="E3266" s="44" t="s">
        <v>6839</v>
      </c>
      <c r="F3266" s="37">
        <v>1</v>
      </c>
      <c r="G3266" s="37" t="s">
        <v>6864</v>
      </c>
      <c r="H3266" s="63">
        <v>7836.4</v>
      </c>
    </row>
    <row r="3267" spans="1:8" ht="24.75" customHeight="1">
      <c r="A3267" s="44" t="s">
        <v>2646</v>
      </c>
      <c r="B3267" s="45" t="s">
        <v>5328</v>
      </c>
      <c r="C3267" s="45" t="s">
        <v>6816</v>
      </c>
      <c r="D3267" s="45" t="s">
        <v>6826</v>
      </c>
      <c r="E3267" s="44" t="s">
        <v>6839</v>
      </c>
      <c r="F3267" s="37">
        <v>1</v>
      </c>
      <c r="G3267" s="37" t="s">
        <v>6864</v>
      </c>
      <c r="H3267" s="63">
        <v>10124.4</v>
      </c>
    </row>
    <row r="3268" spans="1:8" ht="24.75" customHeight="1">
      <c r="A3268" s="44" t="s">
        <v>796</v>
      </c>
      <c r="B3268" s="45" t="s">
        <v>5998</v>
      </c>
      <c r="C3268" s="45" t="s">
        <v>6816</v>
      </c>
      <c r="D3268" s="45" t="s">
        <v>6826</v>
      </c>
      <c r="E3268" s="44"/>
      <c r="F3268" s="37">
        <v>10</v>
      </c>
      <c r="G3268" s="37" t="s">
        <v>6864</v>
      </c>
      <c r="H3268" s="63">
        <v>4132.7</v>
      </c>
    </row>
    <row r="3269" spans="1:8" ht="24.75" customHeight="1">
      <c r="A3269" s="44" t="s">
        <v>2242</v>
      </c>
      <c r="B3269" s="45" t="s">
        <v>5909</v>
      </c>
      <c r="C3269" s="45" t="s">
        <v>6816</v>
      </c>
      <c r="D3269" s="45" t="s">
        <v>6827</v>
      </c>
      <c r="E3269" s="44" t="s">
        <v>6855</v>
      </c>
      <c r="F3269" s="37">
        <v>1</v>
      </c>
      <c r="G3269" s="37" t="s">
        <v>6864</v>
      </c>
      <c r="H3269" s="63">
        <v>1887.6</v>
      </c>
    </row>
    <row r="3270" spans="1:8" ht="24.75" customHeight="1">
      <c r="A3270" s="44" t="s">
        <v>492</v>
      </c>
      <c r="B3270" s="45" t="s">
        <v>5999</v>
      </c>
      <c r="C3270" s="45" t="s">
        <v>6816</v>
      </c>
      <c r="D3270" s="45" t="s">
        <v>6827</v>
      </c>
      <c r="E3270" s="44" t="s">
        <v>6839</v>
      </c>
      <c r="F3270" s="37">
        <v>1</v>
      </c>
      <c r="G3270" s="37" t="s">
        <v>6864</v>
      </c>
      <c r="H3270" s="63">
        <v>5691.4</v>
      </c>
    </row>
    <row r="3271" spans="1:8" ht="24.75" customHeight="1">
      <c r="A3271" s="44" t="s">
        <v>2966</v>
      </c>
      <c r="B3271" s="45" t="s">
        <v>4802</v>
      </c>
      <c r="C3271" s="45" t="s">
        <v>6816</v>
      </c>
      <c r="D3271" s="45" t="s">
        <v>6827</v>
      </c>
      <c r="E3271" s="44" t="s">
        <v>6855</v>
      </c>
      <c r="F3271" s="37">
        <v>1</v>
      </c>
      <c r="G3271" s="37" t="s">
        <v>6864</v>
      </c>
      <c r="H3271" s="63">
        <v>9123.4</v>
      </c>
    </row>
    <row r="3272" spans="1:8" ht="24.75" customHeight="1">
      <c r="A3272" s="44" t="s">
        <v>2643</v>
      </c>
      <c r="B3272" s="45" t="s">
        <v>5326</v>
      </c>
      <c r="C3272" s="45" t="s">
        <v>6816</v>
      </c>
      <c r="D3272" s="45" t="s">
        <v>6827</v>
      </c>
      <c r="E3272" s="44" t="s">
        <v>6839</v>
      </c>
      <c r="F3272" s="37">
        <v>1</v>
      </c>
      <c r="G3272" s="37" t="s">
        <v>6864</v>
      </c>
      <c r="H3272" s="63">
        <v>7364.5</v>
      </c>
    </row>
    <row r="3273" spans="1:8" ht="24.75" customHeight="1">
      <c r="A3273" s="44" t="s">
        <v>3107</v>
      </c>
      <c r="B3273" s="45" t="s">
        <v>5597</v>
      </c>
      <c r="C3273" s="45" t="s">
        <v>6816</v>
      </c>
      <c r="D3273" s="45" t="s">
        <v>6827</v>
      </c>
      <c r="E3273" s="44"/>
      <c r="F3273" s="37">
        <v>1</v>
      </c>
      <c r="G3273" s="37" t="s">
        <v>6864</v>
      </c>
      <c r="H3273" s="63">
        <v>7035.6</v>
      </c>
    </row>
    <row r="3274" spans="1:8" ht="24.75" customHeight="1">
      <c r="A3274" s="44" t="s">
        <v>1583</v>
      </c>
      <c r="B3274" s="45" t="s">
        <v>5464</v>
      </c>
      <c r="C3274" s="45" t="s">
        <v>6816</v>
      </c>
      <c r="D3274" s="45" t="s">
        <v>6827</v>
      </c>
      <c r="E3274" s="44" t="s">
        <v>6839</v>
      </c>
      <c r="F3274" s="37">
        <v>1</v>
      </c>
      <c r="G3274" s="37" t="s">
        <v>6864</v>
      </c>
      <c r="H3274" s="63">
        <v>8294</v>
      </c>
    </row>
    <row r="3275" spans="1:8" ht="24.75" customHeight="1">
      <c r="A3275" s="44" t="s">
        <v>2780</v>
      </c>
      <c r="B3275" s="45" t="s">
        <v>5777</v>
      </c>
      <c r="C3275" s="45" t="s">
        <v>6816</v>
      </c>
      <c r="D3275" s="45" t="s">
        <v>6827</v>
      </c>
      <c r="E3275" s="44" t="s">
        <v>6839</v>
      </c>
      <c r="F3275" s="37">
        <v>1</v>
      </c>
      <c r="G3275" s="37" t="s">
        <v>6864</v>
      </c>
      <c r="H3275" s="63">
        <v>6964.1</v>
      </c>
    </row>
    <row r="3276" spans="1:8" ht="24.75" customHeight="1">
      <c r="A3276" s="44" t="s">
        <v>2408</v>
      </c>
      <c r="B3276" s="45" t="s">
        <v>5322</v>
      </c>
      <c r="C3276" s="45" t="s">
        <v>6816</v>
      </c>
      <c r="D3276" s="45" t="s">
        <v>6827</v>
      </c>
      <c r="E3276" s="44" t="s">
        <v>6855</v>
      </c>
      <c r="F3276" s="37">
        <v>1</v>
      </c>
      <c r="G3276" s="37" t="s">
        <v>6864</v>
      </c>
      <c r="H3276" s="63">
        <v>8751.6</v>
      </c>
    </row>
    <row r="3277" spans="1:8" ht="24.75" customHeight="1">
      <c r="A3277" s="44" t="s">
        <v>2641</v>
      </c>
      <c r="B3277" s="45" t="s">
        <v>5324</v>
      </c>
      <c r="C3277" s="45" t="s">
        <v>6816</v>
      </c>
      <c r="D3277" s="45" t="s">
        <v>6827</v>
      </c>
      <c r="E3277" s="44" t="s">
        <v>6839</v>
      </c>
      <c r="F3277" s="37">
        <v>1</v>
      </c>
      <c r="G3277" s="37" t="s">
        <v>6864</v>
      </c>
      <c r="H3277" s="63">
        <v>7035.6</v>
      </c>
    </row>
    <row r="3278" spans="1:8" ht="24.75" customHeight="1">
      <c r="A3278" s="44" t="s">
        <v>2241</v>
      </c>
      <c r="B3278" s="45" t="s">
        <v>5911</v>
      </c>
      <c r="C3278" s="45" t="s">
        <v>6816</v>
      </c>
      <c r="D3278" s="45" t="s">
        <v>6827</v>
      </c>
      <c r="E3278" s="44" t="s">
        <v>6855</v>
      </c>
      <c r="F3278" s="37">
        <v>1</v>
      </c>
      <c r="G3278" s="37" t="s">
        <v>6864</v>
      </c>
      <c r="H3278" s="63">
        <v>5705.7</v>
      </c>
    </row>
    <row r="3279" spans="1:8" ht="24.75" customHeight="1">
      <c r="A3279" s="44" t="s">
        <v>638</v>
      </c>
      <c r="B3279" s="45" t="s">
        <v>5602</v>
      </c>
      <c r="C3279" s="45" t="s">
        <v>6816</v>
      </c>
      <c r="D3279" s="45" t="s">
        <v>6827</v>
      </c>
      <c r="E3279" s="44" t="s">
        <v>6839</v>
      </c>
      <c r="F3279" s="37">
        <v>1</v>
      </c>
      <c r="G3279" s="37" t="s">
        <v>6864</v>
      </c>
      <c r="H3279" s="63">
        <v>6477.9</v>
      </c>
    </row>
    <row r="3280" spans="1:8" ht="24.75" customHeight="1">
      <c r="A3280" s="44" t="s">
        <v>1393</v>
      </c>
      <c r="B3280" s="45" t="s">
        <v>5211</v>
      </c>
      <c r="C3280" s="45" t="s">
        <v>6816</v>
      </c>
      <c r="D3280" s="45" t="s">
        <v>6827</v>
      </c>
      <c r="E3280" s="44" t="s">
        <v>6855</v>
      </c>
      <c r="F3280" s="37">
        <v>1</v>
      </c>
      <c r="G3280" s="37" t="s">
        <v>6864</v>
      </c>
      <c r="H3280" s="63">
        <v>5920.2</v>
      </c>
    </row>
    <row r="3281" spans="1:8" ht="24.75" customHeight="1">
      <c r="A3281" s="44" t="s">
        <v>2409</v>
      </c>
      <c r="B3281" s="45" t="s">
        <v>5323</v>
      </c>
      <c r="C3281" s="45" t="s">
        <v>6816</v>
      </c>
      <c r="D3281" s="45" t="s">
        <v>6827</v>
      </c>
      <c r="E3281" s="44" t="s">
        <v>6855</v>
      </c>
      <c r="F3281" s="37">
        <v>1</v>
      </c>
      <c r="G3281" s="37" t="s">
        <v>6864</v>
      </c>
      <c r="H3281" s="63">
        <v>9609.6</v>
      </c>
    </row>
    <row r="3282" spans="1:8" ht="24.75" customHeight="1">
      <c r="A3282" s="44" t="s">
        <v>1420</v>
      </c>
      <c r="B3282" s="45" t="s">
        <v>4974</v>
      </c>
      <c r="C3282" s="45" t="s">
        <v>6816</v>
      </c>
      <c r="D3282" s="45" t="s">
        <v>6827</v>
      </c>
      <c r="E3282" s="44"/>
      <c r="F3282" s="37">
        <v>1</v>
      </c>
      <c r="G3282" s="37" t="s">
        <v>6864</v>
      </c>
      <c r="H3282" s="63">
        <v>9581</v>
      </c>
    </row>
    <row r="3283" spans="1:8" ht="24.75" customHeight="1">
      <c r="A3283" s="44" t="s">
        <v>1367</v>
      </c>
      <c r="B3283" s="45" t="s">
        <v>5997</v>
      </c>
      <c r="C3283" s="45" t="s">
        <v>6816</v>
      </c>
      <c r="D3283" s="45" t="s">
        <v>6827</v>
      </c>
      <c r="E3283" s="44" t="s">
        <v>6839</v>
      </c>
      <c r="F3283" s="37">
        <v>1</v>
      </c>
      <c r="G3283" s="37" t="s">
        <v>6864</v>
      </c>
      <c r="H3283" s="63">
        <v>8108.1</v>
      </c>
    </row>
    <row r="3284" spans="1:8" ht="24.75" customHeight="1">
      <c r="A3284" s="44" t="s">
        <v>2642</v>
      </c>
      <c r="B3284" s="45" t="s">
        <v>5325</v>
      </c>
      <c r="C3284" s="45" t="s">
        <v>6816</v>
      </c>
      <c r="D3284" s="45" t="s">
        <v>6827</v>
      </c>
      <c r="E3284" s="44" t="s">
        <v>6839</v>
      </c>
      <c r="F3284" s="37">
        <v>1</v>
      </c>
      <c r="G3284" s="37" t="s">
        <v>6864</v>
      </c>
      <c r="H3284" s="63">
        <v>7035.6</v>
      </c>
    </row>
    <row r="3285" spans="1:8" ht="24.75" customHeight="1">
      <c r="A3285" s="44" t="s">
        <v>3124</v>
      </c>
      <c r="B3285" s="45" t="s">
        <v>5394</v>
      </c>
      <c r="C3285" s="45" t="s">
        <v>6816</v>
      </c>
      <c r="D3285" s="45" t="s">
        <v>6827</v>
      </c>
      <c r="E3285" s="44"/>
      <c r="F3285" s="37">
        <v>1</v>
      </c>
      <c r="G3285" s="37" t="s">
        <v>6864</v>
      </c>
      <c r="H3285" s="63">
        <v>1544.4</v>
      </c>
    </row>
    <row r="3286" spans="1:8" ht="24.75" customHeight="1">
      <c r="A3286" s="44" t="s">
        <v>1585</v>
      </c>
      <c r="B3286" s="45" t="s">
        <v>5467</v>
      </c>
      <c r="C3286" s="45" t="s">
        <v>6816</v>
      </c>
      <c r="D3286" s="45" t="s">
        <v>6827</v>
      </c>
      <c r="E3286" s="44" t="s">
        <v>6839</v>
      </c>
      <c r="F3286" s="37">
        <v>1</v>
      </c>
      <c r="G3286" s="37" t="s">
        <v>6864</v>
      </c>
      <c r="H3286" s="63">
        <v>9123.4</v>
      </c>
    </row>
    <row r="3287" spans="1:8" ht="24.75" customHeight="1">
      <c r="A3287" s="44" t="s">
        <v>611</v>
      </c>
      <c r="B3287" s="45" t="s">
        <v>5657</v>
      </c>
      <c r="C3287" s="45" t="s">
        <v>6816</v>
      </c>
      <c r="D3287" s="45" t="s">
        <v>6827</v>
      </c>
      <c r="E3287" s="44" t="s">
        <v>6839</v>
      </c>
      <c r="F3287" s="37">
        <v>1</v>
      </c>
      <c r="G3287" s="37" t="s">
        <v>6864</v>
      </c>
      <c r="H3287" s="63">
        <v>1773.2</v>
      </c>
    </row>
    <row r="3288" spans="1:8" ht="24.75" customHeight="1">
      <c r="A3288" s="44" t="s">
        <v>1428</v>
      </c>
      <c r="B3288" s="45" t="s">
        <v>4985</v>
      </c>
      <c r="C3288" s="45" t="s">
        <v>6816</v>
      </c>
      <c r="D3288" s="45" t="s">
        <v>6827</v>
      </c>
      <c r="E3288" s="44"/>
      <c r="F3288" s="37">
        <v>1</v>
      </c>
      <c r="G3288" s="37" t="s">
        <v>6864</v>
      </c>
      <c r="H3288" s="63">
        <v>2230.8000000000002</v>
      </c>
    </row>
    <row r="3289" spans="1:8" ht="24.75" customHeight="1">
      <c r="A3289" s="44" t="s">
        <v>612</v>
      </c>
      <c r="B3289" s="45" t="s">
        <v>5658</v>
      </c>
      <c r="C3289" s="45" t="s">
        <v>6816</v>
      </c>
      <c r="D3289" s="45" t="s">
        <v>6827</v>
      </c>
      <c r="E3289" s="44" t="s">
        <v>6839</v>
      </c>
      <c r="F3289" s="37">
        <v>1</v>
      </c>
      <c r="G3289" s="37" t="s">
        <v>6864</v>
      </c>
      <c r="H3289" s="63">
        <v>5920.2</v>
      </c>
    </row>
    <row r="3290" spans="1:8" ht="24.75" customHeight="1">
      <c r="A3290" s="44" t="s">
        <v>3125</v>
      </c>
      <c r="B3290" s="45" t="s">
        <v>5398</v>
      </c>
      <c r="C3290" s="45" t="s">
        <v>6816</v>
      </c>
      <c r="D3290" s="45" t="s">
        <v>6828</v>
      </c>
      <c r="E3290" s="44" t="s">
        <v>956</v>
      </c>
      <c r="F3290" s="37">
        <v>1</v>
      </c>
      <c r="G3290" s="37" t="s">
        <v>6864</v>
      </c>
      <c r="H3290" s="63">
        <v>32360.9</v>
      </c>
    </row>
    <row r="3291" spans="1:8" ht="24.75" customHeight="1">
      <c r="A3291" s="44" t="s">
        <v>2049</v>
      </c>
      <c r="B3291" s="45" t="s">
        <v>5288</v>
      </c>
      <c r="C3291" s="45" t="s">
        <v>6829</v>
      </c>
      <c r="D3291" s="45" t="s">
        <v>6830</v>
      </c>
      <c r="E3291" s="44"/>
      <c r="F3291" s="37">
        <v>1</v>
      </c>
      <c r="G3291" s="37" t="s">
        <v>6864</v>
      </c>
      <c r="H3291" s="63">
        <v>98698.6</v>
      </c>
    </row>
    <row r="3292" spans="1:8" ht="24.75" customHeight="1">
      <c r="A3292" s="44" t="s">
        <v>3137</v>
      </c>
      <c r="B3292" s="45" t="s">
        <v>3281</v>
      </c>
      <c r="C3292" s="45" t="s">
        <v>6829</v>
      </c>
      <c r="D3292" s="45" t="s">
        <v>6830</v>
      </c>
      <c r="E3292" s="44"/>
      <c r="F3292" s="37">
        <v>1</v>
      </c>
      <c r="G3292" s="37" t="s">
        <v>6864</v>
      </c>
      <c r="H3292" s="63">
        <v>17860.7</v>
      </c>
    </row>
    <row r="3293" spans="1:8" ht="24.75" customHeight="1">
      <c r="A3293" s="44" t="s">
        <v>3136</v>
      </c>
      <c r="B3293" s="45" t="s">
        <v>3282</v>
      </c>
      <c r="C3293" s="45" t="s">
        <v>6829</v>
      </c>
      <c r="D3293" s="45" t="s">
        <v>6830</v>
      </c>
      <c r="E3293" s="44"/>
      <c r="F3293" s="37">
        <v>1</v>
      </c>
      <c r="G3293" s="37" t="s">
        <v>6864</v>
      </c>
      <c r="H3293" s="63">
        <v>17431.7</v>
      </c>
    </row>
    <row r="3294" spans="1:8" ht="24.75" customHeight="1">
      <c r="A3294" s="44" t="s">
        <v>2800</v>
      </c>
      <c r="B3294" s="45" t="s">
        <v>5799</v>
      </c>
      <c r="C3294" s="45" t="s">
        <v>6829</v>
      </c>
      <c r="D3294" s="45" t="s">
        <v>6830</v>
      </c>
      <c r="E3294" s="44"/>
      <c r="F3294" s="37">
        <v>1</v>
      </c>
      <c r="G3294" s="37" t="s">
        <v>2568</v>
      </c>
      <c r="H3294" s="63">
        <v>46160.4</v>
      </c>
    </row>
    <row r="3295" spans="1:8" ht="24.75" customHeight="1">
      <c r="A3295" s="44" t="s">
        <v>2339</v>
      </c>
      <c r="B3295" s="45" t="s">
        <v>3286</v>
      </c>
      <c r="C3295" s="45" t="s">
        <v>6829</v>
      </c>
      <c r="D3295" s="45" t="s">
        <v>6830</v>
      </c>
      <c r="E3295" s="44" t="s">
        <v>956</v>
      </c>
      <c r="F3295" s="37">
        <v>1</v>
      </c>
      <c r="G3295" s="37" t="s">
        <v>6864</v>
      </c>
      <c r="H3295" s="63">
        <v>85027.8</v>
      </c>
    </row>
    <row r="3296" spans="1:8" ht="24.75" customHeight="1">
      <c r="A3296" s="44" t="s">
        <v>2225</v>
      </c>
      <c r="B3296" s="45" t="s">
        <v>5587</v>
      </c>
      <c r="C3296" s="45" t="s">
        <v>6829</v>
      </c>
      <c r="D3296" s="45" t="s">
        <v>6830</v>
      </c>
      <c r="E3296" s="44" t="s">
        <v>956</v>
      </c>
      <c r="F3296" s="37">
        <v>1</v>
      </c>
      <c r="G3296" s="37" t="s">
        <v>6864</v>
      </c>
      <c r="H3296" s="63">
        <v>107607.5</v>
      </c>
    </row>
    <row r="3297" spans="1:8" ht="24.75" customHeight="1">
      <c r="A3297" s="44" t="s">
        <v>2565</v>
      </c>
      <c r="B3297" s="45" t="s">
        <v>3287</v>
      </c>
      <c r="C3297" s="45" t="s">
        <v>6829</v>
      </c>
      <c r="D3297" s="45" t="s">
        <v>6830</v>
      </c>
      <c r="E3297" s="44" t="s">
        <v>956</v>
      </c>
      <c r="F3297" s="37">
        <v>1</v>
      </c>
      <c r="G3297" s="37" t="s">
        <v>6864</v>
      </c>
      <c r="H3297" s="63">
        <v>74789</v>
      </c>
    </row>
    <row r="3298" spans="1:8" ht="24.75" customHeight="1">
      <c r="A3298" s="44" t="s">
        <v>2340</v>
      </c>
      <c r="B3298" s="45" t="s">
        <v>3288</v>
      </c>
      <c r="C3298" s="45" t="s">
        <v>6829</v>
      </c>
      <c r="D3298" s="45" t="s">
        <v>6830</v>
      </c>
      <c r="E3298" s="44" t="s">
        <v>956</v>
      </c>
      <c r="F3298" s="37">
        <v>1</v>
      </c>
      <c r="G3298" s="37" t="s">
        <v>6864</v>
      </c>
      <c r="H3298" s="63">
        <v>74917.7</v>
      </c>
    </row>
    <row r="3299" spans="1:8" ht="24.75" customHeight="1">
      <c r="A3299" s="44" t="s">
        <v>3086</v>
      </c>
      <c r="B3299" s="45" t="s">
        <v>3296</v>
      </c>
      <c r="C3299" s="45" t="s">
        <v>6829</v>
      </c>
      <c r="D3299" s="45" t="s">
        <v>6830</v>
      </c>
      <c r="E3299" s="44" t="s">
        <v>956</v>
      </c>
      <c r="F3299" s="37">
        <v>1</v>
      </c>
      <c r="G3299" s="37" t="s">
        <v>6865</v>
      </c>
      <c r="H3299" s="63">
        <v>54268.5</v>
      </c>
    </row>
    <row r="3300" spans="1:8" ht="24.75" customHeight="1">
      <c r="A3300" s="44" t="s">
        <v>2868</v>
      </c>
      <c r="B3300" s="45" t="s">
        <v>3283</v>
      </c>
      <c r="C3300" s="45" t="s">
        <v>6829</v>
      </c>
      <c r="D3300" s="45" t="s">
        <v>6830</v>
      </c>
      <c r="E3300" s="44" t="s">
        <v>956</v>
      </c>
      <c r="F3300" s="37">
        <v>1</v>
      </c>
      <c r="G3300" s="37" t="s">
        <v>6864</v>
      </c>
      <c r="H3300" s="63">
        <v>32461</v>
      </c>
    </row>
    <row r="3301" spans="1:8" ht="24.75" customHeight="1">
      <c r="A3301" s="44" t="s">
        <v>3135</v>
      </c>
      <c r="B3301" s="45" t="s">
        <v>3284</v>
      </c>
      <c r="C3301" s="45" t="s">
        <v>6829</v>
      </c>
      <c r="D3301" s="45" t="s">
        <v>6830</v>
      </c>
      <c r="E3301" s="44"/>
      <c r="F3301" s="37">
        <v>1</v>
      </c>
      <c r="G3301" s="37" t="s">
        <v>6864</v>
      </c>
      <c r="H3301" s="63">
        <v>20692.099999999999</v>
      </c>
    </row>
    <row r="3302" spans="1:8" ht="24.75" customHeight="1">
      <c r="A3302" s="44" t="s">
        <v>3134</v>
      </c>
      <c r="B3302" s="45" t="s">
        <v>3285</v>
      </c>
      <c r="C3302" s="45" t="s">
        <v>6829</v>
      </c>
      <c r="D3302" s="45" t="s">
        <v>6830</v>
      </c>
      <c r="E3302" s="44"/>
      <c r="F3302" s="37">
        <v>1</v>
      </c>
      <c r="G3302" s="37" t="s">
        <v>6864</v>
      </c>
      <c r="H3302" s="63">
        <v>20692.099999999999</v>
      </c>
    </row>
    <row r="3303" spans="1:8" ht="24.75" customHeight="1">
      <c r="A3303" s="44" t="s">
        <v>1098</v>
      </c>
      <c r="B3303" s="45" t="s">
        <v>5081</v>
      </c>
      <c r="C3303" s="45" t="s">
        <v>6829</v>
      </c>
      <c r="D3303" s="45" t="s">
        <v>6830</v>
      </c>
      <c r="E3303" s="44" t="s">
        <v>6839</v>
      </c>
      <c r="F3303" s="37">
        <v>1</v>
      </c>
      <c r="G3303" s="37" t="s">
        <v>6865</v>
      </c>
      <c r="H3303" s="63">
        <v>49821.2</v>
      </c>
    </row>
    <row r="3304" spans="1:8" ht="24.75" customHeight="1">
      <c r="A3304" s="44" t="s">
        <v>315</v>
      </c>
      <c r="B3304" s="45" t="s">
        <v>3289</v>
      </c>
      <c r="C3304" s="45" t="s">
        <v>6829</v>
      </c>
      <c r="D3304" s="45" t="s">
        <v>6830</v>
      </c>
      <c r="E3304" s="44" t="s">
        <v>956</v>
      </c>
      <c r="F3304" s="37">
        <v>1</v>
      </c>
      <c r="G3304" s="37" t="s">
        <v>2568</v>
      </c>
      <c r="H3304" s="63">
        <v>46904</v>
      </c>
    </row>
    <row r="3305" spans="1:8" ht="24.75" customHeight="1">
      <c r="A3305" s="44" t="s">
        <v>317</v>
      </c>
      <c r="B3305" s="45" t="s">
        <v>3291</v>
      </c>
      <c r="C3305" s="45" t="s">
        <v>6829</v>
      </c>
      <c r="D3305" s="45" t="s">
        <v>6830</v>
      </c>
      <c r="E3305" s="44" t="s">
        <v>956</v>
      </c>
      <c r="F3305" s="37">
        <v>1</v>
      </c>
      <c r="G3305" s="37" t="s">
        <v>2568</v>
      </c>
      <c r="H3305" s="63">
        <v>46675.199999999997</v>
      </c>
    </row>
    <row r="3306" spans="1:8" ht="24.75" customHeight="1">
      <c r="A3306" s="44" t="s">
        <v>318</v>
      </c>
      <c r="B3306" s="45" t="s">
        <v>3292</v>
      </c>
      <c r="C3306" s="45" t="s">
        <v>6829</v>
      </c>
      <c r="D3306" s="45" t="s">
        <v>6830</v>
      </c>
      <c r="E3306" s="44" t="s">
        <v>956</v>
      </c>
      <c r="F3306" s="37">
        <v>1</v>
      </c>
      <c r="G3306" s="37" t="s">
        <v>2568</v>
      </c>
      <c r="H3306" s="63">
        <v>46675.199999999997</v>
      </c>
    </row>
    <row r="3307" spans="1:8" ht="24.75" customHeight="1">
      <c r="A3307" s="44" t="s">
        <v>316</v>
      </c>
      <c r="B3307" s="45" t="s">
        <v>3290</v>
      </c>
      <c r="C3307" s="45" t="s">
        <v>6829</v>
      </c>
      <c r="D3307" s="45" t="s">
        <v>6830</v>
      </c>
      <c r="E3307" s="44" t="s">
        <v>956</v>
      </c>
      <c r="F3307" s="37">
        <v>1</v>
      </c>
      <c r="G3307" s="37" t="s">
        <v>2568</v>
      </c>
      <c r="H3307" s="63">
        <v>46675.199999999997</v>
      </c>
    </row>
    <row r="3308" spans="1:8" ht="24.75" customHeight="1">
      <c r="A3308" s="44" t="s">
        <v>602</v>
      </c>
      <c r="B3308" s="45" t="s">
        <v>5648</v>
      </c>
      <c r="C3308" s="45" t="s">
        <v>6829</v>
      </c>
      <c r="D3308" s="45" t="s">
        <v>6830</v>
      </c>
      <c r="E3308" s="44" t="s">
        <v>6839</v>
      </c>
      <c r="F3308" s="37">
        <v>1</v>
      </c>
      <c r="G3308" s="37" t="s">
        <v>6865</v>
      </c>
      <c r="H3308" s="63">
        <v>46432.1</v>
      </c>
    </row>
    <row r="3309" spans="1:8" ht="24.75" customHeight="1">
      <c r="A3309" s="44" t="s">
        <v>319</v>
      </c>
      <c r="B3309" s="45" t="s">
        <v>3293</v>
      </c>
      <c r="C3309" s="45" t="s">
        <v>6829</v>
      </c>
      <c r="D3309" s="45" t="s">
        <v>6830</v>
      </c>
      <c r="E3309" s="44" t="s">
        <v>956</v>
      </c>
      <c r="F3309" s="37">
        <v>1</v>
      </c>
      <c r="G3309" s="37" t="s">
        <v>6864</v>
      </c>
      <c r="H3309" s="63">
        <v>47561.8</v>
      </c>
    </row>
    <row r="3310" spans="1:8" ht="24.75" customHeight="1">
      <c r="A3310" s="44" t="s">
        <v>2678</v>
      </c>
      <c r="B3310" s="45" t="s">
        <v>3294</v>
      </c>
      <c r="C3310" s="45" t="s">
        <v>6829</v>
      </c>
      <c r="D3310" s="45" t="s">
        <v>6830</v>
      </c>
      <c r="E3310" s="44" t="s">
        <v>956</v>
      </c>
      <c r="F3310" s="37">
        <v>1</v>
      </c>
      <c r="G3310" s="37" t="s">
        <v>2568</v>
      </c>
      <c r="H3310" s="63">
        <v>52323.7</v>
      </c>
    </row>
    <row r="3311" spans="1:8" ht="24.75" customHeight="1">
      <c r="A3311" s="44" t="s">
        <v>320</v>
      </c>
      <c r="B3311" s="45" t="s">
        <v>3295</v>
      </c>
      <c r="C3311" s="45" t="s">
        <v>6829</v>
      </c>
      <c r="D3311" s="45" t="s">
        <v>6830</v>
      </c>
      <c r="E3311" s="44" t="s">
        <v>956</v>
      </c>
      <c r="F3311" s="37">
        <v>1</v>
      </c>
      <c r="G3311" s="37" t="s">
        <v>2568</v>
      </c>
      <c r="H3311" s="63">
        <v>50235.9</v>
      </c>
    </row>
    <row r="3312" spans="1:8" ht="24.75" customHeight="1">
      <c r="A3312" s="44" t="s">
        <v>963</v>
      </c>
      <c r="B3312" s="45" t="s">
        <v>6023</v>
      </c>
      <c r="C3312" s="45" t="s">
        <v>6829</v>
      </c>
      <c r="D3312" s="45" t="s">
        <v>6830</v>
      </c>
      <c r="E3312" s="44" t="s">
        <v>6839</v>
      </c>
      <c r="F3312" s="37">
        <v>1</v>
      </c>
      <c r="G3312" s="37" t="s">
        <v>6865</v>
      </c>
      <c r="H3312" s="63">
        <v>58386.9</v>
      </c>
    </row>
    <row r="3313" spans="1:8" ht="24.75" customHeight="1">
      <c r="A3313" s="44" t="s">
        <v>557</v>
      </c>
      <c r="B3313" s="45" t="s">
        <v>3781</v>
      </c>
      <c r="C3313" s="45" t="s">
        <v>6829</v>
      </c>
      <c r="D3313" s="45" t="s">
        <v>6831</v>
      </c>
      <c r="E3313" s="44" t="s">
        <v>956</v>
      </c>
      <c r="F3313" s="37">
        <v>1</v>
      </c>
      <c r="G3313" s="37" t="s">
        <v>6865</v>
      </c>
      <c r="H3313" s="63">
        <v>5119.3999999999996</v>
      </c>
    </row>
    <row r="3314" spans="1:8" ht="24.75" customHeight="1">
      <c r="A3314" s="44" t="s">
        <v>193</v>
      </c>
      <c r="B3314" s="45" t="s">
        <v>3782</v>
      </c>
      <c r="C3314" s="45" t="s">
        <v>6829</v>
      </c>
      <c r="D3314" s="45" t="s">
        <v>6831</v>
      </c>
      <c r="E3314" s="44" t="s">
        <v>956</v>
      </c>
      <c r="F3314" s="37">
        <v>1</v>
      </c>
      <c r="G3314" s="37" t="s">
        <v>6865</v>
      </c>
      <c r="H3314" s="63">
        <v>5119.3999999999996</v>
      </c>
    </row>
    <row r="3315" spans="1:8" ht="24.75" customHeight="1">
      <c r="A3315" s="44" t="s">
        <v>194</v>
      </c>
      <c r="B3315" s="45" t="s">
        <v>3783</v>
      </c>
      <c r="C3315" s="45" t="s">
        <v>6829</v>
      </c>
      <c r="D3315" s="45" t="s">
        <v>6831</v>
      </c>
      <c r="E3315" s="44" t="s">
        <v>956</v>
      </c>
      <c r="F3315" s="37">
        <v>1</v>
      </c>
      <c r="G3315" s="37" t="s">
        <v>6865</v>
      </c>
      <c r="H3315" s="63">
        <v>5119.3999999999996</v>
      </c>
    </row>
    <row r="3316" spans="1:8" ht="24.75" customHeight="1">
      <c r="A3316" s="44" t="s">
        <v>195</v>
      </c>
      <c r="B3316" s="45" t="s">
        <v>3784</v>
      </c>
      <c r="C3316" s="45" t="s">
        <v>6829</v>
      </c>
      <c r="D3316" s="45" t="s">
        <v>6831</v>
      </c>
      <c r="E3316" s="44" t="s">
        <v>956</v>
      </c>
      <c r="F3316" s="37">
        <v>1</v>
      </c>
      <c r="G3316" s="37" t="s">
        <v>6865</v>
      </c>
      <c r="H3316" s="63">
        <v>5119.3999999999996</v>
      </c>
    </row>
    <row r="3317" spans="1:8" ht="24.75" customHeight="1">
      <c r="A3317" s="58" t="s">
        <v>196</v>
      </c>
      <c r="B3317" s="61" t="s">
        <v>3785</v>
      </c>
      <c r="C3317" s="45" t="s">
        <v>6829</v>
      </c>
      <c r="D3317" s="45" t="s">
        <v>6831</v>
      </c>
      <c r="E3317" s="58" t="s">
        <v>956</v>
      </c>
      <c r="F3317" s="37">
        <v>1</v>
      </c>
      <c r="G3317" s="59" t="s">
        <v>6865</v>
      </c>
      <c r="H3317" s="63">
        <v>5119.3999999999996</v>
      </c>
    </row>
    <row r="3318" spans="1:8" ht="24.75" customHeight="1">
      <c r="A3318" s="58" t="s">
        <v>1013</v>
      </c>
      <c r="B3318" s="61" t="s">
        <v>3933</v>
      </c>
      <c r="C3318" s="45" t="s">
        <v>6829</v>
      </c>
      <c r="D3318" s="45" t="s">
        <v>6832</v>
      </c>
      <c r="E3318" s="58" t="s">
        <v>6839</v>
      </c>
      <c r="F3318" s="59">
        <v>1</v>
      </c>
      <c r="G3318" s="59" t="s">
        <v>6864</v>
      </c>
      <c r="H3318" s="63">
        <v>41470</v>
      </c>
    </row>
    <row r="3319" spans="1:8" ht="24.75" customHeight="1">
      <c r="A3319" s="44" t="s">
        <v>1011</v>
      </c>
      <c r="B3319" s="45" t="s">
        <v>3931</v>
      </c>
      <c r="C3319" s="45" t="s">
        <v>6829</v>
      </c>
      <c r="D3319" s="45" t="s">
        <v>6832</v>
      </c>
      <c r="E3319" s="44" t="s">
        <v>6839</v>
      </c>
      <c r="F3319" s="37">
        <v>1</v>
      </c>
      <c r="G3319" s="37" t="s">
        <v>6864</v>
      </c>
      <c r="H3319" s="63">
        <v>41470</v>
      </c>
    </row>
    <row r="3320" spans="1:8" ht="24.75" customHeight="1">
      <c r="A3320" s="44" t="s">
        <v>1014</v>
      </c>
      <c r="B3320" s="45" t="s">
        <v>3934</v>
      </c>
      <c r="C3320" s="45" t="s">
        <v>6829</v>
      </c>
      <c r="D3320" s="45" t="s">
        <v>6832</v>
      </c>
      <c r="E3320" s="44" t="s">
        <v>6839</v>
      </c>
      <c r="F3320" s="37">
        <v>1</v>
      </c>
      <c r="G3320" s="37" t="s">
        <v>6864</v>
      </c>
      <c r="H3320" s="63">
        <v>41470</v>
      </c>
    </row>
    <row r="3321" spans="1:8" ht="24.75" customHeight="1">
      <c r="A3321" s="44" t="s">
        <v>1012</v>
      </c>
      <c r="B3321" s="45" t="s">
        <v>3932</v>
      </c>
      <c r="C3321" s="45" t="s">
        <v>6829</v>
      </c>
      <c r="D3321" s="45" t="s">
        <v>6832</v>
      </c>
      <c r="E3321" s="44" t="s">
        <v>6839</v>
      </c>
      <c r="F3321" s="37">
        <v>1</v>
      </c>
      <c r="G3321" s="37" t="s">
        <v>6864</v>
      </c>
      <c r="H3321" s="63">
        <v>41470</v>
      </c>
    </row>
    <row r="3322" spans="1:8" ht="24.75" customHeight="1">
      <c r="A3322" s="44" t="s">
        <v>1389</v>
      </c>
      <c r="B3322" s="45" t="s">
        <v>5214</v>
      </c>
      <c r="C3322" s="45" t="s">
        <v>6829</v>
      </c>
      <c r="D3322" s="45" t="s">
        <v>6833</v>
      </c>
      <c r="E3322" s="44" t="s">
        <v>956</v>
      </c>
      <c r="F3322" s="37">
        <v>1</v>
      </c>
      <c r="G3322" s="37" t="s">
        <v>6864</v>
      </c>
      <c r="H3322" s="63">
        <v>10481.9</v>
      </c>
    </row>
    <row r="3323" spans="1:8" ht="24.75" customHeight="1">
      <c r="A3323" s="44" t="s">
        <v>938</v>
      </c>
      <c r="B3323" s="45" t="s">
        <v>3317</v>
      </c>
      <c r="C3323" s="45" t="s">
        <v>6829</v>
      </c>
      <c r="D3323" s="45" t="s">
        <v>6833</v>
      </c>
      <c r="E3323" s="44" t="s">
        <v>956</v>
      </c>
      <c r="F3323" s="37">
        <v>1</v>
      </c>
      <c r="G3323" s="37" t="s">
        <v>6864</v>
      </c>
      <c r="H3323" s="63">
        <v>11297</v>
      </c>
    </row>
    <row r="3324" spans="1:8" ht="24.75" customHeight="1">
      <c r="A3324" s="44" t="s">
        <v>940</v>
      </c>
      <c r="B3324" s="45" t="s">
        <v>3319</v>
      </c>
      <c r="C3324" s="45" t="s">
        <v>6829</v>
      </c>
      <c r="D3324" s="45" t="s">
        <v>6833</v>
      </c>
      <c r="E3324" s="44" t="s">
        <v>956</v>
      </c>
      <c r="F3324" s="37">
        <v>1</v>
      </c>
      <c r="G3324" s="37" t="s">
        <v>6864</v>
      </c>
      <c r="H3324" s="63">
        <v>18833.099999999999</v>
      </c>
    </row>
    <row r="3325" spans="1:8" ht="24.75" customHeight="1">
      <c r="A3325" s="44" t="s">
        <v>332</v>
      </c>
      <c r="B3325" s="45" t="s">
        <v>3320</v>
      </c>
      <c r="C3325" s="45" t="s">
        <v>6829</v>
      </c>
      <c r="D3325" s="45" t="s">
        <v>6833</v>
      </c>
      <c r="E3325" s="44" t="s">
        <v>956</v>
      </c>
      <c r="F3325" s="37">
        <v>1</v>
      </c>
      <c r="G3325" s="37" t="s">
        <v>6864</v>
      </c>
      <c r="H3325" s="63">
        <v>18833.099999999999</v>
      </c>
    </row>
    <row r="3326" spans="1:8" ht="24.75" customHeight="1">
      <c r="A3326" s="44" t="s">
        <v>939</v>
      </c>
      <c r="B3326" s="45" t="s">
        <v>3318</v>
      </c>
      <c r="C3326" s="45" t="s">
        <v>6829</v>
      </c>
      <c r="D3326" s="45" t="s">
        <v>6833</v>
      </c>
      <c r="E3326" s="44" t="s">
        <v>956</v>
      </c>
      <c r="F3326" s="37">
        <v>1</v>
      </c>
      <c r="G3326" s="37" t="s">
        <v>6864</v>
      </c>
      <c r="H3326" s="63">
        <v>19762.599999999999</v>
      </c>
    </row>
    <row r="3327" spans="1:8" ht="24.75" customHeight="1">
      <c r="A3327" s="44" t="s">
        <v>333</v>
      </c>
      <c r="B3327" s="45" t="s">
        <v>3321</v>
      </c>
      <c r="C3327" s="45" t="s">
        <v>6829</v>
      </c>
      <c r="D3327" s="45" t="s">
        <v>6833</v>
      </c>
      <c r="E3327" s="44" t="s">
        <v>956</v>
      </c>
      <c r="F3327" s="37">
        <v>1</v>
      </c>
      <c r="G3327" s="37" t="s">
        <v>6864</v>
      </c>
      <c r="H3327" s="63">
        <v>9909.9</v>
      </c>
    </row>
    <row r="3328" spans="1:8" ht="24.75" customHeight="1">
      <c r="A3328" s="44" t="s">
        <v>334</v>
      </c>
      <c r="B3328" s="45" t="s">
        <v>3322</v>
      </c>
      <c r="C3328" s="45" t="s">
        <v>6829</v>
      </c>
      <c r="D3328" s="45" t="s">
        <v>6833</v>
      </c>
      <c r="E3328" s="44" t="s">
        <v>956</v>
      </c>
      <c r="F3328" s="37">
        <v>1</v>
      </c>
      <c r="G3328" s="37" t="s">
        <v>6864</v>
      </c>
      <c r="H3328" s="63">
        <v>23123.1</v>
      </c>
    </row>
    <row r="3329" spans="1:8" ht="24.75" customHeight="1">
      <c r="A3329" s="44" t="s">
        <v>335</v>
      </c>
      <c r="B3329" s="45" t="s">
        <v>3323</v>
      </c>
      <c r="C3329" s="45" t="s">
        <v>6829</v>
      </c>
      <c r="D3329" s="45" t="s">
        <v>6833</v>
      </c>
      <c r="E3329" s="44" t="s">
        <v>956</v>
      </c>
      <c r="F3329" s="37">
        <v>1</v>
      </c>
      <c r="G3329" s="37" t="s">
        <v>6864</v>
      </c>
      <c r="H3329" s="63">
        <v>18833.099999999999</v>
      </c>
    </row>
    <row r="3330" spans="1:8" ht="24.75" customHeight="1">
      <c r="A3330" s="44" t="s">
        <v>1196</v>
      </c>
      <c r="B3330" s="45" t="s">
        <v>6065</v>
      </c>
      <c r="C3330" s="45" t="s">
        <v>6829</v>
      </c>
      <c r="D3330" s="45" t="s">
        <v>6833</v>
      </c>
      <c r="E3330" s="44" t="s">
        <v>6839</v>
      </c>
      <c r="F3330" s="37">
        <v>1</v>
      </c>
      <c r="G3330" s="37" t="s">
        <v>6864</v>
      </c>
      <c r="H3330" s="63">
        <v>20935.2</v>
      </c>
    </row>
    <row r="3331" spans="1:8" ht="24.75" customHeight="1">
      <c r="A3331" s="44" t="s">
        <v>2509</v>
      </c>
      <c r="B3331" s="45" t="s">
        <v>4845</v>
      </c>
      <c r="C3331" s="45" t="s">
        <v>6829</v>
      </c>
      <c r="D3331" s="45" t="s">
        <v>6833</v>
      </c>
      <c r="E3331" s="44"/>
      <c r="F3331" s="37">
        <v>1</v>
      </c>
      <c r="G3331" s="37" t="s">
        <v>6864</v>
      </c>
      <c r="H3331" s="63">
        <v>55155.1</v>
      </c>
    </row>
    <row r="3332" spans="1:8" ht="24.75" customHeight="1">
      <c r="A3332" s="44" t="s">
        <v>2510</v>
      </c>
      <c r="B3332" s="45" t="s">
        <v>4846</v>
      </c>
      <c r="C3332" s="45" t="s">
        <v>6829</v>
      </c>
      <c r="D3332" s="45" t="s">
        <v>6833</v>
      </c>
      <c r="E3332" s="44"/>
      <c r="F3332" s="37">
        <v>1</v>
      </c>
      <c r="G3332" s="37" t="s">
        <v>6864</v>
      </c>
      <c r="H3332" s="63">
        <v>55155.1</v>
      </c>
    </row>
    <row r="3333" spans="1:8" ht="24.75" customHeight="1">
      <c r="A3333" s="44" t="s">
        <v>345</v>
      </c>
      <c r="B3333" s="45" t="s">
        <v>5054</v>
      </c>
      <c r="C3333" s="45" t="s">
        <v>6829</v>
      </c>
      <c r="D3333" s="45" t="s">
        <v>6833</v>
      </c>
      <c r="E3333" s="44"/>
      <c r="F3333" s="37">
        <v>1</v>
      </c>
      <c r="G3333" s="37" t="s">
        <v>6864</v>
      </c>
      <c r="H3333" s="63">
        <v>60460.4</v>
      </c>
    </row>
    <row r="3334" spans="1:8" ht="24.75" customHeight="1">
      <c r="A3334" s="44" t="s">
        <v>1657</v>
      </c>
      <c r="B3334" s="45" t="s">
        <v>5452</v>
      </c>
      <c r="C3334" s="45" t="s">
        <v>6829</v>
      </c>
      <c r="D3334" s="45" t="s">
        <v>6833</v>
      </c>
      <c r="E3334" s="44" t="s">
        <v>6839</v>
      </c>
      <c r="F3334" s="37">
        <v>1</v>
      </c>
      <c r="G3334" s="37" t="s">
        <v>6864</v>
      </c>
      <c r="H3334" s="63">
        <v>57843.5</v>
      </c>
    </row>
    <row r="3335" spans="1:8" ht="24.75" customHeight="1">
      <c r="A3335" s="44" t="s">
        <v>2212</v>
      </c>
      <c r="B3335" s="45" t="s">
        <v>5915</v>
      </c>
      <c r="C3335" s="45" t="s">
        <v>6829</v>
      </c>
      <c r="D3335" s="45" t="s">
        <v>6833</v>
      </c>
      <c r="E3335" s="44"/>
      <c r="F3335" s="37">
        <v>1</v>
      </c>
      <c r="G3335" s="37" t="s">
        <v>6864</v>
      </c>
      <c r="H3335" s="63">
        <v>73073</v>
      </c>
    </row>
    <row r="3336" spans="1:8" ht="24.75" customHeight="1">
      <c r="A3336" s="44" t="s">
        <v>1403</v>
      </c>
      <c r="B3336" s="45" t="s">
        <v>4950</v>
      </c>
      <c r="C3336" s="45" t="s">
        <v>6829</v>
      </c>
      <c r="D3336" s="45" t="s">
        <v>6833</v>
      </c>
      <c r="E3336" s="44" t="s">
        <v>956</v>
      </c>
      <c r="F3336" s="37">
        <v>1</v>
      </c>
      <c r="G3336" s="37" t="s">
        <v>6864</v>
      </c>
      <c r="H3336" s="63">
        <v>56456.4</v>
      </c>
    </row>
    <row r="3337" spans="1:8" ht="24.75" customHeight="1">
      <c r="A3337" s="44" t="s">
        <v>346</v>
      </c>
      <c r="B3337" s="45" t="s">
        <v>5055</v>
      </c>
      <c r="C3337" s="45" t="s">
        <v>6829</v>
      </c>
      <c r="D3337" s="45" t="s">
        <v>6833</v>
      </c>
      <c r="E3337" s="44"/>
      <c r="F3337" s="37">
        <v>1</v>
      </c>
      <c r="G3337" s="37" t="s">
        <v>6864</v>
      </c>
      <c r="H3337" s="63">
        <v>60460.4</v>
      </c>
    </row>
    <row r="3338" spans="1:8" ht="24.75" customHeight="1">
      <c r="A3338" s="44" t="s">
        <v>1658</v>
      </c>
      <c r="B3338" s="45" t="s">
        <v>5453</v>
      </c>
      <c r="C3338" s="45" t="s">
        <v>6829</v>
      </c>
      <c r="D3338" s="45" t="s">
        <v>6833</v>
      </c>
      <c r="E3338" s="44" t="s">
        <v>6839</v>
      </c>
      <c r="F3338" s="37">
        <v>1</v>
      </c>
      <c r="G3338" s="37" t="s">
        <v>6864</v>
      </c>
      <c r="H3338" s="63">
        <v>57843.5</v>
      </c>
    </row>
    <row r="3339" spans="1:8" ht="24.75" customHeight="1">
      <c r="A3339" s="44" t="s">
        <v>2213</v>
      </c>
      <c r="B3339" s="45" t="s">
        <v>5914</v>
      </c>
      <c r="C3339" s="45" t="s">
        <v>6829</v>
      </c>
      <c r="D3339" s="45" t="s">
        <v>6833</v>
      </c>
      <c r="E3339" s="44"/>
      <c r="F3339" s="37">
        <v>1</v>
      </c>
      <c r="G3339" s="37" t="s">
        <v>6864</v>
      </c>
      <c r="H3339" s="63">
        <v>73073</v>
      </c>
    </row>
    <row r="3340" spans="1:8" ht="24.75" customHeight="1">
      <c r="A3340" s="44" t="s">
        <v>1404</v>
      </c>
      <c r="B3340" s="45" t="s">
        <v>4951</v>
      </c>
      <c r="C3340" s="45" t="s">
        <v>6829</v>
      </c>
      <c r="D3340" s="45" t="s">
        <v>6833</v>
      </c>
      <c r="E3340" s="44" t="s">
        <v>956</v>
      </c>
      <c r="F3340" s="37">
        <v>1</v>
      </c>
      <c r="G3340" s="37" t="s">
        <v>6864</v>
      </c>
      <c r="H3340" s="63">
        <v>56456.4</v>
      </c>
    </row>
    <row r="3341" spans="1:8" ht="24.75" customHeight="1">
      <c r="A3341" s="58" t="s">
        <v>1387</v>
      </c>
      <c r="B3341" s="61" t="s">
        <v>5216</v>
      </c>
      <c r="C3341" s="45" t="s">
        <v>6829</v>
      </c>
      <c r="D3341" s="45" t="s">
        <v>6833</v>
      </c>
      <c r="E3341" s="44" t="s">
        <v>956</v>
      </c>
      <c r="F3341" s="37">
        <v>1</v>
      </c>
      <c r="G3341" s="37" t="s">
        <v>6864</v>
      </c>
      <c r="H3341" s="63">
        <v>21964.799999999999</v>
      </c>
    </row>
    <row r="3342" spans="1:8" ht="24.75" customHeight="1">
      <c r="A3342" s="58" t="s">
        <v>1386</v>
      </c>
      <c r="B3342" s="61" t="s">
        <v>5215</v>
      </c>
      <c r="C3342" s="61" t="s">
        <v>6829</v>
      </c>
      <c r="D3342" s="61" t="s">
        <v>6833</v>
      </c>
      <c r="E3342" s="58" t="s">
        <v>956</v>
      </c>
      <c r="F3342" s="37">
        <v>1</v>
      </c>
      <c r="G3342" s="37" t="s">
        <v>6864</v>
      </c>
      <c r="H3342" s="63">
        <v>21964.799999999999</v>
      </c>
    </row>
    <row r="3343" spans="1:8" ht="24.75" customHeight="1">
      <c r="A3343" s="44" t="s">
        <v>159</v>
      </c>
      <c r="B3343" s="45" t="s">
        <v>5127</v>
      </c>
      <c r="C3343" s="61" t="s">
        <v>6829</v>
      </c>
      <c r="D3343" s="61" t="s">
        <v>6833</v>
      </c>
      <c r="E3343" s="58" t="s">
        <v>6839</v>
      </c>
      <c r="F3343" s="37">
        <v>1</v>
      </c>
      <c r="G3343" s="37" t="s">
        <v>6865</v>
      </c>
      <c r="H3343" s="63">
        <v>66809.600000000006</v>
      </c>
    </row>
    <row r="3344" spans="1:8" ht="24.75" customHeight="1">
      <c r="A3344" s="44" t="s">
        <v>154</v>
      </c>
      <c r="B3344" s="45" t="s">
        <v>5122</v>
      </c>
      <c r="C3344" s="61" t="s">
        <v>6829</v>
      </c>
      <c r="D3344" s="61" t="s">
        <v>6833</v>
      </c>
      <c r="E3344" s="58" t="s">
        <v>6839</v>
      </c>
      <c r="F3344" s="37">
        <v>1</v>
      </c>
      <c r="G3344" s="37" t="s">
        <v>6865</v>
      </c>
      <c r="H3344" s="63">
        <v>64850.5</v>
      </c>
    </row>
    <row r="3345" spans="1:8" ht="24.75" customHeight="1">
      <c r="A3345" s="44" t="s">
        <v>1390</v>
      </c>
      <c r="B3345" s="45" t="s">
        <v>5212</v>
      </c>
      <c r="C3345" s="61" t="s">
        <v>6829</v>
      </c>
      <c r="D3345" s="61" t="s">
        <v>6833</v>
      </c>
      <c r="E3345" s="58"/>
      <c r="F3345" s="37">
        <v>1</v>
      </c>
      <c r="G3345" s="37" t="s">
        <v>6864</v>
      </c>
      <c r="H3345" s="63">
        <v>2931.5</v>
      </c>
    </row>
    <row r="3346" spans="1:8" ht="24.75" customHeight="1">
      <c r="A3346" s="44" t="s">
        <v>1388</v>
      </c>
      <c r="B3346" s="45" t="s">
        <v>5213</v>
      </c>
      <c r="C3346" s="61" t="s">
        <v>6829</v>
      </c>
      <c r="D3346" s="61" t="s">
        <v>6833</v>
      </c>
      <c r="E3346" s="58"/>
      <c r="F3346" s="37">
        <v>1</v>
      </c>
      <c r="G3346" s="37" t="s">
        <v>6864</v>
      </c>
      <c r="H3346" s="63">
        <v>2488.1999999999998</v>
      </c>
    </row>
    <row r="3347" spans="1:8" ht="24.75" customHeight="1">
      <c r="A3347" s="44" t="s">
        <v>3138</v>
      </c>
      <c r="B3347" s="45" t="s">
        <v>3368</v>
      </c>
      <c r="C3347" s="61" t="s">
        <v>6829</v>
      </c>
      <c r="D3347" s="61" t="s">
        <v>6834</v>
      </c>
      <c r="E3347" s="58" t="s">
        <v>6839</v>
      </c>
      <c r="F3347" s="37">
        <v>1</v>
      </c>
      <c r="G3347" s="37" t="s">
        <v>6864</v>
      </c>
      <c r="H3347" s="63">
        <v>4676.1000000000004</v>
      </c>
    </row>
    <row r="3348" spans="1:8" ht="24.75" customHeight="1">
      <c r="A3348" s="44" t="s">
        <v>1918</v>
      </c>
      <c r="B3348" s="45" t="s">
        <v>4730</v>
      </c>
      <c r="C3348" s="61" t="s">
        <v>6829</v>
      </c>
      <c r="D3348" s="61" t="s">
        <v>6834</v>
      </c>
      <c r="E3348" s="58" t="s">
        <v>6855</v>
      </c>
      <c r="F3348" s="37">
        <v>10</v>
      </c>
      <c r="G3348" s="37" t="s">
        <v>2568</v>
      </c>
      <c r="H3348" s="63">
        <v>1816.1</v>
      </c>
    </row>
    <row r="3349" spans="1:8" ht="24.75" customHeight="1">
      <c r="A3349" s="44" t="s">
        <v>1920</v>
      </c>
      <c r="B3349" s="45" t="s">
        <v>4732</v>
      </c>
      <c r="C3349" s="61" t="s">
        <v>6829</v>
      </c>
      <c r="D3349" s="61" t="s">
        <v>6834</v>
      </c>
      <c r="E3349" s="58" t="s">
        <v>6855</v>
      </c>
      <c r="F3349" s="37">
        <v>10</v>
      </c>
      <c r="G3349" s="37" t="s">
        <v>2568</v>
      </c>
      <c r="H3349" s="63">
        <v>1816.1</v>
      </c>
    </row>
    <row r="3350" spans="1:8" ht="24.75" customHeight="1">
      <c r="A3350" s="44" t="s">
        <v>1919</v>
      </c>
      <c r="B3350" s="45" t="s">
        <v>4731</v>
      </c>
      <c r="C3350" s="61" t="s">
        <v>6829</v>
      </c>
      <c r="D3350" s="61" t="s">
        <v>6834</v>
      </c>
      <c r="E3350" s="58" t="s">
        <v>6855</v>
      </c>
      <c r="F3350" s="37">
        <v>10</v>
      </c>
      <c r="G3350" s="37" t="s">
        <v>2568</v>
      </c>
      <c r="H3350" s="63">
        <v>1816.1</v>
      </c>
    </row>
    <row r="3351" spans="1:8" ht="24.75" customHeight="1">
      <c r="A3351" s="44" t="s">
        <v>203</v>
      </c>
      <c r="B3351" s="45" t="s">
        <v>4728</v>
      </c>
      <c r="C3351" s="61" t="s">
        <v>6829</v>
      </c>
      <c r="D3351" s="61" t="s">
        <v>6834</v>
      </c>
      <c r="E3351" s="58"/>
      <c r="F3351" s="37">
        <v>20</v>
      </c>
      <c r="G3351" s="37" t="s">
        <v>6864</v>
      </c>
      <c r="H3351" s="63">
        <v>943.8</v>
      </c>
    </row>
    <row r="3352" spans="1:8" ht="24.75" customHeight="1">
      <c r="A3352" s="44" t="s">
        <v>204</v>
      </c>
      <c r="B3352" s="45" t="s">
        <v>4725</v>
      </c>
      <c r="C3352" s="61" t="s">
        <v>6829</v>
      </c>
      <c r="D3352" s="61" t="s">
        <v>6834</v>
      </c>
      <c r="E3352" s="58"/>
      <c r="F3352" s="37">
        <v>20</v>
      </c>
      <c r="G3352" s="37" t="s">
        <v>6864</v>
      </c>
      <c r="H3352" s="63">
        <v>943.8</v>
      </c>
    </row>
    <row r="3353" spans="1:8" ht="24.75" customHeight="1">
      <c r="A3353" s="44" t="s">
        <v>205</v>
      </c>
      <c r="B3353" s="45" t="s">
        <v>4726</v>
      </c>
      <c r="C3353" s="61" t="s">
        <v>6829</v>
      </c>
      <c r="D3353" s="61" t="s">
        <v>6834</v>
      </c>
      <c r="E3353" s="58"/>
      <c r="F3353" s="37">
        <v>20</v>
      </c>
      <c r="G3353" s="37" t="s">
        <v>6864</v>
      </c>
      <c r="H3353" s="63">
        <v>943.8</v>
      </c>
    </row>
    <row r="3354" spans="1:8" ht="24.75" customHeight="1">
      <c r="A3354" s="44" t="s">
        <v>202</v>
      </c>
      <c r="B3354" s="45" t="s">
        <v>4727</v>
      </c>
      <c r="C3354" s="61" t="s">
        <v>6829</v>
      </c>
      <c r="D3354" s="61" t="s">
        <v>6834</v>
      </c>
      <c r="E3354" s="58"/>
      <c r="F3354" s="37">
        <v>20</v>
      </c>
      <c r="G3354" s="37" t="s">
        <v>6864</v>
      </c>
      <c r="H3354" s="63">
        <v>972.4</v>
      </c>
    </row>
    <row r="3355" spans="1:8" ht="24.75" customHeight="1">
      <c r="A3355" s="44" t="s">
        <v>1514</v>
      </c>
      <c r="B3355" s="45" t="s">
        <v>4729</v>
      </c>
      <c r="C3355" s="61" t="s">
        <v>6829</v>
      </c>
      <c r="D3355" s="61" t="s">
        <v>6834</v>
      </c>
      <c r="E3355" s="58"/>
      <c r="F3355" s="37">
        <v>20</v>
      </c>
      <c r="G3355" s="37" t="s">
        <v>6864</v>
      </c>
      <c r="H3355" s="63">
        <v>943.8</v>
      </c>
    </row>
    <row r="3356" spans="1:8" ht="24.75" customHeight="1">
      <c r="A3356" s="44" t="s">
        <v>1847</v>
      </c>
      <c r="B3356" s="45" t="s">
        <v>5265</v>
      </c>
      <c r="C3356" s="61" t="s">
        <v>6829</v>
      </c>
      <c r="D3356" s="61" t="s">
        <v>6834</v>
      </c>
      <c r="E3356" s="58" t="s">
        <v>6855</v>
      </c>
      <c r="F3356" s="37">
        <v>10</v>
      </c>
      <c r="G3356" s="37" t="s">
        <v>2568</v>
      </c>
      <c r="H3356" s="63">
        <v>1158.3</v>
      </c>
    </row>
    <row r="3357" spans="1:8" ht="24.75" customHeight="1">
      <c r="A3357" s="44" t="s">
        <v>1864</v>
      </c>
      <c r="B3357" s="45" t="s">
        <v>5281</v>
      </c>
      <c r="C3357" s="61" t="s">
        <v>6829</v>
      </c>
      <c r="D3357" s="61" t="s">
        <v>6834</v>
      </c>
      <c r="E3357" s="58"/>
      <c r="F3357" s="37">
        <v>10</v>
      </c>
      <c r="G3357" s="37" t="s">
        <v>6864</v>
      </c>
      <c r="H3357" s="63">
        <v>757.9</v>
      </c>
    </row>
    <row r="3358" spans="1:8" ht="24.75" customHeight="1">
      <c r="A3358" s="44" t="s">
        <v>2354</v>
      </c>
      <c r="B3358" s="45" t="s">
        <v>4733</v>
      </c>
      <c r="C3358" s="61" t="s">
        <v>6829</v>
      </c>
      <c r="D3358" s="61" t="s">
        <v>6834</v>
      </c>
      <c r="E3358" s="58"/>
      <c r="F3358" s="37">
        <v>20</v>
      </c>
      <c r="G3358" s="37" t="s">
        <v>6864</v>
      </c>
      <c r="H3358" s="63">
        <v>872.3</v>
      </c>
    </row>
    <row r="3359" spans="1:8" ht="24.75" customHeight="1">
      <c r="A3359" s="58" t="s">
        <v>2438</v>
      </c>
      <c r="B3359" s="61" t="s">
        <v>3950</v>
      </c>
      <c r="C3359" s="61" t="s">
        <v>6829</v>
      </c>
      <c r="D3359" s="61" t="s">
        <v>6834</v>
      </c>
      <c r="E3359" s="58" t="s">
        <v>6855</v>
      </c>
      <c r="F3359" s="37">
        <v>10</v>
      </c>
      <c r="G3359" s="37" t="s">
        <v>2568</v>
      </c>
      <c r="H3359" s="63">
        <v>1001</v>
      </c>
    </row>
  </sheetData>
  <dataConsolidate/>
  <mergeCells count="1">
    <mergeCell ref="F1:H1"/>
  </mergeCells>
  <phoneticPr fontId="40" type="noConversion"/>
  <conditionalFormatting sqref="A3233:A3260 A1:A3230 A3265:A3303 A3319:A1048576">
    <cfRule type="duplicateValues" dxfId="1" priority="5"/>
  </conditionalFormatting>
  <conditionalFormatting sqref="A3261:A3264">
    <cfRule type="duplicateValues" dxfId="0" priority="2"/>
  </conditionalFormatting>
  <pageMargins left="0.7" right="0.7" top="0.75" bottom="0.75" header="0.3" footer="0.3"/>
  <pageSetup paperSize="5" scale="6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-0.499984740745262"/>
  </sheetPr>
  <dimension ref="A1:M1500"/>
  <sheetViews>
    <sheetView zoomScaleNormal="100" workbookViewId="0">
      <pane ySplit="3" topLeftCell="A4" activePane="bottomLeft" state="frozen"/>
      <selection activeCell="B39" sqref="B39"/>
      <selection pane="bottomLeft" activeCell="J20" sqref="J20"/>
    </sheetView>
  </sheetViews>
  <sheetFormatPr baseColWidth="10" defaultColWidth="11.5703125" defaultRowHeight="22.7" customHeight="1"/>
  <cols>
    <col min="1" max="1" width="12.140625" style="33" customWidth="1"/>
    <col min="2" max="2" width="78.5703125" style="33" customWidth="1"/>
    <col min="3" max="3" width="17" style="33" customWidth="1"/>
    <col min="4" max="4" width="17.5703125" style="34" customWidth="1"/>
    <col min="5" max="5" width="10.42578125" style="33" customWidth="1"/>
    <col min="6" max="6" width="24.42578125" style="34" customWidth="1"/>
    <col min="7" max="7" width="15.42578125" style="35" hidden="1" customWidth="1"/>
    <col min="8" max="8" width="1.85546875" style="25" customWidth="1"/>
    <col min="9" max="9" width="17.85546875" style="25" bestFit="1" customWidth="1"/>
    <col min="10" max="10" width="19.5703125" style="25" customWidth="1"/>
    <col min="11" max="11" width="1.42578125" style="25" customWidth="1"/>
    <col min="12" max="13" width="11.5703125" style="25"/>
    <col min="14" max="14" width="11.140625" style="25" customWidth="1"/>
    <col min="15" max="16384" width="11.5703125" style="25"/>
  </cols>
  <sheetData>
    <row r="1" spans="1:13" ht="18.75">
      <c r="A1" s="71" t="s">
        <v>2036</v>
      </c>
      <c r="B1" s="71"/>
      <c r="C1" s="71"/>
      <c r="D1" s="71"/>
      <c r="E1" s="71"/>
      <c r="F1" s="71"/>
      <c r="G1" s="71"/>
      <c r="I1" s="72" t="s">
        <v>2037</v>
      </c>
      <c r="J1" s="72"/>
      <c r="L1" s="26"/>
      <c r="M1" s="26"/>
    </row>
    <row r="2" spans="1:13" ht="25.5">
      <c r="A2" s="55" t="s">
        <v>2958</v>
      </c>
      <c r="B2" s="50">
        <v>1430</v>
      </c>
      <c r="C2" s="77" t="s">
        <v>2861</v>
      </c>
      <c r="D2" s="78"/>
      <c r="E2" s="78"/>
      <c r="F2" s="78"/>
      <c r="G2" s="79"/>
      <c r="I2" s="73">
        <f>SUM(F4:F1000)</f>
        <v>0</v>
      </c>
      <c r="J2" s="74"/>
      <c r="L2" s="27"/>
      <c r="M2" s="27"/>
    </row>
    <row r="3" spans="1:13" ht="39" customHeight="1">
      <c r="A3" s="52" t="s">
        <v>2948</v>
      </c>
      <c r="B3" s="52" t="s">
        <v>6863</v>
      </c>
      <c r="C3" s="53" t="s">
        <v>6903</v>
      </c>
      <c r="D3" s="56" t="s">
        <v>6861</v>
      </c>
      <c r="E3" s="53" t="s">
        <v>6862</v>
      </c>
      <c r="F3" s="54" t="s">
        <v>2034</v>
      </c>
      <c r="G3" s="51" t="s">
        <v>2035</v>
      </c>
      <c r="I3" s="75"/>
      <c r="J3" s="76"/>
      <c r="L3" s="27"/>
      <c r="M3" s="27"/>
    </row>
    <row r="4" spans="1:13" ht="22.7" customHeight="1">
      <c r="A4" s="28"/>
      <c r="B4" s="29" t="str">
        <f>IFERROR(VLOOKUP(A4,Tabla1[],2,0)," ")</f>
        <v xml:space="preserve"> </v>
      </c>
      <c r="C4" s="29" t="str">
        <f>IFERROR(VLOOKUP(A4,Tabla1[],6,0)," ")</f>
        <v xml:space="preserve"> </v>
      </c>
      <c r="D4" s="30" t="str">
        <f>IFERROR(VLOOKUP(A4,Tabla1[],8,0)," ")</f>
        <v xml:space="preserve"> </v>
      </c>
      <c r="E4" s="31"/>
      <c r="F4" s="30" t="str">
        <f t="shared" ref="F4:F67" si="0">IFERROR((E4*D4), " ")</f>
        <v xml:space="preserve"> </v>
      </c>
      <c r="G4" s="32" t="str">
        <f t="shared" ref="G4:G50" si="1">IFERROR(SUM(F4*1.21)," ")</f>
        <v xml:space="preserve"> </v>
      </c>
      <c r="I4" s="36"/>
      <c r="J4" s="36"/>
    </row>
    <row r="5" spans="1:13" ht="22.7" customHeight="1">
      <c r="A5" s="28"/>
      <c r="B5" s="29" t="str">
        <f>IFERROR(VLOOKUP(A5,Tabla1[],2,0)," ")</f>
        <v xml:space="preserve"> </v>
      </c>
      <c r="C5" s="29" t="str">
        <f>IFERROR(VLOOKUP(A5,Tabla1[],6,0)," ")</f>
        <v xml:space="preserve"> </v>
      </c>
      <c r="D5" s="30" t="str">
        <f>IFERROR(VLOOKUP(A5,Tabla1[],8,0)," ")</f>
        <v xml:space="preserve"> </v>
      </c>
      <c r="E5" s="31"/>
      <c r="F5" s="30" t="str">
        <f t="shared" si="0"/>
        <v xml:space="preserve"> </v>
      </c>
      <c r="G5" s="32" t="str">
        <f t="shared" si="1"/>
        <v xml:space="preserve"> </v>
      </c>
    </row>
    <row r="6" spans="1:13" ht="22.7" customHeight="1">
      <c r="A6" s="28"/>
      <c r="B6" s="29" t="str">
        <f>IFERROR(VLOOKUP(A6,Tabla1[],2,0)," ")</f>
        <v xml:space="preserve"> </v>
      </c>
      <c r="C6" s="29" t="str">
        <f>IFERROR(VLOOKUP(A6,Tabla1[],6,0)," ")</f>
        <v xml:space="preserve"> </v>
      </c>
      <c r="D6" s="30" t="str">
        <f>IFERROR(VLOOKUP(A6,Tabla1[],8,0)," ")</f>
        <v xml:space="preserve"> </v>
      </c>
      <c r="E6" s="31"/>
      <c r="F6" s="30" t="str">
        <f t="shared" si="0"/>
        <v xml:space="preserve"> </v>
      </c>
      <c r="G6" s="32" t="str">
        <f t="shared" si="1"/>
        <v xml:space="preserve"> </v>
      </c>
    </row>
    <row r="7" spans="1:13" ht="22.7" customHeight="1">
      <c r="A7" s="28"/>
      <c r="B7" s="29" t="str">
        <f>IFERROR(VLOOKUP(A7,Tabla1[],2,0)," ")</f>
        <v xml:space="preserve"> </v>
      </c>
      <c r="C7" s="29" t="str">
        <f>IFERROR(VLOOKUP(A7,Tabla1[],6,0)," ")</f>
        <v xml:space="preserve"> </v>
      </c>
      <c r="D7" s="30" t="str">
        <f>IFERROR(VLOOKUP(A7,Tabla1[],8,0)," ")</f>
        <v xml:space="preserve"> </v>
      </c>
      <c r="E7" s="31"/>
      <c r="F7" s="30" t="str">
        <f t="shared" si="0"/>
        <v xml:space="preserve"> </v>
      </c>
      <c r="G7" s="32" t="str">
        <f t="shared" si="1"/>
        <v xml:space="preserve"> </v>
      </c>
    </row>
    <row r="8" spans="1:13" ht="22.7" customHeight="1">
      <c r="A8" s="28"/>
      <c r="B8" s="29" t="str">
        <f>IFERROR(VLOOKUP(A8,Tabla1[],2,0)," ")</f>
        <v xml:space="preserve"> </v>
      </c>
      <c r="C8" s="29" t="str">
        <f>IFERROR(VLOOKUP(A8,Tabla1[],6,0)," ")</f>
        <v xml:space="preserve"> </v>
      </c>
      <c r="D8" s="30" t="str">
        <f>IFERROR(VLOOKUP(A8,Tabla1[],8,0)," ")</f>
        <v xml:space="preserve"> </v>
      </c>
      <c r="E8" s="31"/>
      <c r="F8" s="30" t="str">
        <f t="shared" si="0"/>
        <v xml:space="preserve"> </v>
      </c>
      <c r="G8" s="32" t="str">
        <f t="shared" si="1"/>
        <v xml:space="preserve"> </v>
      </c>
    </row>
    <row r="9" spans="1:13" ht="22.7" customHeight="1">
      <c r="A9" s="28"/>
      <c r="B9" s="29" t="str">
        <f>IFERROR(VLOOKUP(A9,Tabla1[],2,0)," ")</f>
        <v xml:space="preserve"> </v>
      </c>
      <c r="C9" s="29" t="str">
        <f>IFERROR(VLOOKUP(A9,Tabla1[],6,0)," ")</f>
        <v xml:space="preserve"> </v>
      </c>
      <c r="D9" s="30" t="str">
        <f>IFERROR(VLOOKUP(A9,Tabla1[],8,0)," ")</f>
        <v xml:space="preserve"> </v>
      </c>
      <c r="E9" s="31"/>
      <c r="F9" s="30" t="str">
        <f t="shared" si="0"/>
        <v xml:space="preserve"> </v>
      </c>
      <c r="G9" s="32" t="str">
        <f t="shared" si="1"/>
        <v xml:space="preserve"> </v>
      </c>
    </row>
    <row r="10" spans="1:13" ht="22.7" customHeight="1">
      <c r="A10" s="28"/>
      <c r="B10" s="29" t="str">
        <f>IFERROR(VLOOKUP(A10,Tabla1[],2,0)," ")</f>
        <v xml:space="preserve"> </v>
      </c>
      <c r="C10" s="29" t="str">
        <f>IFERROR(VLOOKUP(A10,Tabla1[],6,0)," ")</f>
        <v xml:space="preserve"> </v>
      </c>
      <c r="D10" s="30" t="str">
        <f>IFERROR(VLOOKUP(A10,Tabla1[],8,0)," ")</f>
        <v xml:space="preserve"> </v>
      </c>
      <c r="E10" s="31"/>
      <c r="F10" s="30" t="str">
        <f t="shared" si="0"/>
        <v xml:space="preserve"> </v>
      </c>
      <c r="G10" s="32" t="str">
        <f t="shared" si="1"/>
        <v xml:space="preserve"> </v>
      </c>
    </row>
    <row r="11" spans="1:13" ht="22.7" customHeight="1">
      <c r="A11" s="28"/>
      <c r="B11" s="29" t="str">
        <f>IFERROR(VLOOKUP(A11,Tabla1[],2,0)," ")</f>
        <v xml:space="preserve"> </v>
      </c>
      <c r="C11" s="29" t="str">
        <f>IFERROR(VLOOKUP(A11,Tabla1[],6,0)," ")</f>
        <v xml:space="preserve"> </v>
      </c>
      <c r="D11" s="30" t="str">
        <f>IFERROR(VLOOKUP(A11,Tabla1[],8,0)," ")</f>
        <v xml:space="preserve"> </v>
      </c>
      <c r="E11" s="31"/>
      <c r="F11" s="30" t="str">
        <f t="shared" si="0"/>
        <v xml:space="preserve"> </v>
      </c>
      <c r="G11" s="32" t="str">
        <f t="shared" si="1"/>
        <v xml:space="preserve"> </v>
      </c>
    </row>
    <row r="12" spans="1:13" ht="22.7" customHeight="1">
      <c r="A12" s="28"/>
      <c r="B12" s="29" t="str">
        <f>IFERROR(VLOOKUP(A12,Tabla1[],2,0)," ")</f>
        <v xml:space="preserve"> </v>
      </c>
      <c r="C12" s="29" t="str">
        <f>IFERROR(VLOOKUP(A12,Tabla1[],6,0)," ")</f>
        <v xml:space="preserve"> </v>
      </c>
      <c r="D12" s="30" t="str">
        <f>IFERROR(VLOOKUP(A12,Tabla1[],8,0)," ")</f>
        <v xml:space="preserve"> </v>
      </c>
      <c r="E12" s="31"/>
      <c r="F12" s="30" t="str">
        <f t="shared" si="0"/>
        <v xml:space="preserve"> </v>
      </c>
      <c r="G12" s="32" t="str">
        <f t="shared" si="1"/>
        <v xml:space="preserve"> </v>
      </c>
    </row>
    <row r="13" spans="1:13" ht="22.7" customHeight="1">
      <c r="A13" s="28"/>
      <c r="B13" s="29" t="str">
        <f>IFERROR(VLOOKUP(A13,Tabla1[],2,0)," ")</f>
        <v xml:space="preserve"> </v>
      </c>
      <c r="C13" s="29" t="str">
        <f>IFERROR(VLOOKUP(A13,Tabla1[],6,0)," ")</f>
        <v xml:space="preserve"> </v>
      </c>
      <c r="D13" s="30" t="str">
        <f>IFERROR(VLOOKUP(A13,Tabla1[],8,0)," ")</f>
        <v xml:space="preserve"> </v>
      </c>
      <c r="E13" s="31"/>
      <c r="F13" s="30" t="str">
        <f t="shared" si="0"/>
        <v xml:space="preserve"> </v>
      </c>
      <c r="G13" s="32" t="str">
        <f t="shared" si="1"/>
        <v xml:space="preserve"> </v>
      </c>
    </row>
    <row r="14" spans="1:13" ht="22.7" customHeight="1">
      <c r="A14" s="28"/>
      <c r="B14" s="29" t="str">
        <f>IFERROR(VLOOKUP(A14,Tabla1[],2,0)," ")</f>
        <v xml:space="preserve"> </v>
      </c>
      <c r="C14" s="29" t="str">
        <f>IFERROR(VLOOKUP(A14,Tabla1[],6,0)," ")</f>
        <v xml:space="preserve"> </v>
      </c>
      <c r="D14" s="30" t="str">
        <f>IFERROR(VLOOKUP(A14,Tabla1[],8,0)," ")</f>
        <v xml:space="preserve"> </v>
      </c>
      <c r="E14" s="31"/>
      <c r="F14" s="30" t="str">
        <f t="shared" si="0"/>
        <v xml:space="preserve"> </v>
      </c>
      <c r="G14" s="32" t="str">
        <f t="shared" si="1"/>
        <v xml:space="preserve"> </v>
      </c>
    </row>
    <row r="15" spans="1:13" ht="22.7" customHeight="1">
      <c r="A15" s="28"/>
      <c r="B15" s="29" t="str">
        <f>IFERROR(VLOOKUP(A15,Tabla1[],2,0)," ")</f>
        <v xml:space="preserve"> </v>
      </c>
      <c r="C15" s="29" t="str">
        <f>IFERROR(VLOOKUP(A15,Tabla1[],6,0)," ")</f>
        <v xml:space="preserve"> </v>
      </c>
      <c r="D15" s="30" t="str">
        <f>IFERROR(VLOOKUP(A15,Tabla1[],8,0)," ")</f>
        <v xml:space="preserve"> </v>
      </c>
      <c r="E15" s="31"/>
      <c r="F15" s="30" t="str">
        <f t="shared" si="0"/>
        <v xml:space="preserve"> </v>
      </c>
      <c r="G15" s="32" t="str">
        <f t="shared" si="1"/>
        <v xml:space="preserve"> </v>
      </c>
    </row>
    <row r="16" spans="1:13" ht="22.7" customHeight="1">
      <c r="A16" s="28"/>
      <c r="B16" s="29" t="str">
        <f>IFERROR(VLOOKUP(A16,Tabla1[],2,0)," ")</f>
        <v xml:space="preserve"> </v>
      </c>
      <c r="C16" s="29" t="str">
        <f>IFERROR(VLOOKUP(A16,Tabla1[],6,0)," ")</f>
        <v xml:space="preserve"> </v>
      </c>
      <c r="D16" s="30" t="str">
        <f>IFERROR(VLOOKUP(A16,Tabla1[],8,0)," ")</f>
        <v xml:space="preserve"> </v>
      </c>
      <c r="E16" s="31"/>
      <c r="F16" s="30" t="str">
        <f t="shared" si="0"/>
        <v xml:space="preserve"> </v>
      </c>
      <c r="G16" s="32" t="str">
        <f t="shared" si="1"/>
        <v xml:space="preserve"> </v>
      </c>
    </row>
    <row r="17" spans="1:7" ht="22.7" customHeight="1">
      <c r="A17" s="28"/>
      <c r="B17" s="29" t="str">
        <f>IFERROR(VLOOKUP(A17,Tabla1[],2,0)," ")</f>
        <v xml:space="preserve"> </v>
      </c>
      <c r="C17" s="29" t="str">
        <f>IFERROR(VLOOKUP(A17,Tabla1[],6,0)," ")</f>
        <v xml:space="preserve"> </v>
      </c>
      <c r="D17" s="30" t="str">
        <f>IFERROR(VLOOKUP(A17,Tabla1[],8,0)," ")</f>
        <v xml:space="preserve"> </v>
      </c>
      <c r="E17" s="31"/>
      <c r="F17" s="30" t="str">
        <f t="shared" si="0"/>
        <v xml:space="preserve"> </v>
      </c>
      <c r="G17" s="32" t="str">
        <f t="shared" si="1"/>
        <v xml:space="preserve"> </v>
      </c>
    </row>
    <row r="18" spans="1:7" ht="22.7" customHeight="1">
      <c r="A18" s="28"/>
      <c r="B18" s="29" t="str">
        <f>IFERROR(VLOOKUP(A18,Tabla1[],2,0)," ")</f>
        <v xml:space="preserve"> </v>
      </c>
      <c r="C18" s="29" t="str">
        <f>IFERROR(VLOOKUP(A18,Tabla1[],6,0)," ")</f>
        <v xml:space="preserve"> </v>
      </c>
      <c r="D18" s="30" t="str">
        <f>IFERROR(VLOOKUP(A18,Tabla1[],8,0)," ")</f>
        <v xml:space="preserve"> </v>
      </c>
      <c r="E18" s="31"/>
      <c r="F18" s="30" t="str">
        <f t="shared" si="0"/>
        <v xml:space="preserve"> </v>
      </c>
      <c r="G18" s="32" t="str">
        <f t="shared" si="1"/>
        <v xml:space="preserve"> </v>
      </c>
    </row>
    <row r="19" spans="1:7" ht="22.7" customHeight="1">
      <c r="A19" s="28"/>
      <c r="B19" s="29" t="str">
        <f>IFERROR(VLOOKUP(A19,Tabla1[],2,0)," ")</f>
        <v xml:space="preserve"> </v>
      </c>
      <c r="C19" s="29" t="str">
        <f>IFERROR(VLOOKUP(A19,Tabla1[],6,0)," ")</f>
        <v xml:space="preserve"> </v>
      </c>
      <c r="D19" s="30" t="str">
        <f>IFERROR(VLOOKUP(A19,Tabla1[],8,0)," ")</f>
        <v xml:space="preserve"> </v>
      </c>
      <c r="E19" s="31"/>
      <c r="F19" s="30" t="str">
        <f t="shared" si="0"/>
        <v xml:space="preserve"> </v>
      </c>
      <c r="G19" s="32" t="str">
        <f t="shared" si="1"/>
        <v xml:space="preserve"> </v>
      </c>
    </row>
    <row r="20" spans="1:7" ht="22.7" customHeight="1">
      <c r="A20" s="28"/>
      <c r="B20" s="29" t="str">
        <f>IFERROR(VLOOKUP(A20,Tabla1[],2,0)," ")</f>
        <v xml:space="preserve"> </v>
      </c>
      <c r="C20" s="29" t="str">
        <f>IFERROR(VLOOKUP(A20,Tabla1[],6,0)," ")</f>
        <v xml:space="preserve"> </v>
      </c>
      <c r="D20" s="30" t="str">
        <f>IFERROR(VLOOKUP(A20,Tabla1[],8,0)," ")</f>
        <v xml:space="preserve"> </v>
      </c>
      <c r="E20" s="31"/>
      <c r="F20" s="30" t="str">
        <f t="shared" si="0"/>
        <v xml:space="preserve"> </v>
      </c>
      <c r="G20" s="32" t="str">
        <f t="shared" si="1"/>
        <v xml:space="preserve"> </v>
      </c>
    </row>
    <row r="21" spans="1:7" ht="22.7" customHeight="1">
      <c r="A21" s="28"/>
      <c r="B21" s="29" t="str">
        <f>IFERROR(VLOOKUP(A21,Tabla1[],2,0)," ")</f>
        <v xml:space="preserve"> </v>
      </c>
      <c r="C21" s="29" t="str">
        <f>IFERROR(VLOOKUP(A21,Tabla1[],6,0)," ")</f>
        <v xml:space="preserve"> </v>
      </c>
      <c r="D21" s="30" t="str">
        <f>IFERROR(VLOOKUP(A21,Tabla1[],8,0)," ")</f>
        <v xml:space="preserve"> </v>
      </c>
      <c r="E21" s="31"/>
      <c r="F21" s="30" t="str">
        <f t="shared" si="0"/>
        <v xml:space="preserve"> </v>
      </c>
      <c r="G21" s="32" t="str">
        <f t="shared" si="1"/>
        <v xml:space="preserve"> </v>
      </c>
    </row>
    <row r="22" spans="1:7" ht="22.7" customHeight="1">
      <c r="A22" s="28"/>
      <c r="B22" s="29" t="str">
        <f>IFERROR(VLOOKUP(A22,Tabla1[],2,0)," ")</f>
        <v xml:space="preserve"> </v>
      </c>
      <c r="C22" s="29" t="str">
        <f>IFERROR(VLOOKUP(A22,Tabla1[],6,0)," ")</f>
        <v xml:space="preserve"> </v>
      </c>
      <c r="D22" s="30" t="str">
        <f>IFERROR(VLOOKUP(A22,Tabla1[],8,0)," ")</f>
        <v xml:space="preserve"> </v>
      </c>
      <c r="E22" s="31"/>
      <c r="F22" s="30" t="str">
        <f t="shared" si="0"/>
        <v xml:space="preserve"> </v>
      </c>
      <c r="G22" s="32" t="str">
        <f t="shared" si="1"/>
        <v xml:space="preserve"> </v>
      </c>
    </row>
    <row r="23" spans="1:7" ht="22.7" customHeight="1">
      <c r="A23" s="28"/>
      <c r="B23" s="29" t="str">
        <f>IFERROR(VLOOKUP(A23,Tabla1[],2,0)," ")</f>
        <v xml:space="preserve"> </v>
      </c>
      <c r="C23" s="29" t="str">
        <f>IFERROR(VLOOKUP(A23,Tabla1[],6,0)," ")</f>
        <v xml:space="preserve"> </v>
      </c>
      <c r="D23" s="30" t="str">
        <f>IFERROR(VLOOKUP(A23,Tabla1[],8,0)," ")</f>
        <v xml:space="preserve"> </v>
      </c>
      <c r="E23" s="31"/>
      <c r="F23" s="30" t="str">
        <f t="shared" si="0"/>
        <v xml:space="preserve"> </v>
      </c>
      <c r="G23" s="32" t="str">
        <f t="shared" si="1"/>
        <v xml:space="preserve"> </v>
      </c>
    </row>
    <row r="24" spans="1:7" ht="22.7" customHeight="1">
      <c r="A24" s="28"/>
      <c r="B24" s="29" t="str">
        <f>IFERROR(VLOOKUP(A24,Tabla1[],2,0)," ")</f>
        <v xml:space="preserve"> </v>
      </c>
      <c r="C24" s="29" t="str">
        <f>IFERROR(VLOOKUP(A24,Tabla1[],6,0)," ")</f>
        <v xml:space="preserve"> </v>
      </c>
      <c r="D24" s="30" t="str">
        <f>IFERROR(VLOOKUP(A24,Tabla1[],8,0)," ")</f>
        <v xml:space="preserve"> </v>
      </c>
      <c r="E24" s="31"/>
      <c r="F24" s="30" t="str">
        <f t="shared" si="0"/>
        <v xml:space="preserve"> </v>
      </c>
      <c r="G24" s="32" t="str">
        <f t="shared" si="1"/>
        <v xml:space="preserve"> </v>
      </c>
    </row>
    <row r="25" spans="1:7" ht="22.7" customHeight="1">
      <c r="A25" s="28"/>
      <c r="B25" s="29" t="str">
        <f>IFERROR(VLOOKUP(A25,Tabla1[],2,0)," ")</f>
        <v xml:space="preserve"> </v>
      </c>
      <c r="C25" s="29" t="str">
        <f>IFERROR(VLOOKUP(A25,Tabla1[],6,0)," ")</f>
        <v xml:space="preserve"> </v>
      </c>
      <c r="D25" s="30" t="str">
        <f>IFERROR(VLOOKUP(A25,Tabla1[],8,0)," ")</f>
        <v xml:space="preserve"> </v>
      </c>
      <c r="E25" s="31"/>
      <c r="F25" s="30" t="str">
        <f t="shared" si="0"/>
        <v xml:space="preserve"> </v>
      </c>
      <c r="G25" s="32" t="str">
        <f t="shared" si="1"/>
        <v xml:space="preserve"> </v>
      </c>
    </row>
    <row r="26" spans="1:7" ht="22.7" customHeight="1">
      <c r="A26" s="28"/>
      <c r="B26" s="29" t="str">
        <f>IFERROR(VLOOKUP(A26,Tabla1[],2,0)," ")</f>
        <v xml:space="preserve"> </v>
      </c>
      <c r="C26" s="29" t="str">
        <f>IFERROR(VLOOKUP(A26,Tabla1[],6,0)," ")</f>
        <v xml:space="preserve"> </v>
      </c>
      <c r="D26" s="30" t="str">
        <f>IFERROR(VLOOKUP(A26,Tabla1[],8,0)," ")</f>
        <v xml:space="preserve"> </v>
      </c>
      <c r="E26" s="31"/>
      <c r="F26" s="30" t="str">
        <f t="shared" si="0"/>
        <v xml:space="preserve"> </v>
      </c>
      <c r="G26" s="32" t="str">
        <f t="shared" si="1"/>
        <v xml:space="preserve"> </v>
      </c>
    </row>
    <row r="27" spans="1:7" ht="22.7" customHeight="1">
      <c r="A27" s="28"/>
      <c r="B27" s="29" t="str">
        <f>IFERROR(VLOOKUP(A27,Tabla1[],2,0)," ")</f>
        <v xml:space="preserve"> </v>
      </c>
      <c r="C27" s="29" t="str">
        <f>IFERROR(VLOOKUP(A27,Tabla1[],6,0)," ")</f>
        <v xml:space="preserve"> </v>
      </c>
      <c r="D27" s="30" t="str">
        <f>IFERROR(VLOOKUP(A27,Tabla1[],8,0)," ")</f>
        <v xml:space="preserve"> </v>
      </c>
      <c r="E27" s="31"/>
      <c r="F27" s="30" t="str">
        <f t="shared" si="0"/>
        <v xml:space="preserve"> </v>
      </c>
      <c r="G27" s="32" t="str">
        <f t="shared" si="1"/>
        <v xml:space="preserve"> </v>
      </c>
    </row>
    <row r="28" spans="1:7" ht="22.7" customHeight="1">
      <c r="A28" s="28"/>
      <c r="B28" s="29" t="str">
        <f>IFERROR(VLOOKUP(A28,Tabla1[],2,0)," ")</f>
        <v xml:space="preserve"> </v>
      </c>
      <c r="C28" s="29" t="str">
        <f>IFERROR(VLOOKUP(A28,Tabla1[],6,0)," ")</f>
        <v xml:space="preserve"> </v>
      </c>
      <c r="D28" s="30" t="str">
        <f>IFERROR(VLOOKUP(A28,Tabla1[],8,0)," ")</f>
        <v xml:space="preserve"> </v>
      </c>
      <c r="E28" s="31"/>
      <c r="F28" s="30" t="str">
        <f t="shared" si="0"/>
        <v xml:space="preserve"> </v>
      </c>
      <c r="G28" s="32" t="str">
        <f t="shared" si="1"/>
        <v xml:space="preserve"> </v>
      </c>
    </row>
    <row r="29" spans="1:7" ht="22.7" customHeight="1">
      <c r="A29" s="28"/>
      <c r="B29" s="29" t="str">
        <f>IFERROR(VLOOKUP(A29,Tabla1[],2,0)," ")</f>
        <v xml:space="preserve"> </v>
      </c>
      <c r="C29" s="29" t="str">
        <f>IFERROR(VLOOKUP(A29,Tabla1[],6,0)," ")</f>
        <v xml:space="preserve"> </v>
      </c>
      <c r="D29" s="30" t="str">
        <f>IFERROR(VLOOKUP(A29,Tabla1[],8,0)," ")</f>
        <v xml:space="preserve"> </v>
      </c>
      <c r="E29" s="31"/>
      <c r="F29" s="30" t="str">
        <f t="shared" si="0"/>
        <v xml:space="preserve"> </v>
      </c>
      <c r="G29" s="32" t="str">
        <f t="shared" si="1"/>
        <v xml:space="preserve"> </v>
      </c>
    </row>
    <row r="30" spans="1:7" ht="22.7" customHeight="1">
      <c r="A30" s="28"/>
      <c r="B30" s="29" t="str">
        <f>IFERROR(VLOOKUP(A30,Tabla1[],2,0)," ")</f>
        <v xml:space="preserve"> </v>
      </c>
      <c r="C30" s="29" t="str">
        <f>IFERROR(VLOOKUP(A30,Tabla1[],6,0)," ")</f>
        <v xml:space="preserve"> </v>
      </c>
      <c r="D30" s="30" t="str">
        <f>IFERROR(VLOOKUP(A30,Tabla1[],8,0)," ")</f>
        <v xml:space="preserve"> </v>
      </c>
      <c r="E30" s="31"/>
      <c r="F30" s="30" t="str">
        <f t="shared" si="0"/>
        <v xml:space="preserve"> </v>
      </c>
      <c r="G30" s="32" t="str">
        <f t="shared" si="1"/>
        <v xml:space="preserve"> </v>
      </c>
    </row>
    <row r="31" spans="1:7" ht="22.7" customHeight="1">
      <c r="A31" s="28"/>
      <c r="B31" s="29" t="str">
        <f>IFERROR(VLOOKUP(A31,Tabla1[],2,0)," ")</f>
        <v xml:space="preserve"> </v>
      </c>
      <c r="C31" s="29" t="str">
        <f>IFERROR(VLOOKUP(A31,Tabla1[],6,0)," ")</f>
        <v xml:space="preserve"> </v>
      </c>
      <c r="D31" s="30" t="str">
        <f>IFERROR(VLOOKUP(A31,Tabla1[],8,0)," ")</f>
        <v xml:space="preserve"> </v>
      </c>
      <c r="E31" s="31"/>
      <c r="F31" s="30" t="str">
        <f t="shared" si="0"/>
        <v xml:space="preserve"> </v>
      </c>
      <c r="G31" s="32" t="str">
        <f t="shared" si="1"/>
        <v xml:space="preserve"> </v>
      </c>
    </row>
    <row r="32" spans="1:7" ht="22.7" customHeight="1">
      <c r="A32" s="28"/>
      <c r="B32" s="29" t="str">
        <f>IFERROR(VLOOKUP(A32,Tabla1[],2,0)," ")</f>
        <v xml:space="preserve"> </v>
      </c>
      <c r="C32" s="29" t="str">
        <f>IFERROR(VLOOKUP(A32,Tabla1[],6,0)," ")</f>
        <v xml:space="preserve"> </v>
      </c>
      <c r="D32" s="30" t="str">
        <f>IFERROR(VLOOKUP(A32,Tabla1[],8,0)," ")</f>
        <v xml:space="preserve"> </v>
      </c>
      <c r="E32" s="31"/>
      <c r="F32" s="30" t="str">
        <f t="shared" si="0"/>
        <v xml:space="preserve"> </v>
      </c>
      <c r="G32" s="32" t="str">
        <f t="shared" si="1"/>
        <v xml:space="preserve"> </v>
      </c>
    </row>
    <row r="33" spans="1:7" ht="22.7" customHeight="1">
      <c r="A33" s="28"/>
      <c r="B33" s="29" t="str">
        <f>IFERROR(VLOOKUP(A33,Tabla1[],2,0)," ")</f>
        <v xml:space="preserve"> </v>
      </c>
      <c r="C33" s="29" t="str">
        <f>IFERROR(VLOOKUP(A33,Tabla1[],6,0)," ")</f>
        <v xml:space="preserve"> </v>
      </c>
      <c r="D33" s="30" t="str">
        <f>IFERROR(VLOOKUP(A33,Tabla1[],8,0)," ")</f>
        <v xml:space="preserve"> </v>
      </c>
      <c r="E33" s="31"/>
      <c r="F33" s="30" t="str">
        <f t="shared" si="0"/>
        <v xml:space="preserve"> </v>
      </c>
      <c r="G33" s="32" t="str">
        <f t="shared" si="1"/>
        <v xml:space="preserve"> </v>
      </c>
    </row>
    <row r="34" spans="1:7" ht="22.7" customHeight="1">
      <c r="A34" s="28"/>
      <c r="B34" s="29" t="str">
        <f>IFERROR(VLOOKUP(A34,Tabla1[],2,0)," ")</f>
        <v xml:space="preserve"> </v>
      </c>
      <c r="C34" s="29" t="str">
        <f>IFERROR(VLOOKUP(A34,Tabla1[],6,0)," ")</f>
        <v xml:space="preserve"> </v>
      </c>
      <c r="D34" s="30" t="str">
        <f>IFERROR(VLOOKUP(A34,Tabla1[],8,0)," ")</f>
        <v xml:space="preserve"> </v>
      </c>
      <c r="E34" s="31"/>
      <c r="F34" s="30" t="str">
        <f t="shared" si="0"/>
        <v xml:space="preserve"> </v>
      </c>
      <c r="G34" s="32" t="str">
        <f t="shared" si="1"/>
        <v xml:space="preserve"> </v>
      </c>
    </row>
    <row r="35" spans="1:7" ht="22.7" customHeight="1">
      <c r="A35" s="28"/>
      <c r="B35" s="29" t="str">
        <f>IFERROR(VLOOKUP(A35,Tabla1[],2,0)," ")</f>
        <v xml:space="preserve"> </v>
      </c>
      <c r="C35" s="29" t="str">
        <f>IFERROR(VLOOKUP(A35,Tabla1[],6,0)," ")</f>
        <v xml:space="preserve"> </v>
      </c>
      <c r="D35" s="30" t="str">
        <f>IFERROR(VLOOKUP(A35,Tabla1[],8,0)," ")</f>
        <v xml:space="preserve"> </v>
      </c>
      <c r="E35" s="31"/>
      <c r="F35" s="30" t="str">
        <f t="shared" si="0"/>
        <v xml:space="preserve"> </v>
      </c>
      <c r="G35" s="32" t="str">
        <f t="shared" si="1"/>
        <v xml:space="preserve"> </v>
      </c>
    </row>
    <row r="36" spans="1:7" ht="22.7" customHeight="1">
      <c r="A36" s="28"/>
      <c r="B36" s="29" t="str">
        <f>IFERROR(VLOOKUP(A36,Tabla1[],2,0)," ")</f>
        <v xml:space="preserve"> </v>
      </c>
      <c r="C36" s="29" t="str">
        <f>IFERROR(VLOOKUP(A36,Tabla1[],6,0)," ")</f>
        <v xml:space="preserve"> </v>
      </c>
      <c r="D36" s="30" t="str">
        <f>IFERROR(VLOOKUP(A36,Tabla1[],8,0)," ")</f>
        <v xml:space="preserve"> </v>
      </c>
      <c r="E36" s="31"/>
      <c r="F36" s="30" t="str">
        <f t="shared" si="0"/>
        <v xml:space="preserve"> </v>
      </c>
      <c r="G36" s="32" t="str">
        <f t="shared" si="1"/>
        <v xml:space="preserve"> </v>
      </c>
    </row>
    <row r="37" spans="1:7" ht="22.7" customHeight="1">
      <c r="A37" s="28"/>
      <c r="B37" s="29" t="str">
        <f>IFERROR(VLOOKUP(A37,Tabla1[],2,0)," ")</f>
        <v xml:space="preserve"> </v>
      </c>
      <c r="C37" s="29" t="str">
        <f>IFERROR(VLOOKUP(A37,Tabla1[],6,0)," ")</f>
        <v xml:space="preserve"> </v>
      </c>
      <c r="D37" s="30" t="str">
        <f>IFERROR(VLOOKUP(A37,Tabla1[],8,0)," ")</f>
        <v xml:space="preserve"> </v>
      </c>
      <c r="E37" s="31"/>
      <c r="F37" s="30" t="str">
        <f t="shared" si="0"/>
        <v xml:space="preserve"> </v>
      </c>
      <c r="G37" s="32" t="str">
        <f t="shared" si="1"/>
        <v xml:space="preserve"> </v>
      </c>
    </row>
    <row r="38" spans="1:7" ht="22.7" customHeight="1">
      <c r="A38" s="28"/>
      <c r="B38" s="29" t="str">
        <f>IFERROR(VLOOKUP(A38,Tabla1[],2,0)," ")</f>
        <v xml:space="preserve"> </v>
      </c>
      <c r="C38" s="29" t="str">
        <f>IFERROR(VLOOKUP(A38,Tabla1[],6,0)," ")</f>
        <v xml:space="preserve"> </v>
      </c>
      <c r="D38" s="30" t="str">
        <f>IFERROR(VLOOKUP(A38,Tabla1[],8,0)," ")</f>
        <v xml:space="preserve"> </v>
      </c>
      <c r="E38" s="31"/>
      <c r="F38" s="30" t="str">
        <f t="shared" si="0"/>
        <v xml:space="preserve"> </v>
      </c>
      <c r="G38" s="32" t="str">
        <f t="shared" si="1"/>
        <v xml:space="preserve"> </v>
      </c>
    </row>
    <row r="39" spans="1:7" ht="22.7" customHeight="1">
      <c r="A39" s="28"/>
      <c r="B39" s="29" t="str">
        <f>IFERROR(VLOOKUP(A39,Tabla1[],2,0)," ")</f>
        <v xml:space="preserve"> </v>
      </c>
      <c r="C39" s="29" t="str">
        <f>IFERROR(VLOOKUP(A39,Tabla1[],6,0)," ")</f>
        <v xml:space="preserve"> </v>
      </c>
      <c r="D39" s="30" t="str">
        <f>IFERROR(VLOOKUP(A39,Tabla1[],8,0)," ")</f>
        <v xml:space="preserve"> </v>
      </c>
      <c r="E39" s="31"/>
      <c r="F39" s="30" t="str">
        <f t="shared" si="0"/>
        <v xml:space="preserve"> </v>
      </c>
      <c r="G39" s="32" t="str">
        <f t="shared" si="1"/>
        <v xml:space="preserve"> </v>
      </c>
    </row>
    <row r="40" spans="1:7" ht="22.7" customHeight="1">
      <c r="A40" s="28"/>
      <c r="B40" s="29" t="str">
        <f>IFERROR(VLOOKUP(A40,Tabla1[],2,0)," ")</f>
        <v xml:space="preserve"> </v>
      </c>
      <c r="C40" s="29" t="str">
        <f>IFERROR(VLOOKUP(A40,Tabla1[],6,0)," ")</f>
        <v xml:space="preserve"> </v>
      </c>
      <c r="D40" s="30" t="str">
        <f>IFERROR(VLOOKUP(A40,Tabla1[],8,0)," ")</f>
        <v xml:space="preserve"> </v>
      </c>
      <c r="E40" s="31"/>
      <c r="F40" s="30" t="str">
        <f t="shared" si="0"/>
        <v xml:space="preserve"> </v>
      </c>
      <c r="G40" s="32" t="str">
        <f t="shared" si="1"/>
        <v xml:space="preserve"> </v>
      </c>
    </row>
    <row r="41" spans="1:7" ht="22.7" customHeight="1">
      <c r="A41" s="28"/>
      <c r="B41" s="29" t="str">
        <f>IFERROR(VLOOKUP(A41,Tabla1[],2,0)," ")</f>
        <v xml:space="preserve"> </v>
      </c>
      <c r="C41" s="29" t="str">
        <f>IFERROR(VLOOKUP(A41,Tabla1[],6,0)," ")</f>
        <v xml:space="preserve"> </v>
      </c>
      <c r="D41" s="30" t="str">
        <f>IFERROR(VLOOKUP(A41,Tabla1[],8,0)," ")</f>
        <v xml:space="preserve"> </v>
      </c>
      <c r="E41" s="31"/>
      <c r="F41" s="30" t="str">
        <f t="shared" si="0"/>
        <v xml:space="preserve"> </v>
      </c>
      <c r="G41" s="32" t="str">
        <f t="shared" si="1"/>
        <v xml:space="preserve"> </v>
      </c>
    </row>
    <row r="42" spans="1:7" ht="22.7" customHeight="1">
      <c r="A42" s="28"/>
      <c r="B42" s="29" t="str">
        <f>IFERROR(VLOOKUP(A42,Tabla1[],2,0)," ")</f>
        <v xml:space="preserve"> </v>
      </c>
      <c r="C42" s="29" t="str">
        <f>IFERROR(VLOOKUP(A42,Tabla1[],6,0)," ")</f>
        <v xml:space="preserve"> </v>
      </c>
      <c r="D42" s="30" t="str">
        <f>IFERROR(VLOOKUP(A42,Tabla1[],8,0)," ")</f>
        <v xml:space="preserve"> </v>
      </c>
      <c r="E42" s="31"/>
      <c r="F42" s="30" t="str">
        <f t="shared" si="0"/>
        <v xml:space="preserve"> </v>
      </c>
      <c r="G42" s="32" t="str">
        <f t="shared" si="1"/>
        <v xml:space="preserve"> </v>
      </c>
    </row>
    <row r="43" spans="1:7" ht="22.7" customHeight="1">
      <c r="A43" s="28"/>
      <c r="B43" s="29" t="str">
        <f>IFERROR(VLOOKUP(A43,Tabla1[],2,0)," ")</f>
        <v xml:space="preserve"> </v>
      </c>
      <c r="C43" s="29" t="str">
        <f>IFERROR(VLOOKUP(A43,Tabla1[],6,0)," ")</f>
        <v xml:space="preserve"> </v>
      </c>
      <c r="D43" s="30" t="str">
        <f>IFERROR(VLOOKUP(A43,Tabla1[],8,0)," ")</f>
        <v xml:space="preserve"> </v>
      </c>
      <c r="E43" s="31"/>
      <c r="F43" s="30" t="str">
        <f t="shared" si="0"/>
        <v xml:space="preserve"> </v>
      </c>
      <c r="G43" s="32" t="str">
        <f t="shared" si="1"/>
        <v xml:space="preserve"> </v>
      </c>
    </row>
    <row r="44" spans="1:7" ht="22.7" customHeight="1">
      <c r="A44" s="28"/>
      <c r="B44" s="29" t="str">
        <f>IFERROR(VLOOKUP(A44,Tabla1[],2,0)," ")</f>
        <v xml:space="preserve"> </v>
      </c>
      <c r="C44" s="29" t="str">
        <f>IFERROR(VLOOKUP(A44,Tabla1[],6,0)," ")</f>
        <v xml:space="preserve"> </v>
      </c>
      <c r="D44" s="30" t="str">
        <f>IFERROR(VLOOKUP(A44,Tabla1[],8,0)," ")</f>
        <v xml:space="preserve"> </v>
      </c>
      <c r="E44" s="31"/>
      <c r="F44" s="30" t="str">
        <f t="shared" si="0"/>
        <v xml:space="preserve"> </v>
      </c>
      <c r="G44" s="32" t="str">
        <f t="shared" si="1"/>
        <v xml:space="preserve"> </v>
      </c>
    </row>
    <row r="45" spans="1:7" ht="22.7" customHeight="1">
      <c r="A45" s="28"/>
      <c r="B45" s="29" t="str">
        <f>IFERROR(VLOOKUP(A45,Tabla1[],2,0)," ")</f>
        <v xml:space="preserve"> </v>
      </c>
      <c r="C45" s="29" t="str">
        <f>IFERROR(VLOOKUP(A45,Tabla1[],6,0)," ")</f>
        <v xml:space="preserve"> </v>
      </c>
      <c r="D45" s="30" t="str">
        <f>IFERROR(VLOOKUP(A45,Tabla1[],8,0)," ")</f>
        <v xml:space="preserve"> </v>
      </c>
      <c r="E45" s="31"/>
      <c r="F45" s="30" t="str">
        <f t="shared" si="0"/>
        <v xml:space="preserve"> </v>
      </c>
      <c r="G45" s="32" t="str">
        <f t="shared" si="1"/>
        <v xml:space="preserve"> </v>
      </c>
    </row>
    <row r="46" spans="1:7" ht="22.7" customHeight="1">
      <c r="A46" s="28"/>
      <c r="B46" s="29" t="str">
        <f>IFERROR(VLOOKUP(A46,Tabla1[],2,0)," ")</f>
        <v xml:space="preserve"> </v>
      </c>
      <c r="C46" s="29" t="str">
        <f>IFERROR(VLOOKUP(A46,Tabla1[],6,0)," ")</f>
        <v xml:space="preserve"> </v>
      </c>
      <c r="D46" s="30" t="str">
        <f>IFERROR(VLOOKUP(A46,Tabla1[],8,0)," ")</f>
        <v xml:space="preserve"> </v>
      </c>
      <c r="E46" s="31"/>
      <c r="F46" s="30" t="str">
        <f t="shared" si="0"/>
        <v xml:space="preserve"> </v>
      </c>
      <c r="G46" s="32" t="str">
        <f t="shared" si="1"/>
        <v xml:space="preserve"> </v>
      </c>
    </row>
    <row r="47" spans="1:7" ht="22.7" customHeight="1">
      <c r="A47" s="28"/>
      <c r="B47" s="29" t="str">
        <f>IFERROR(VLOOKUP(A47,Tabla1[],2,0)," ")</f>
        <v xml:space="preserve"> </v>
      </c>
      <c r="C47" s="29" t="str">
        <f>IFERROR(VLOOKUP(A47,Tabla1[],6,0)," ")</f>
        <v xml:space="preserve"> </v>
      </c>
      <c r="D47" s="30" t="str">
        <f>IFERROR(VLOOKUP(A47,Tabla1[],8,0)," ")</f>
        <v xml:space="preserve"> </v>
      </c>
      <c r="E47" s="31"/>
      <c r="F47" s="30" t="str">
        <f t="shared" si="0"/>
        <v xml:space="preserve"> </v>
      </c>
      <c r="G47" s="32" t="str">
        <f t="shared" si="1"/>
        <v xml:space="preserve"> </v>
      </c>
    </row>
    <row r="48" spans="1:7" ht="22.7" customHeight="1">
      <c r="A48" s="28"/>
      <c r="B48" s="29" t="str">
        <f>IFERROR(VLOOKUP(A48,Tabla1[],2,0)," ")</f>
        <v xml:space="preserve"> </v>
      </c>
      <c r="C48" s="29" t="str">
        <f>IFERROR(VLOOKUP(A48,Tabla1[],6,0)," ")</f>
        <v xml:space="preserve"> </v>
      </c>
      <c r="D48" s="30" t="str">
        <f>IFERROR(VLOOKUP(A48,Tabla1[],8,0)," ")</f>
        <v xml:space="preserve"> </v>
      </c>
      <c r="E48" s="31"/>
      <c r="F48" s="30" t="str">
        <f t="shared" si="0"/>
        <v xml:space="preserve"> </v>
      </c>
      <c r="G48" s="32" t="str">
        <f t="shared" si="1"/>
        <v xml:space="preserve"> </v>
      </c>
    </row>
    <row r="49" spans="1:7" ht="22.7" customHeight="1">
      <c r="A49" s="28"/>
      <c r="B49" s="29" t="str">
        <f>IFERROR(VLOOKUP(A49,Tabla1[],2,0)," ")</f>
        <v xml:space="preserve"> </v>
      </c>
      <c r="C49" s="29" t="str">
        <f>IFERROR(VLOOKUP(A49,Tabla1[],6,0)," ")</f>
        <v xml:space="preserve"> </v>
      </c>
      <c r="D49" s="30" t="str">
        <f>IFERROR(VLOOKUP(A49,Tabla1[],8,0)," ")</f>
        <v xml:space="preserve"> </v>
      </c>
      <c r="E49" s="31"/>
      <c r="F49" s="30" t="str">
        <f t="shared" si="0"/>
        <v xml:space="preserve"> </v>
      </c>
      <c r="G49" s="32" t="str">
        <f t="shared" si="1"/>
        <v xml:space="preserve"> </v>
      </c>
    </row>
    <row r="50" spans="1:7" ht="22.7" customHeight="1">
      <c r="A50" s="28"/>
      <c r="B50" s="29" t="str">
        <f>IFERROR(VLOOKUP(A50,Tabla1[],2,0)," ")</f>
        <v xml:space="preserve"> </v>
      </c>
      <c r="C50" s="29" t="str">
        <f>IFERROR(VLOOKUP(A50,Tabla1[],6,0)," ")</f>
        <v xml:space="preserve"> </v>
      </c>
      <c r="D50" s="30" t="str">
        <f>IFERROR(VLOOKUP(A50,Tabla1[],8,0)," ")</f>
        <v xml:space="preserve"> </v>
      </c>
      <c r="E50" s="31"/>
      <c r="F50" s="30" t="str">
        <f t="shared" si="0"/>
        <v xml:space="preserve"> </v>
      </c>
      <c r="G50" s="32" t="str">
        <f t="shared" si="1"/>
        <v xml:space="preserve"> </v>
      </c>
    </row>
    <row r="51" spans="1:7" ht="22.7" customHeight="1">
      <c r="A51" s="28"/>
      <c r="B51" s="29" t="str">
        <f>IFERROR(VLOOKUP(A51,Tabla1[],2,0)," ")</f>
        <v xml:space="preserve"> </v>
      </c>
      <c r="C51" s="29" t="str">
        <f>IFERROR(VLOOKUP(A51,Tabla1[],6,0)," ")</f>
        <v xml:space="preserve"> </v>
      </c>
      <c r="D51" s="30" t="str">
        <f>IFERROR(VLOOKUP(A51,Tabla1[],8,0)," ")</f>
        <v xml:space="preserve"> </v>
      </c>
      <c r="E51" s="31"/>
      <c r="F51" s="30" t="str">
        <f t="shared" si="0"/>
        <v xml:space="preserve"> </v>
      </c>
    </row>
    <row r="52" spans="1:7" ht="22.7" customHeight="1">
      <c r="A52" s="28"/>
      <c r="B52" s="29" t="str">
        <f>IFERROR(VLOOKUP(A52,Tabla1[],2,0)," ")</f>
        <v xml:space="preserve"> </v>
      </c>
      <c r="C52" s="29" t="str">
        <f>IFERROR(VLOOKUP(A52,Tabla1[],6,0)," ")</f>
        <v xml:space="preserve"> </v>
      </c>
      <c r="D52" s="30" t="str">
        <f>IFERROR(VLOOKUP(A52,Tabla1[],8,0)," ")</f>
        <v xml:space="preserve"> </v>
      </c>
      <c r="E52" s="31"/>
      <c r="F52" s="30" t="str">
        <f t="shared" si="0"/>
        <v xml:space="preserve"> </v>
      </c>
    </row>
    <row r="53" spans="1:7" ht="22.7" customHeight="1">
      <c r="A53" s="28"/>
      <c r="B53" s="29" t="str">
        <f>IFERROR(VLOOKUP(A53,Tabla1[],2,0)," ")</f>
        <v xml:space="preserve"> </v>
      </c>
      <c r="C53" s="29" t="str">
        <f>IFERROR(VLOOKUP(A53,Tabla1[],6,0)," ")</f>
        <v xml:space="preserve"> </v>
      </c>
      <c r="D53" s="30" t="str">
        <f>IFERROR(VLOOKUP(A53,Tabla1[],8,0)," ")</f>
        <v xml:space="preserve"> </v>
      </c>
      <c r="E53" s="31"/>
      <c r="F53" s="30" t="str">
        <f t="shared" si="0"/>
        <v xml:space="preserve"> </v>
      </c>
    </row>
    <row r="54" spans="1:7" ht="22.7" customHeight="1">
      <c r="A54" s="28"/>
      <c r="B54" s="29" t="str">
        <f>IFERROR(VLOOKUP(A54,Tabla1[],2,0)," ")</f>
        <v xml:space="preserve"> </v>
      </c>
      <c r="C54" s="29" t="str">
        <f>IFERROR(VLOOKUP(A54,Tabla1[],6,0)," ")</f>
        <v xml:space="preserve"> </v>
      </c>
      <c r="D54" s="30" t="str">
        <f>IFERROR(VLOOKUP(A54,Tabla1[],8,0)," ")</f>
        <v xml:space="preserve"> </v>
      </c>
      <c r="E54" s="31"/>
      <c r="F54" s="30" t="str">
        <f t="shared" si="0"/>
        <v xml:space="preserve"> </v>
      </c>
    </row>
    <row r="55" spans="1:7" ht="22.7" customHeight="1">
      <c r="A55" s="28"/>
      <c r="B55" s="29" t="str">
        <f>IFERROR(VLOOKUP(A55,Tabla1[],2,0)," ")</f>
        <v xml:space="preserve"> </v>
      </c>
      <c r="C55" s="29" t="str">
        <f>IFERROR(VLOOKUP(A55,Tabla1[],6,0)," ")</f>
        <v xml:space="preserve"> </v>
      </c>
      <c r="D55" s="30" t="str">
        <f>IFERROR(VLOOKUP(A55,Tabla1[],8,0)," ")</f>
        <v xml:space="preserve"> </v>
      </c>
      <c r="E55" s="31"/>
      <c r="F55" s="30" t="str">
        <f t="shared" si="0"/>
        <v xml:space="preserve"> </v>
      </c>
    </row>
    <row r="56" spans="1:7" ht="22.7" customHeight="1">
      <c r="A56" s="28"/>
      <c r="B56" s="29" t="str">
        <f>IFERROR(VLOOKUP(A56,Tabla1[],2,0)," ")</f>
        <v xml:space="preserve"> </v>
      </c>
      <c r="C56" s="29" t="str">
        <f>IFERROR(VLOOKUP(A56,Tabla1[],6,0)," ")</f>
        <v xml:space="preserve"> </v>
      </c>
      <c r="D56" s="30" t="str">
        <f>IFERROR(VLOOKUP(A56,Tabla1[],8,0)," ")</f>
        <v xml:space="preserve"> </v>
      </c>
      <c r="E56" s="31"/>
      <c r="F56" s="30" t="str">
        <f t="shared" si="0"/>
        <v xml:space="preserve"> </v>
      </c>
    </row>
    <row r="57" spans="1:7" ht="22.7" customHeight="1">
      <c r="A57" s="28"/>
      <c r="B57" s="29" t="str">
        <f>IFERROR(VLOOKUP(A57,Tabla1[],2,0)," ")</f>
        <v xml:space="preserve"> </v>
      </c>
      <c r="C57" s="29" t="str">
        <f>IFERROR(VLOOKUP(A57,Tabla1[],6,0)," ")</f>
        <v xml:space="preserve"> </v>
      </c>
      <c r="D57" s="30" t="str">
        <f>IFERROR(VLOOKUP(A57,Tabla1[],8,0)," ")</f>
        <v xml:space="preserve"> </v>
      </c>
      <c r="E57" s="31"/>
      <c r="F57" s="30" t="str">
        <f t="shared" si="0"/>
        <v xml:space="preserve"> </v>
      </c>
    </row>
    <row r="58" spans="1:7" ht="22.7" customHeight="1">
      <c r="A58" s="28"/>
      <c r="B58" s="29" t="str">
        <f>IFERROR(VLOOKUP(A58,Tabla1[],2,0)," ")</f>
        <v xml:space="preserve"> </v>
      </c>
      <c r="C58" s="29" t="str">
        <f>IFERROR(VLOOKUP(A58,Tabla1[],6,0)," ")</f>
        <v xml:space="preserve"> </v>
      </c>
      <c r="D58" s="30" t="str">
        <f>IFERROR(VLOOKUP(A58,Tabla1[],8,0)," ")</f>
        <v xml:space="preserve"> </v>
      </c>
      <c r="E58" s="31"/>
      <c r="F58" s="30" t="str">
        <f t="shared" si="0"/>
        <v xml:space="preserve"> </v>
      </c>
    </row>
    <row r="59" spans="1:7" ht="22.7" customHeight="1">
      <c r="A59" s="28"/>
      <c r="B59" s="29" t="str">
        <f>IFERROR(VLOOKUP(A59,Tabla1[],2,0)," ")</f>
        <v xml:space="preserve"> </v>
      </c>
      <c r="C59" s="29" t="str">
        <f>IFERROR(VLOOKUP(A59,Tabla1[],6,0)," ")</f>
        <v xml:space="preserve"> </v>
      </c>
      <c r="D59" s="30" t="str">
        <f>IFERROR(VLOOKUP(A59,Tabla1[],8,0)," ")</f>
        <v xml:space="preserve"> </v>
      </c>
      <c r="E59" s="31"/>
      <c r="F59" s="30" t="str">
        <f t="shared" si="0"/>
        <v xml:space="preserve"> </v>
      </c>
    </row>
    <row r="60" spans="1:7" ht="22.7" customHeight="1">
      <c r="A60" s="28"/>
      <c r="B60" s="29" t="str">
        <f>IFERROR(VLOOKUP(A60,Tabla1[],2,0)," ")</f>
        <v xml:space="preserve"> </v>
      </c>
      <c r="C60" s="29" t="str">
        <f>IFERROR(VLOOKUP(A60,Tabla1[],6,0)," ")</f>
        <v xml:space="preserve"> </v>
      </c>
      <c r="D60" s="30" t="str">
        <f>IFERROR(VLOOKUP(A60,Tabla1[],8,0)," ")</f>
        <v xml:space="preserve"> </v>
      </c>
      <c r="E60" s="31"/>
      <c r="F60" s="30" t="str">
        <f t="shared" si="0"/>
        <v xml:space="preserve"> </v>
      </c>
    </row>
    <row r="61" spans="1:7" ht="22.7" customHeight="1">
      <c r="A61" s="28"/>
      <c r="B61" s="29" t="str">
        <f>IFERROR(VLOOKUP(A61,Tabla1[],2,0)," ")</f>
        <v xml:space="preserve"> </v>
      </c>
      <c r="C61" s="29" t="str">
        <f>IFERROR(VLOOKUP(A61,Tabla1[],6,0)," ")</f>
        <v xml:space="preserve"> </v>
      </c>
      <c r="D61" s="30" t="str">
        <f>IFERROR(VLOOKUP(A61,Tabla1[],8,0)," ")</f>
        <v xml:space="preserve"> </v>
      </c>
      <c r="E61" s="31"/>
      <c r="F61" s="30" t="str">
        <f t="shared" si="0"/>
        <v xml:space="preserve"> </v>
      </c>
    </row>
    <row r="62" spans="1:7" ht="22.7" customHeight="1">
      <c r="A62" s="28"/>
      <c r="B62" s="29" t="str">
        <f>IFERROR(VLOOKUP(A62,Tabla1[],2,0)," ")</f>
        <v xml:space="preserve"> </v>
      </c>
      <c r="C62" s="29" t="str">
        <f>IFERROR(VLOOKUP(A62,Tabla1[],6,0)," ")</f>
        <v xml:space="preserve"> </v>
      </c>
      <c r="D62" s="30" t="str">
        <f>IFERROR(VLOOKUP(A62,Tabla1[],8,0)," ")</f>
        <v xml:space="preserve"> </v>
      </c>
      <c r="E62" s="31"/>
      <c r="F62" s="30" t="str">
        <f t="shared" si="0"/>
        <v xml:space="preserve"> </v>
      </c>
    </row>
    <row r="63" spans="1:7" ht="22.7" customHeight="1">
      <c r="A63" s="28"/>
      <c r="B63" s="29" t="str">
        <f>IFERROR(VLOOKUP(A63,Tabla1[],2,0)," ")</f>
        <v xml:space="preserve"> </v>
      </c>
      <c r="C63" s="29" t="str">
        <f>IFERROR(VLOOKUP(A63,Tabla1[],6,0)," ")</f>
        <v xml:space="preserve"> </v>
      </c>
      <c r="D63" s="30" t="str">
        <f>IFERROR(VLOOKUP(A63,Tabla1[],8,0)," ")</f>
        <v xml:space="preserve"> </v>
      </c>
      <c r="E63" s="31"/>
      <c r="F63" s="30" t="str">
        <f t="shared" si="0"/>
        <v xml:space="preserve"> </v>
      </c>
    </row>
    <row r="64" spans="1:7" ht="22.7" customHeight="1">
      <c r="A64" s="28"/>
      <c r="B64" s="29" t="str">
        <f>IFERROR(VLOOKUP(A64,Tabla1[],2,0)," ")</f>
        <v xml:space="preserve"> </v>
      </c>
      <c r="C64" s="29" t="str">
        <f>IFERROR(VLOOKUP(A64,Tabla1[],6,0)," ")</f>
        <v xml:space="preserve"> </v>
      </c>
      <c r="D64" s="30" t="str">
        <f>IFERROR(VLOOKUP(A64,Tabla1[],8,0)," ")</f>
        <v xml:space="preserve"> </v>
      </c>
      <c r="E64" s="31"/>
      <c r="F64" s="30" t="str">
        <f t="shared" si="0"/>
        <v xml:space="preserve"> </v>
      </c>
    </row>
    <row r="65" spans="1:6" ht="22.7" customHeight="1">
      <c r="A65" s="28"/>
      <c r="B65" s="29" t="str">
        <f>IFERROR(VLOOKUP(A65,Tabla1[],2,0)," ")</f>
        <v xml:space="preserve"> </v>
      </c>
      <c r="C65" s="29" t="str">
        <f>IFERROR(VLOOKUP(A65,Tabla1[],6,0)," ")</f>
        <v xml:space="preserve"> </v>
      </c>
      <c r="D65" s="30" t="str">
        <f>IFERROR(VLOOKUP(A65,Tabla1[],8,0)," ")</f>
        <v xml:space="preserve"> </v>
      </c>
      <c r="E65" s="31"/>
      <c r="F65" s="30" t="str">
        <f t="shared" si="0"/>
        <v xml:space="preserve"> </v>
      </c>
    </row>
    <row r="66" spans="1:6" ht="22.7" customHeight="1">
      <c r="A66" s="28"/>
      <c r="B66" s="29" t="str">
        <f>IFERROR(VLOOKUP(A66,Tabla1[],2,0)," ")</f>
        <v xml:space="preserve"> </v>
      </c>
      <c r="C66" s="29" t="str">
        <f>IFERROR(VLOOKUP(A66,Tabla1[],6,0)," ")</f>
        <v xml:space="preserve"> </v>
      </c>
      <c r="D66" s="30" t="str">
        <f>IFERROR(VLOOKUP(A66,Tabla1[],8,0)," ")</f>
        <v xml:space="preserve"> </v>
      </c>
      <c r="E66" s="31"/>
      <c r="F66" s="30" t="str">
        <f t="shared" si="0"/>
        <v xml:space="preserve"> </v>
      </c>
    </row>
    <row r="67" spans="1:6" ht="22.7" customHeight="1">
      <c r="A67" s="28"/>
      <c r="B67" s="29" t="str">
        <f>IFERROR(VLOOKUP(A67,Tabla1[],2,0)," ")</f>
        <v xml:space="preserve"> </v>
      </c>
      <c r="C67" s="29" t="str">
        <f>IFERROR(VLOOKUP(A67,Tabla1[],6,0)," ")</f>
        <v xml:space="preserve"> </v>
      </c>
      <c r="D67" s="30" t="str">
        <f>IFERROR(VLOOKUP(A67,Tabla1[],8,0)," ")</f>
        <v xml:space="preserve"> </v>
      </c>
      <c r="E67" s="31"/>
      <c r="F67" s="30" t="str">
        <f t="shared" si="0"/>
        <v xml:space="preserve"> </v>
      </c>
    </row>
    <row r="68" spans="1:6" ht="22.7" customHeight="1">
      <c r="A68" s="28"/>
      <c r="B68" s="29" t="str">
        <f>IFERROR(VLOOKUP(A68,Tabla1[],2,0)," ")</f>
        <v xml:space="preserve"> </v>
      </c>
      <c r="C68" s="29" t="str">
        <f>IFERROR(VLOOKUP(A68,Tabla1[],6,0)," ")</f>
        <v xml:space="preserve"> </v>
      </c>
      <c r="D68" s="30" t="str">
        <f>IFERROR(VLOOKUP(A68,Tabla1[],8,0)," ")</f>
        <v xml:space="preserve"> </v>
      </c>
      <c r="E68" s="31"/>
      <c r="F68" s="30" t="str">
        <f t="shared" ref="F68:F131" si="2">IFERROR((E68*D68), " ")</f>
        <v xml:space="preserve"> </v>
      </c>
    </row>
    <row r="69" spans="1:6" ht="22.7" customHeight="1">
      <c r="A69" s="28"/>
      <c r="B69" s="29" t="str">
        <f>IFERROR(VLOOKUP(A69,Tabla1[],2,0)," ")</f>
        <v xml:space="preserve"> </v>
      </c>
      <c r="C69" s="29" t="str">
        <f>IFERROR(VLOOKUP(A69,Tabla1[],6,0)," ")</f>
        <v xml:space="preserve"> </v>
      </c>
      <c r="D69" s="30" t="str">
        <f>IFERROR(VLOOKUP(A69,Tabla1[],8,0)," ")</f>
        <v xml:space="preserve"> </v>
      </c>
      <c r="E69" s="31"/>
      <c r="F69" s="30" t="str">
        <f t="shared" si="2"/>
        <v xml:space="preserve"> </v>
      </c>
    </row>
    <row r="70" spans="1:6" ht="22.7" customHeight="1">
      <c r="A70" s="28"/>
      <c r="B70" s="29" t="str">
        <f>IFERROR(VLOOKUP(A70,Tabla1[],2,0)," ")</f>
        <v xml:space="preserve"> </v>
      </c>
      <c r="C70" s="29" t="str">
        <f>IFERROR(VLOOKUP(A70,Tabla1[],6,0)," ")</f>
        <v xml:space="preserve"> </v>
      </c>
      <c r="D70" s="30" t="str">
        <f>IFERROR(VLOOKUP(A70,Tabla1[],8,0)," ")</f>
        <v xml:space="preserve"> </v>
      </c>
      <c r="E70" s="31"/>
      <c r="F70" s="30" t="str">
        <f t="shared" si="2"/>
        <v xml:space="preserve"> </v>
      </c>
    </row>
    <row r="71" spans="1:6" ht="22.7" customHeight="1">
      <c r="A71" s="28"/>
      <c r="B71" s="29" t="str">
        <f>IFERROR(VLOOKUP(A71,Tabla1[],2,0)," ")</f>
        <v xml:space="preserve"> </v>
      </c>
      <c r="C71" s="29" t="str">
        <f>IFERROR(VLOOKUP(A71,Tabla1[],6,0)," ")</f>
        <v xml:space="preserve"> </v>
      </c>
      <c r="D71" s="30" t="str">
        <f>IFERROR(VLOOKUP(A71,Tabla1[],8,0)," ")</f>
        <v xml:space="preserve"> </v>
      </c>
      <c r="E71" s="31"/>
      <c r="F71" s="30" t="str">
        <f t="shared" si="2"/>
        <v xml:space="preserve"> </v>
      </c>
    </row>
    <row r="72" spans="1:6" ht="22.7" customHeight="1">
      <c r="A72" s="28"/>
      <c r="B72" s="29" t="str">
        <f>IFERROR(VLOOKUP(A72,Tabla1[],2,0)," ")</f>
        <v xml:space="preserve"> </v>
      </c>
      <c r="C72" s="29" t="str">
        <f>IFERROR(VLOOKUP(A72,Tabla1[],6,0)," ")</f>
        <v xml:space="preserve"> </v>
      </c>
      <c r="D72" s="30" t="str">
        <f>IFERROR(VLOOKUP(A72,Tabla1[],8,0)," ")</f>
        <v xml:space="preserve"> </v>
      </c>
      <c r="E72" s="31"/>
      <c r="F72" s="30" t="str">
        <f t="shared" si="2"/>
        <v xml:space="preserve"> </v>
      </c>
    </row>
    <row r="73" spans="1:6" ht="22.7" customHeight="1">
      <c r="A73" s="28"/>
      <c r="B73" s="29" t="str">
        <f>IFERROR(VLOOKUP(A73,Tabla1[],2,0)," ")</f>
        <v xml:space="preserve"> </v>
      </c>
      <c r="C73" s="29" t="str">
        <f>IFERROR(VLOOKUP(A73,Tabla1[],6,0)," ")</f>
        <v xml:space="preserve"> </v>
      </c>
      <c r="D73" s="30" t="str">
        <f>IFERROR(VLOOKUP(A73,Tabla1[],8,0)," ")</f>
        <v xml:space="preserve"> </v>
      </c>
      <c r="E73" s="31"/>
      <c r="F73" s="30" t="str">
        <f t="shared" si="2"/>
        <v xml:space="preserve"> </v>
      </c>
    </row>
    <row r="74" spans="1:6" ht="22.7" customHeight="1">
      <c r="A74" s="28"/>
      <c r="B74" s="29" t="str">
        <f>IFERROR(VLOOKUP(A74,Tabla1[],2,0)," ")</f>
        <v xml:space="preserve"> </v>
      </c>
      <c r="C74" s="29" t="str">
        <f>IFERROR(VLOOKUP(A74,Tabla1[],6,0)," ")</f>
        <v xml:space="preserve"> </v>
      </c>
      <c r="D74" s="30" t="str">
        <f>IFERROR(VLOOKUP(A74,Tabla1[],8,0)," ")</f>
        <v xml:space="preserve"> </v>
      </c>
      <c r="E74" s="31"/>
      <c r="F74" s="30" t="str">
        <f t="shared" si="2"/>
        <v xml:space="preserve"> </v>
      </c>
    </row>
    <row r="75" spans="1:6" ht="22.7" customHeight="1">
      <c r="A75" s="28"/>
      <c r="B75" s="29" t="str">
        <f>IFERROR(VLOOKUP(A75,Tabla1[],2,0)," ")</f>
        <v xml:space="preserve"> </v>
      </c>
      <c r="C75" s="29" t="str">
        <f>IFERROR(VLOOKUP(A75,Tabla1[],6,0)," ")</f>
        <v xml:space="preserve"> </v>
      </c>
      <c r="D75" s="30" t="str">
        <f>IFERROR(VLOOKUP(A75,Tabla1[],8,0)," ")</f>
        <v xml:space="preserve"> </v>
      </c>
      <c r="E75" s="31"/>
      <c r="F75" s="30" t="str">
        <f t="shared" si="2"/>
        <v xml:space="preserve"> </v>
      </c>
    </row>
    <row r="76" spans="1:6" ht="22.7" customHeight="1">
      <c r="A76" s="28"/>
      <c r="B76" s="29" t="str">
        <f>IFERROR(VLOOKUP(A76,Tabla1[],2,0)," ")</f>
        <v xml:space="preserve"> </v>
      </c>
      <c r="C76" s="29" t="str">
        <f>IFERROR(VLOOKUP(A76,Tabla1[],6,0)," ")</f>
        <v xml:space="preserve"> </v>
      </c>
      <c r="D76" s="30" t="str">
        <f>IFERROR(VLOOKUP(A76,Tabla1[],8,0)," ")</f>
        <v xml:space="preserve"> </v>
      </c>
      <c r="E76" s="31"/>
      <c r="F76" s="30" t="str">
        <f t="shared" si="2"/>
        <v xml:space="preserve"> </v>
      </c>
    </row>
    <row r="77" spans="1:6" ht="22.7" customHeight="1">
      <c r="A77" s="28"/>
      <c r="B77" s="29" t="str">
        <f>IFERROR(VLOOKUP(A77,Tabla1[],2,0)," ")</f>
        <v xml:space="preserve"> </v>
      </c>
      <c r="C77" s="29" t="str">
        <f>IFERROR(VLOOKUP(A77,Tabla1[],6,0)," ")</f>
        <v xml:space="preserve"> </v>
      </c>
      <c r="D77" s="30" t="str">
        <f>IFERROR(VLOOKUP(A77,Tabla1[],8,0)," ")</f>
        <v xml:space="preserve"> </v>
      </c>
      <c r="E77" s="31"/>
      <c r="F77" s="30" t="str">
        <f t="shared" si="2"/>
        <v xml:space="preserve"> </v>
      </c>
    </row>
    <row r="78" spans="1:6" ht="22.7" customHeight="1">
      <c r="A78" s="28"/>
      <c r="B78" s="29" t="str">
        <f>IFERROR(VLOOKUP(A78,Tabla1[],2,0)," ")</f>
        <v xml:space="preserve"> </v>
      </c>
      <c r="C78" s="29" t="str">
        <f>IFERROR(VLOOKUP(A78,Tabla1[],6,0)," ")</f>
        <v xml:space="preserve"> </v>
      </c>
      <c r="D78" s="30" t="str">
        <f>IFERROR(VLOOKUP(A78,Tabla1[],8,0)," ")</f>
        <v xml:space="preserve"> </v>
      </c>
      <c r="E78" s="31"/>
      <c r="F78" s="30" t="str">
        <f t="shared" si="2"/>
        <v xml:space="preserve"> </v>
      </c>
    </row>
    <row r="79" spans="1:6" ht="22.7" customHeight="1">
      <c r="A79" s="28"/>
      <c r="B79" s="29" t="str">
        <f>IFERROR(VLOOKUP(A79,Tabla1[],2,0)," ")</f>
        <v xml:space="preserve"> </v>
      </c>
      <c r="C79" s="29" t="str">
        <f>IFERROR(VLOOKUP(A79,Tabla1[],6,0)," ")</f>
        <v xml:space="preserve"> </v>
      </c>
      <c r="D79" s="30" t="str">
        <f>IFERROR(VLOOKUP(A79,Tabla1[],8,0)," ")</f>
        <v xml:space="preserve"> </v>
      </c>
      <c r="E79" s="31"/>
      <c r="F79" s="30" t="str">
        <f t="shared" si="2"/>
        <v xml:space="preserve"> </v>
      </c>
    </row>
    <row r="80" spans="1:6" ht="22.7" customHeight="1">
      <c r="A80" s="28"/>
      <c r="B80" s="29" t="str">
        <f>IFERROR(VLOOKUP(A80,Tabla1[],2,0)," ")</f>
        <v xml:space="preserve"> </v>
      </c>
      <c r="C80" s="29" t="str">
        <f>IFERROR(VLOOKUP(A80,Tabla1[],6,0)," ")</f>
        <v xml:space="preserve"> </v>
      </c>
      <c r="D80" s="30" t="str">
        <f>IFERROR(VLOOKUP(A80,Tabla1[],8,0)," ")</f>
        <v xml:space="preserve"> </v>
      </c>
      <c r="E80" s="31"/>
      <c r="F80" s="30" t="str">
        <f t="shared" si="2"/>
        <v xml:space="preserve"> </v>
      </c>
    </row>
    <row r="81" spans="1:6" ht="22.7" customHeight="1">
      <c r="A81" s="28"/>
      <c r="B81" s="29" t="str">
        <f>IFERROR(VLOOKUP(A81,Tabla1[],2,0)," ")</f>
        <v xml:space="preserve"> </v>
      </c>
      <c r="C81" s="29" t="str">
        <f>IFERROR(VLOOKUP(A81,Tabla1[],6,0)," ")</f>
        <v xml:space="preserve"> </v>
      </c>
      <c r="D81" s="30" t="str">
        <f>IFERROR(VLOOKUP(A81,Tabla1[],8,0)," ")</f>
        <v xml:space="preserve"> </v>
      </c>
      <c r="E81" s="31"/>
      <c r="F81" s="30" t="str">
        <f t="shared" si="2"/>
        <v xml:space="preserve"> </v>
      </c>
    </row>
    <row r="82" spans="1:6" ht="22.7" customHeight="1">
      <c r="A82" s="28"/>
      <c r="B82" s="29" t="str">
        <f>IFERROR(VLOOKUP(A82,Tabla1[],2,0)," ")</f>
        <v xml:space="preserve"> </v>
      </c>
      <c r="C82" s="29" t="str">
        <f>IFERROR(VLOOKUP(A82,Tabla1[],6,0)," ")</f>
        <v xml:space="preserve"> </v>
      </c>
      <c r="D82" s="30" t="str">
        <f>IFERROR(VLOOKUP(A82,Tabla1[],8,0)," ")</f>
        <v xml:space="preserve"> </v>
      </c>
      <c r="E82" s="31"/>
      <c r="F82" s="30" t="str">
        <f t="shared" si="2"/>
        <v xml:space="preserve"> </v>
      </c>
    </row>
    <row r="83" spans="1:6" ht="22.7" customHeight="1">
      <c r="A83" s="28"/>
      <c r="B83" s="29" t="str">
        <f>IFERROR(VLOOKUP(A83,Tabla1[],2,0)," ")</f>
        <v xml:space="preserve"> </v>
      </c>
      <c r="C83" s="29" t="str">
        <f>IFERROR(VLOOKUP(A83,Tabla1[],6,0)," ")</f>
        <v xml:space="preserve"> </v>
      </c>
      <c r="D83" s="30" t="str">
        <f>IFERROR(VLOOKUP(A83,Tabla1[],8,0)," ")</f>
        <v xml:space="preserve"> </v>
      </c>
      <c r="E83" s="31"/>
      <c r="F83" s="30" t="str">
        <f t="shared" si="2"/>
        <v xml:space="preserve"> </v>
      </c>
    </row>
    <row r="84" spans="1:6" ht="22.7" customHeight="1">
      <c r="A84" s="28"/>
      <c r="B84" s="29" t="str">
        <f>IFERROR(VLOOKUP(A84,Tabla1[],2,0)," ")</f>
        <v xml:space="preserve"> </v>
      </c>
      <c r="C84" s="29" t="str">
        <f>IFERROR(VLOOKUP(A84,Tabla1[],6,0)," ")</f>
        <v xml:space="preserve"> </v>
      </c>
      <c r="D84" s="30" t="str">
        <f>IFERROR(VLOOKUP(A84,Tabla1[],8,0)," ")</f>
        <v xml:space="preserve"> </v>
      </c>
      <c r="E84" s="31"/>
      <c r="F84" s="30" t="str">
        <f t="shared" si="2"/>
        <v xml:space="preserve"> </v>
      </c>
    </row>
    <row r="85" spans="1:6" ht="22.7" customHeight="1">
      <c r="A85" s="28"/>
      <c r="B85" s="29" t="str">
        <f>IFERROR(VLOOKUP(A85,Tabla1[],2,0)," ")</f>
        <v xml:space="preserve"> </v>
      </c>
      <c r="C85" s="29" t="str">
        <f>IFERROR(VLOOKUP(A85,Tabla1[],6,0)," ")</f>
        <v xml:space="preserve"> </v>
      </c>
      <c r="D85" s="30" t="str">
        <f>IFERROR(VLOOKUP(A85,Tabla1[],8,0)," ")</f>
        <v xml:space="preserve"> </v>
      </c>
      <c r="E85" s="31"/>
      <c r="F85" s="30" t="str">
        <f t="shared" si="2"/>
        <v xml:space="preserve"> </v>
      </c>
    </row>
    <row r="86" spans="1:6" ht="22.7" customHeight="1">
      <c r="A86" s="28"/>
      <c r="B86" s="29" t="str">
        <f>IFERROR(VLOOKUP(A86,Tabla1[],2,0)," ")</f>
        <v xml:space="preserve"> </v>
      </c>
      <c r="C86" s="29" t="str">
        <f>IFERROR(VLOOKUP(A86,Tabla1[],6,0)," ")</f>
        <v xml:space="preserve"> </v>
      </c>
      <c r="D86" s="30" t="str">
        <f>IFERROR(VLOOKUP(A86,Tabla1[],8,0)," ")</f>
        <v xml:space="preserve"> </v>
      </c>
      <c r="E86" s="31"/>
      <c r="F86" s="30" t="str">
        <f t="shared" si="2"/>
        <v xml:space="preserve"> </v>
      </c>
    </row>
    <row r="87" spans="1:6" ht="22.7" customHeight="1">
      <c r="A87" s="28"/>
      <c r="B87" s="29" t="str">
        <f>IFERROR(VLOOKUP(A87,Tabla1[],2,0)," ")</f>
        <v xml:space="preserve"> </v>
      </c>
      <c r="C87" s="29" t="str">
        <f>IFERROR(VLOOKUP(A87,Tabla1[],6,0)," ")</f>
        <v xml:space="preserve"> </v>
      </c>
      <c r="D87" s="30" t="str">
        <f>IFERROR(VLOOKUP(A87,Tabla1[],8,0)," ")</f>
        <v xml:space="preserve"> </v>
      </c>
      <c r="E87" s="31"/>
      <c r="F87" s="30" t="str">
        <f t="shared" si="2"/>
        <v xml:space="preserve"> </v>
      </c>
    </row>
    <row r="88" spans="1:6" ht="22.7" customHeight="1">
      <c r="A88" s="28"/>
      <c r="B88" s="29" t="str">
        <f>IFERROR(VLOOKUP(A88,Tabla1[],2,0)," ")</f>
        <v xml:space="preserve"> </v>
      </c>
      <c r="C88" s="29" t="str">
        <f>IFERROR(VLOOKUP(A88,Tabla1[],6,0)," ")</f>
        <v xml:space="preserve"> </v>
      </c>
      <c r="D88" s="30" t="str">
        <f>IFERROR(VLOOKUP(A88,Tabla1[],8,0)," ")</f>
        <v xml:space="preserve"> </v>
      </c>
      <c r="E88" s="31"/>
      <c r="F88" s="30" t="str">
        <f t="shared" si="2"/>
        <v xml:space="preserve"> </v>
      </c>
    </row>
    <row r="89" spans="1:6" ht="22.7" customHeight="1">
      <c r="A89" s="28"/>
      <c r="B89" s="29" t="str">
        <f>IFERROR(VLOOKUP(A89,Tabla1[],2,0)," ")</f>
        <v xml:space="preserve"> </v>
      </c>
      <c r="C89" s="29" t="str">
        <f>IFERROR(VLOOKUP(A89,Tabla1[],6,0)," ")</f>
        <v xml:space="preserve"> </v>
      </c>
      <c r="D89" s="30" t="str">
        <f>IFERROR(VLOOKUP(A89,Tabla1[],8,0)," ")</f>
        <v xml:space="preserve"> </v>
      </c>
      <c r="E89" s="31"/>
      <c r="F89" s="30" t="str">
        <f t="shared" si="2"/>
        <v xml:space="preserve"> </v>
      </c>
    </row>
    <row r="90" spans="1:6" ht="22.7" customHeight="1">
      <c r="A90" s="28"/>
      <c r="B90" s="29" t="str">
        <f>IFERROR(VLOOKUP(A90,Tabla1[],2,0)," ")</f>
        <v xml:space="preserve"> </v>
      </c>
      <c r="C90" s="29" t="str">
        <f>IFERROR(VLOOKUP(A90,Tabla1[],6,0)," ")</f>
        <v xml:space="preserve"> </v>
      </c>
      <c r="D90" s="30" t="str">
        <f>IFERROR(VLOOKUP(A90,Tabla1[],8,0)," ")</f>
        <v xml:space="preserve"> </v>
      </c>
      <c r="E90" s="31"/>
      <c r="F90" s="30" t="str">
        <f t="shared" si="2"/>
        <v xml:space="preserve"> </v>
      </c>
    </row>
    <row r="91" spans="1:6" ht="22.7" customHeight="1">
      <c r="A91" s="28"/>
      <c r="B91" s="29" t="str">
        <f>IFERROR(VLOOKUP(A91,Tabla1[],2,0)," ")</f>
        <v xml:space="preserve"> </v>
      </c>
      <c r="C91" s="29" t="str">
        <f>IFERROR(VLOOKUP(A91,Tabla1[],6,0)," ")</f>
        <v xml:space="preserve"> </v>
      </c>
      <c r="D91" s="30" t="str">
        <f>IFERROR(VLOOKUP(A91,Tabla1[],8,0)," ")</f>
        <v xml:space="preserve"> </v>
      </c>
      <c r="E91" s="31"/>
      <c r="F91" s="30" t="str">
        <f t="shared" si="2"/>
        <v xml:space="preserve"> </v>
      </c>
    </row>
    <row r="92" spans="1:6" ht="22.7" customHeight="1">
      <c r="A92" s="28"/>
      <c r="B92" s="29" t="str">
        <f>IFERROR(VLOOKUP(A92,Tabla1[],2,0)," ")</f>
        <v xml:space="preserve"> </v>
      </c>
      <c r="C92" s="29" t="str">
        <f>IFERROR(VLOOKUP(A92,Tabla1[],6,0)," ")</f>
        <v xml:space="preserve"> </v>
      </c>
      <c r="D92" s="30" t="str">
        <f>IFERROR(VLOOKUP(A92,Tabla1[],8,0)," ")</f>
        <v xml:space="preserve"> </v>
      </c>
      <c r="E92" s="31"/>
      <c r="F92" s="30" t="str">
        <f t="shared" si="2"/>
        <v xml:space="preserve"> </v>
      </c>
    </row>
    <row r="93" spans="1:6" ht="22.7" customHeight="1">
      <c r="A93" s="28"/>
      <c r="B93" s="29" t="str">
        <f>IFERROR(VLOOKUP(A93,Tabla1[],2,0)," ")</f>
        <v xml:space="preserve"> </v>
      </c>
      <c r="C93" s="29" t="str">
        <f>IFERROR(VLOOKUP(A93,Tabla1[],6,0)," ")</f>
        <v xml:space="preserve"> </v>
      </c>
      <c r="D93" s="30" t="str">
        <f>IFERROR(VLOOKUP(A93,Tabla1[],8,0)," ")</f>
        <v xml:space="preserve"> </v>
      </c>
      <c r="E93" s="31"/>
      <c r="F93" s="30" t="str">
        <f t="shared" si="2"/>
        <v xml:space="preserve"> </v>
      </c>
    </row>
    <row r="94" spans="1:6" ht="22.7" customHeight="1">
      <c r="A94" s="28"/>
      <c r="B94" s="29" t="str">
        <f>IFERROR(VLOOKUP(A94,Tabla1[],2,0)," ")</f>
        <v xml:space="preserve"> </v>
      </c>
      <c r="C94" s="29" t="str">
        <f>IFERROR(VLOOKUP(A94,Tabla1[],6,0)," ")</f>
        <v xml:space="preserve"> </v>
      </c>
      <c r="D94" s="30" t="str">
        <f>IFERROR(VLOOKUP(A94,Tabla1[],8,0)," ")</f>
        <v xml:space="preserve"> </v>
      </c>
      <c r="E94" s="31"/>
      <c r="F94" s="30" t="str">
        <f t="shared" si="2"/>
        <v xml:space="preserve"> </v>
      </c>
    </row>
    <row r="95" spans="1:6" ht="22.7" customHeight="1">
      <c r="A95" s="28"/>
      <c r="B95" s="29" t="str">
        <f>IFERROR(VLOOKUP(A95,Tabla1[],2,0)," ")</f>
        <v xml:space="preserve"> </v>
      </c>
      <c r="C95" s="29" t="str">
        <f>IFERROR(VLOOKUP(A95,Tabla1[],6,0)," ")</f>
        <v xml:space="preserve"> </v>
      </c>
      <c r="D95" s="30" t="str">
        <f>IFERROR(VLOOKUP(A95,Tabla1[],8,0)," ")</f>
        <v xml:space="preserve"> </v>
      </c>
      <c r="E95" s="31"/>
      <c r="F95" s="30" t="str">
        <f t="shared" si="2"/>
        <v xml:space="preserve"> </v>
      </c>
    </row>
    <row r="96" spans="1:6" ht="22.7" customHeight="1">
      <c r="A96" s="28"/>
      <c r="B96" s="29" t="str">
        <f>IFERROR(VLOOKUP(A96,Tabla1[],2,0)," ")</f>
        <v xml:space="preserve"> </v>
      </c>
      <c r="C96" s="29" t="str">
        <f>IFERROR(VLOOKUP(A96,Tabla1[],6,0)," ")</f>
        <v xml:space="preserve"> </v>
      </c>
      <c r="D96" s="30" t="str">
        <f>IFERROR(VLOOKUP(A96,Tabla1[],8,0)," ")</f>
        <v xml:space="preserve"> </v>
      </c>
      <c r="E96" s="31"/>
      <c r="F96" s="30" t="str">
        <f t="shared" si="2"/>
        <v xml:space="preserve"> </v>
      </c>
    </row>
    <row r="97" spans="1:6" ht="22.7" customHeight="1">
      <c r="A97" s="28"/>
      <c r="B97" s="29" t="str">
        <f>IFERROR(VLOOKUP(A97,Tabla1[],2,0)," ")</f>
        <v xml:space="preserve"> </v>
      </c>
      <c r="C97" s="29" t="str">
        <f>IFERROR(VLOOKUP(A97,Tabla1[],6,0)," ")</f>
        <v xml:space="preserve"> </v>
      </c>
      <c r="D97" s="30" t="str">
        <f>IFERROR(VLOOKUP(A97,Tabla1[],8,0)," ")</f>
        <v xml:space="preserve"> </v>
      </c>
      <c r="E97" s="31"/>
      <c r="F97" s="30" t="str">
        <f t="shared" si="2"/>
        <v xml:space="preserve"> </v>
      </c>
    </row>
    <row r="98" spans="1:6" ht="22.7" customHeight="1">
      <c r="A98" s="28"/>
      <c r="B98" s="29" t="str">
        <f>IFERROR(VLOOKUP(A98,Tabla1[],2,0)," ")</f>
        <v xml:space="preserve"> </v>
      </c>
      <c r="C98" s="29" t="str">
        <f>IFERROR(VLOOKUP(A98,Tabla1[],6,0)," ")</f>
        <v xml:space="preserve"> </v>
      </c>
      <c r="D98" s="30" t="str">
        <f>IFERROR(VLOOKUP(A98,Tabla1[],8,0)," ")</f>
        <v xml:space="preserve"> </v>
      </c>
      <c r="E98" s="31"/>
      <c r="F98" s="30" t="str">
        <f t="shared" si="2"/>
        <v xml:space="preserve"> </v>
      </c>
    </row>
    <row r="99" spans="1:6" ht="22.7" customHeight="1">
      <c r="A99" s="28"/>
      <c r="B99" s="29" t="str">
        <f>IFERROR(VLOOKUP(A99,Tabla1[],2,0)," ")</f>
        <v xml:space="preserve"> </v>
      </c>
      <c r="C99" s="29" t="str">
        <f>IFERROR(VLOOKUP(A99,Tabla1[],6,0)," ")</f>
        <v xml:space="preserve"> </v>
      </c>
      <c r="D99" s="30" t="str">
        <f>IFERROR(VLOOKUP(A99,Tabla1[],8,0)," ")</f>
        <v xml:space="preserve"> </v>
      </c>
      <c r="E99" s="31"/>
      <c r="F99" s="30" t="str">
        <f t="shared" si="2"/>
        <v xml:space="preserve"> </v>
      </c>
    </row>
    <row r="100" spans="1:6" ht="22.7" customHeight="1">
      <c r="A100" s="28"/>
      <c r="B100" s="29" t="str">
        <f>IFERROR(VLOOKUP(A100,Tabla1[],2,0)," ")</f>
        <v xml:space="preserve"> </v>
      </c>
      <c r="C100" s="29" t="str">
        <f>IFERROR(VLOOKUP(A100,Tabla1[],6,0)," ")</f>
        <v xml:space="preserve"> </v>
      </c>
      <c r="D100" s="30" t="str">
        <f>IFERROR(VLOOKUP(A100,Tabla1[],8,0)," ")</f>
        <v xml:space="preserve"> </v>
      </c>
      <c r="E100" s="31"/>
      <c r="F100" s="30" t="str">
        <f t="shared" si="2"/>
        <v xml:space="preserve"> </v>
      </c>
    </row>
    <row r="101" spans="1:6" ht="22.7" customHeight="1">
      <c r="A101" s="28"/>
      <c r="B101" s="29" t="str">
        <f>IFERROR(VLOOKUP(A101,Tabla1[],2,0)," ")</f>
        <v xml:space="preserve"> </v>
      </c>
      <c r="C101" s="29" t="str">
        <f>IFERROR(VLOOKUP(A101,Tabla1[],6,0)," ")</f>
        <v xml:space="preserve"> </v>
      </c>
      <c r="D101" s="30" t="str">
        <f>IFERROR(VLOOKUP(A101,Tabla1[],8,0)," ")</f>
        <v xml:space="preserve"> </v>
      </c>
      <c r="E101" s="31"/>
      <c r="F101" s="30" t="str">
        <f t="shared" si="2"/>
        <v xml:space="preserve"> </v>
      </c>
    </row>
    <row r="102" spans="1:6" ht="22.7" customHeight="1">
      <c r="A102" s="28"/>
      <c r="B102" s="29" t="str">
        <f>IFERROR(VLOOKUP(A102,Tabla1[],2,0)," ")</f>
        <v xml:space="preserve"> </v>
      </c>
      <c r="C102" s="29" t="str">
        <f>IFERROR(VLOOKUP(A102,Tabla1[],6,0)," ")</f>
        <v xml:space="preserve"> </v>
      </c>
      <c r="D102" s="30" t="str">
        <f>IFERROR(VLOOKUP(A102,Tabla1[],8,0)," ")</f>
        <v xml:space="preserve"> </v>
      </c>
      <c r="E102" s="31"/>
      <c r="F102" s="30" t="str">
        <f t="shared" si="2"/>
        <v xml:space="preserve"> </v>
      </c>
    </row>
    <row r="103" spans="1:6" ht="22.7" customHeight="1">
      <c r="A103" s="28"/>
      <c r="B103" s="29" t="str">
        <f>IFERROR(VLOOKUP(A103,Tabla1[],2,0)," ")</f>
        <v xml:space="preserve"> </v>
      </c>
      <c r="C103" s="29" t="str">
        <f>IFERROR(VLOOKUP(A103,Tabla1[],6,0)," ")</f>
        <v xml:space="preserve"> </v>
      </c>
      <c r="D103" s="30" t="str">
        <f>IFERROR(VLOOKUP(A103,Tabla1[],8,0)," ")</f>
        <v xml:space="preserve"> </v>
      </c>
      <c r="E103" s="31"/>
      <c r="F103" s="30" t="str">
        <f t="shared" si="2"/>
        <v xml:space="preserve"> </v>
      </c>
    </row>
    <row r="104" spans="1:6" ht="22.7" customHeight="1">
      <c r="A104" s="28"/>
      <c r="B104" s="29" t="str">
        <f>IFERROR(VLOOKUP(A104,Tabla1[],2,0)," ")</f>
        <v xml:space="preserve"> </v>
      </c>
      <c r="C104" s="29" t="str">
        <f>IFERROR(VLOOKUP(A104,Tabla1[],6,0)," ")</f>
        <v xml:space="preserve"> </v>
      </c>
      <c r="D104" s="30" t="str">
        <f>IFERROR(VLOOKUP(A104,Tabla1[],8,0)," ")</f>
        <v xml:space="preserve"> </v>
      </c>
      <c r="E104" s="31"/>
      <c r="F104" s="30" t="str">
        <f t="shared" si="2"/>
        <v xml:space="preserve"> </v>
      </c>
    </row>
    <row r="105" spans="1:6" ht="22.7" customHeight="1">
      <c r="A105" s="28"/>
      <c r="B105" s="29" t="str">
        <f>IFERROR(VLOOKUP(A105,Tabla1[],2,0)," ")</f>
        <v xml:space="preserve"> </v>
      </c>
      <c r="C105" s="29" t="str">
        <f>IFERROR(VLOOKUP(A105,Tabla1[],6,0)," ")</f>
        <v xml:space="preserve"> </v>
      </c>
      <c r="D105" s="30" t="str">
        <f>IFERROR(VLOOKUP(A105,Tabla1[],8,0)," ")</f>
        <v xml:space="preserve"> </v>
      </c>
      <c r="E105" s="31"/>
      <c r="F105" s="30" t="str">
        <f t="shared" si="2"/>
        <v xml:space="preserve"> </v>
      </c>
    </row>
    <row r="106" spans="1:6" ht="22.7" customHeight="1">
      <c r="A106" s="28"/>
      <c r="B106" s="29" t="str">
        <f>IFERROR(VLOOKUP(A106,Tabla1[],2,0)," ")</f>
        <v xml:space="preserve"> </v>
      </c>
      <c r="C106" s="29" t="str">
        <f>IFERROR(VLOOKUP(A106,Tabla1[],6,0)," ")</f>
        <v xml:space="preserve"> </v>
      </c>
      <c r="D106" s="30" t="str">
        <f>IFERROR(VLOOKUP(A106,Tabla1[],8,0)," ")</f>
        <v xml:space="preserve"> </v>
      </c>
      <c r="E106" s="31"/>
      <c r="F106" s="30" t="str">
        <f t="shared" si="2"/>
        <v xml:space="preserve"> </v>
      </c>
    </row>
    <row r="107" spans="1:6" ht="22.7" customHeight="1">
      <c r="A107" s="28"/>
      <c r="B107" s="29" t="str">
        <f>IFERROR(VLOOKUP(A107,Tabla1[],2,0)," ")</f>
        <v xml:space="preserve"> </v>
      </c>
      <c r="C107" s="29" t="str">
        <f>IFERROR(VLOOKUP(A107,Tabla1[],6,0)," ")</f>
        <v xml:space="preserve"> </v>
      </c>
      <c r="D107" s="30" t="str">
        <f>IFERROR(VLOOKUP(A107,Tabla1[],8,0)," ")</f>
        <v xml:space="preserve"> </v>
      </c>
      <c r="E107" s="31"/>
      <c r="F107" s="30" t="str">
        <f t="shared" si="2"/>
        <v xml:space="preserve"> </v>
      </c>
    </row>
    <row r="108" spans="1:6" ht="22.7" customHeight="1">
      <c r="A108" s="28"/>
      <c r="B108" s="29" t="str">
        <f>IFERROR(VLOOKUP(A108,Tabla1[],2,0)," ")</f>
        <v xml:space="preserve"> </v>
      </c>
      <c r="C108" s="29" t="str">
        <f>IFERROR(VLOOKUP(A108,Tabla1[],6,0)," ")</f>
        <v xml:space="preserve"> </v>
      </c>
      <c r="D108" s="30" t="str">
        <f>IFERROR(VLOOKUP(A108,Tabla1[],8,0)," ")</f>
        <v xml:space="preserve"> </v>
      </c>
      <c r="E108" s="31"/>
      <c r="F108" s="30" t="str">
        <f t="shared" si="2"/>
        <v xml:space="preserve"> </v>
      </c>
    </row>
    <row r="109" spans="1:6" ht="22.7" customHeight="1">
      <c r="A109" s="28"/>
      <c r="B109" s="29" t="str">
        <f>IFERROR(VLOOKUP(A109,Tabla1[],2,0)," ")</f>
        <v xml:space="preserve"> </v>
      </c>
      <c r="C109" s="29" t="str">
        <f>IFERROR(VLOOKUP(A109,Tabla1[],6,0)," ")</f>
        <v xml:space="preserve"> </v>
      </c>
      <c r="D109" s="30" t="str">
        <f>IFERROR(VLOOKUP(A109,Tabla1[],8,0)," ")</f>
        <v xml:space="preserve"> </v>
      </c>
      <c r="E109" s="31"/>
      <c r="F109" s="30" t="str">
        <f t="shared" si="2"/>
        <v xml:space="preserve"> </v>
      </c>
    </row>
    <row r="110" spans="1:6" ht="22.7" customHeight="1">
      <c r="A110" s="28"/>
      <c r="B110" s="29" t="str">
        <f>IFERROR(VLOOKUP(A110,Tabla1[],2,0)," ")</f>
        <v xml:space="preserve"> </v>
      </c>
      <c r="C110" s="29" t="str">
        <f>IFERROR(VLOOKUP(A110,Tabla1[],6,0)," ")</f>
        <v xml:space="preserve"> </v>
      </c>
      <c r="D110" s="30" t="str">
        <f>IFERROR(VLOOKUP(A110,Tabla1[],8,0)," ")</f>
        <v xml:space="preserve"> </v>
      </c>
      <c r="E110" s="31"/>
      <c r="F110" s="30" t="str">
        <f t="shared" si="2"/>
        <v xml:space="preserve"> </v>
      </c>
    </row>
    <row r="111" spans="1:6" ht="22.7" customHeight="1">
      <c r="A111" s="28"/>
      <c r="B111" s="29" t="str">
        <f>IFERROR(VLOOKUP(A111,Tabla1[],2,0)," ")</f>
        <v xml:space="preserve"> </v>
      </c>
      <c r="C111" s="29" t="str">
        <f>IFERROR(VLOOKUP(A111,Tabla1[],6,0)," ")</f>
        <v xml:space="preserve"> </v>
      </c>
      <c r="D111" s="30" t="str">
        <f>IFERROR(VLOOKUP(A111,Tabla1[],8,0)," ")</f>
        <v xml:space="preserve"> </v>
      </c>
      <c r="E111" s="31"/>
      <c r="F111" s="30" t="str">
        <f t="shared" si="2"/>
        <v xml:space="preserve"> </v>
      </c>
    </row>
    <row r="112" spans="1:6" ht="22.7" customHeight="1">
      <c r="A112" s="28"/>
      <c r="B112" s="29" t="str">
        <f>IFERROR(VLOOKUP(A112,Tabla1[],2,0)," ")</f>
        <v xml:space="preserve"> </v>
      </c>
      <c r="C112" s="29" t="str">
        <f>IFERROR(VLOOKUP(A112,Tabla1[],6,0)," ")</f>
        <v xml:space="preserve"> </v>
      </c>
      <c r="D112" s="30" t="str">
        <f>IFERROR(VLOOKUP(A112,Tabla1[],8,0)," ")</f>
        <v xml:space="preserve"> </v>
      </c>
      <c r="E112" s="31"/>
      <c r="F112" s="30" t="str">
        <f t="shared" si="2"/>
        <v xml:space="preserve"> </v>
      </c>
    </row>
    <row r="113" spans="1:6" ht="22.7" customHeight="1">
      <c r="A113" s="28"/>
      <c r="B113" s="29" t="str">
        <f>IFERROR(VLOOKUP(A113,Tabla1[],2,0)," ")</f>
        <v xml:space="preserve"> </v>
      </c>
      <c r="C113" s="29" t="str">
        <f>IFERROR(VLOOKUP(A113,Tabla1[],6,0)," ")</f>
        <v xml:space="preserve"> </v>
      </c>
      <c r="D113" s="30" t="str">
        <f>IFERROR(VLOOKUP(A113,Tabla1[],8,0)," ")</f>
        <v xml:space="preserve"> </v>
      </c>
      <c r="E113" s="31"/>
      <c r="F113" s="30" t="str">
        <f t="shared" si="2"/>
        <v xml:space="preserve"> </v>
      </c>
    </row>
    <row r="114" spans="1:6" ht="22.7" customHeight="1">
      <c r="A114" s="28"/>
      <c r="B114" s="29" t="str">
        <f>IFERROR(VLOOKUP(A114,Tabla1[],2,0)," ")</f>
        <v xml:space="preserve"> </v>
      </c>
      <c r="C114" s="29" t="str">
        <f>IFERROR(VLOOKUP(A114,Tabla1[],6,0)," ")</f>
        <v xml:space="preserve"> </v>
      </c>
      <c r="D114" s="30" t="str">
        <f>IFERROR(VLOOKUP(A114,Tabla1[],8,0)," ")</f>
        <v xml:space="preserve"> </v>
      </c>
      <c r="E114" s="31"/>
      <c r="F114" s="30" t="str">
        <f t="shared" si="2"/>
        <v xml:space="preserve"> </v>
      </c>
    </row>
    <row r="115" spans="1:6" ht="22.7" customHeight="1">
      <c r="A115" s="28"/>
      <c r="B115" s="29" t="str">
        <f>IFERROR(VLOOKUP(A115,Tabla1[],2,0)," ")</f>
        <v xml:space="preserve"> </v>
      </c>
      <c r="C115" s="29" t="str">
        <f>IFERROR(VLOOKUP(A115,Tabla1[],6,0)," ")</f>
        <v xml:space="preserve"> </v>
      </c>
      <c r="D115" s="30" t="str">
        <f>IFERROR(VLOOKUP(A115,Tabla1[],8,0)," ")</f>
        <v xml:space="preserve"> </v>
      </c>
      <c r="E115" s="31"/>
      <c r="F115" s="30" t="str">
        <f t="shared" si="2"/>
        <v xml:space="preserve"> </v>
      </c>
    </row>
    <row r="116" spans="1:6" ht="22.7" customHeight="1">
      <c r="A116" s="28"/>
      <c r="B116" s="29" t="str">
        <f>IFERROR(VLOOKUP(A116,Tabla1[],2,0)," ")</f>
        <v xml:space="preserve"> </v>
      </c>
      <c r="C116" s="29" t="str">
        <f>IFERROR(VLOOKUP(A116,Tabla1[],6,0)," ")</f>
        <v xml:space="preserve"> </v>
      </c>
      <c r="D116" s="30" t="str">
        <f>IFERROR(VLOOKUP(A116,Tabla1[],8,0)," ")</f>
        <v xml:space="preserve"> </v>
      </c>
      <c r="E116" s="31"/>
      <c r="F116" s="30" t="str">
        <f t="shared" si="2"/>
        <v xml:space="preserve"> </v>
      </c>
    </row>
    <row r="117" spans="1:6" ht="22.7" customHeight="1">
      <c r="A117" s="28"/>
      <c r="B117" s="29" t="str">
        <f>IFERROR(VLOOKUP(A117,Tabla1[],2,0)," ")</f>
        <v xml:space="preserve"> </v>
      </c>
      <c r="C117" s="29" t="str">
        <f>IFERROR(VLOOKUP(A117,Tabla1[],6,0)," ")</f>
        <v xml:space="preserve"> </v>
      </c>
      <c r="D117" s="30" t="str">
        <f>IFERROR(VLOOKUP(A117,Tabla1[],8,0)," ")</f>
        <v xml:space="preserve"> </v>
      </c>
      <c r="E117" s="31"/>
      <c r="F117" s="30" t="str">
        <f t="shared" si="2"/>
        <v xml:space="preserve"> </v>
      </c>
    </row>
    <row r="118" spans="1:6" ht="22.7" customHeight="1">
      <c r="A118" s="28"/>
      <c r="B118" s="29" t="str">
        <f>IFERROR(VLOOKUP(A118,Tabla1[],2,0)," ")</f>
        <v xml:space="preserve"> </v>
      </c>
      <c r="C118" s="29" t="str">
        <f>IFERROR(VLOOKUP(A118,Tabla1[],6,0)," ")</f>
        <v xml:space="preserve"> </v>
      </c>
      <c r="D118" s="30" t="str">
        <f>IFERROR(VLOOKUP(A118,Tabla1[],8,0)," ")</f>
        <v xml:space="preserve"> </v>
      </c>
      <c r="E118" s="31"/>
      <c r="F118" s="30" t="str">
        <f t="shared" si="2"/>
        <v xml:space="preserve"> </v>
      </c>
    </row>
    <row r="119" spans="1:6" ht="22.7" customHeight="1">
      <c r="A119" s="28"/>
      <c r="B119" s="29" t="str">
        <f>IFERROR(VLOOKUP(A119,Tabla1[],2,0)," ")</f>
        <v xml:space="preserve"> </v>
      </c>
      <c r="C119" s="29" t="str">
        <f>IFERROR(VLOOKUP(A119,Tabla1[],6,0)," ")</f>
        <v xml:space="preserve"> </v>
      </c>
      <c r="D119" s="30" t="str">
        <f>IFERROR(VLOOKUP(A119,Tabla1[],8,0)," ")</f>
        <v xml:space="preserve"> </v>
      </c>
      <c r="E119" s="31"/>
      <c r="F119" s="30" t="str">
        <f t="shared" si="2"/>
        <v xml:space="preserve"> </v>
      </c>
    </row>
    <row r="120" spans="1:6" ht="22.7" customHeight="1">
      <c r="A120" s="28"/>
      <c r="B120" s="29" t="str">
        <f>IFERROR(VLOOKUP(A120,Tabla1[],2,0)," ")</f>
        <v xml:space="preserve"> </v>
      </c>
      <c r="C120" s="29" t="str">
        <f>IFERROR(VLOOKUP(A120,Tabla1[],6,0)," ")</f>
        <v xml:space="preserve"> </v>
      </c>
      <c r="D120" s="30" t="str">
        <f>IFERROR(VLOOKUP(A120,Tabla1[],8,0)," ")</f>
        <v xml:space="preserve"> </v>
      </c>
      <c r="E120" s="31"/>
      <c r="F120" s="30" t="str">
        <f t="shared" si="2"/>
        <v xml:space="preserve"> </v>
      </c>
    </row>
    <row r="121" spans="1:6" ht="22.7" customHeight="1">
      <c r="A121" s="28"/>
      <c r="B121" s="29" t="str">
        <f>IFERROR(VLOOKUP(A121,Tabla1[],2,0)," ")</f>
        <v xml:space="preserve"> </v>
      </c>
      <c r="C121" s="29" t="str">
        <f>IFERROR(VLOOKUP(A121,Tabla1[],6,0)," ")</f>
        <v xml:space="preserve"> </v>
      </c>
      <c r="D121" s="30" t="str">
        <f>IFERROR(VLOOKUP(A121,Tabla1[],8,0)," ")</f>
        <v xml:space="preserve"> </v>
      </c>
      <c r="E121" s="31"/>
      <c r="F121" s="30" t="str">
        <f t="shared" si="2"/>
        <v xml:space="preserve"> </v>
      </c>
    </row>
    <row r="122" spans="1:6" ht="22.7" customHeight="1">
      <c r="A122" s="28"/>
      <c r="B122" s="29" t="str">
        <f>IFERROR(VLOOKUP(A122,Tabla1[],2,0)," ")</f>
        <v xml:space="preserve"> </v>
      </c>
      <c r="C122" s="29" t="str">
        <f>IFERROR(VLOOKUP(A122,Tabla1[],6,0)," ")</f>
        <v xml:space="preserve"> </v>
      </c>
      <c r="D122" s="30" t="str">
        <f>IFERROR(VLOOKUP(A122,Tabla1[],8,0)," ")</f>
        <v xml:space="preserve"> </v>
      </c>
      <c r="E122" s="31"/>
      <c r="F122" s="30" t="str">
        <f t="shared" si="2"/>
        <v xml:space="preserve"> </v>
      </c>
    </row>
    <row r="123" spans="1:6" ht="22.7" customHeight="1">
      <c r="A123" s="28"/>
      <c r="B123" s="29" t="str">
        <f>IFERROR(VLOOKUP(A123,Tabla1[],2,0)," ")</f>
        <v xml:space="preserve"> </v>
      </c>
      <c r="C123" s="29" t="str">
        <f>IFERROR(VLOOKUP(A123,Tabla1[],6,0)," ")</f>
        <v xml:space="preserve"> </v>
      </c>
      <c r="D123" s="30" t="str">
        <f>IFERROR(VLOOKUP(A123,Tabla1[],8,0)," ")</f>
        <v xml:space="preserve"> </v>
      </c>
      <c r="E123" s="31"/>
      <c r="F123" s="30" t="str">
        <f t="shared" si="2"/>
        <v xml:space="preserve"> </v>
      </c>
    </row>
    <row r="124" spans="1:6" ht="22.7" customHeight="1">
      <c r="A124" s="28"/>
      <c r="B124" s="29" t="str">
        <f>IFERROR(VLOOKUP(A124,Tabla1[],2,0)," ")</f>
        <v xml:space="preserve"> </v>
      </c>
      <c r="C124" s="29" t="str">
        <f>IFERROR(VLOOKUP(A124,Tabla1[],6,0)," ")</f>
        <v xml:space="preserve"> </v>
      </c>
      <c r="D124" s="30" t="str">
        <f>IFERROR(VLOOKUP(A124,Tabla1[],8,0)," ")</f>
        <v xml:space="preserve"> </v>
      </c>
      <c r="E124" s="31"/>
      <c r="F124" s="30" t="str">
        <f t="shared" si="2"/>
        <v xml:space="preserve"> </v>
      </c>
    </row>
    <row r="125" spans="1:6" ht="22.7" customHeight="1">
      <c r="A125" s="28"/>
      <c r="B125" s="29" t="str">
        <f>IFERROR(VLOOKUP(A125,Tabla1[],2,0)," ")</f>
        <v xml:space="preserve"> </v>
      </c>
      <c r="C125" s="29" t="str">
        <f>IFERROR(VLOOKUP(A125,Tabla1[],6,0)," ")</f>
        <v xml:space="preserve"> </v>
      </c>
      <c r="D125" s="30" t="str">
        <f>IFERROR(VLOOKUP(A125,Tabla1[],8,0)," ")</f>
        <v xml:space="preserve"> </v>
      </c>
      <c r="E125" s="31"/>
      <c r="F125" s="30" t="str">
        <f t="shared" si="2"/>
        <v xml:space="preserve"> </v>
      </c>
    </row>
    <row r="126" spans="1:6" ht="22.7" customHeight="1">
      <c r="A126" s="28"/>
      <c r="B126" s="29" t="str">
        <f>IFERROR(VLOOKUP(A126,Tabla1[],2,0)," ")</f>
        <v xml:space="preserve"> </v>
      </c>
      <c r="C126" s="29" t="str">
        <f>IFERROR(VLOOKUP(A126,Tabla1[],6,0)," ")</f>
        <v xml:space="preserve"> </v>
      </c>
      <c r="D126" s="30" t="str">
        <f>IFERROR(VLOOKUP(A126,Tabla1[],8,0)," ")</f>
        <v xml:space="preserve"> </v>
      </c>
      <c r="E126" s="31"/>
      <c r="F126" s="30" t="str">
        <f t="shared" si="2"/>
        <v xml:space="preserve"> </v>
      </c>
    </row>
    <row r="127" spans="1:6" ht="22.7" customHeight="1">
      <c r="A127" s="28"/>
      <c r="B127" s="29" t="str">
        <f>IFERROR(VLOOKUP(A127,Tabla1[],2,0)," ")</f>
        <v xml:space="preserve"> </v>
      </c>
      <c r="C127" s="29" t="str">
        <f>IFERROR(VLOOKUP(A127,Tabla1[],6,0)," ")</f>
        <v xml:space="preserve"> </v>
      </c>
      <c r="D127" s="30" t="str">
        <f>IFERROR(VLOOKUP(A127,Tabla1[],8,0)," ")</f>
        <v xml:space="preserve"> </v>
      </c>
      <c r="E127" s="31"/>
      <c r="F127" s="30" t="str">
        <f t="shared" si="2"/>
        <v xml:space="preserve"> </v>
      </c>
    </row>
    <row r="128" spans="1:6" ht="22.7" customHeight="1">
      <c r="A128" s="28"/>
      <c r="B128" s="29" t="str">
        <f>IFERROR(VLOOKUP(A128,Tabla1[],2,0)," ")</f>
        <v xml:space="preserve"> </v>
      </c>
      <c r="C128" s="29" t="str">
        <f>IFERROR(VLOOKUP(A128,Tabla1[],6,0)," ")</f>
        <v xml:space="preserve"> </v>
      </c>
      <c r="D128" s="30" t="str">
        <f>IFERROR(VLOOKUP(A128,Tabla1[],8,0)," ")</f>
        <v xml:space="preserve"> </v>
      </c>
      <c r="E128" s="31"/>
      <c r="F128" s="30" t="str">
        <f t="shared" si="2"/>
        <v xml:space="preserve"> </v>
      </c>
    </row>
    <row r="129" spans="1:6" ht="22.7" customHeight="1">
      <c r="A129" s="28"/>
      <c r="B129" s="29" t="str">
        <f>IFERROR(VLOOKUP(A129,Tabla1[],2,0)," ")</f>
        <v xml:space="preserve"> </v>
      </c>
      <c r="C129" s="29" t="str">
        <f>IFERROR(VLOOKUP(A129,Tabla1[],6,0)," ")</f>
        <v xml:space="preserve"> </v>
      </c>
      <c r="D129" s="30" t="str">
        <f>IFERROR(VLOOKUP(A129,Tabla1[],8,0)," ")</f>
        <v xml:space="preserve"> </v>
      </c>
      <c r="E129" s="31"/>
      <c r="F129" s="30" t="str">
        <f t="shared" si="2"/>
        <v xml:space="preserve"> </v>
      </c>
    </row>
    <row r="130" spans="1:6" ht="22.7" customHeight="1">
      <c r="A130" s="28"/>
      <c r="B130" s="29" t="str">
        <f>IFERROR(VLOOKUP(A130,Tabla1[],2,0)," ")</f>
        <v xml:space="preserve"> </v>
      </c>
      <c r="C130" s="29" t="str">
        <f>IFERROR(VLOOKUP(A130,Tabla1[],6,0)," ")</f>
        <v xml:space="preserve"> </v>
      </c>
      <c r="D130" s="30" t="str">
        <f>IFERROR(VLOOKUP(A130,Tabla1[],8,0)," ")</f>
        <v xml:space="preserve"> </v>
      </c>
      <c r="E130" s="31"/>
      <c r="F130" s="30" t="str">
        <f t="shared" si="2"/>
        <v xml:space="preserve"> </v>
      </c>
    </row>
    <row r="131" spans="1:6" ht="22.7" customHeight="1">
      <c r="A131" s="28"/>
      <c r="B131" s="29" t="str">
        <f>IFERROR(VLOOKUP(A131,Tabla1[],2,0)," ")</f>
        <v xml:space="preserve"> </v>
      </c>
      <c r="C131" s="29" t="str">
        <f>IFERROR(VLOOKUP(A131,Tabla1[],6,0)," ")</f>
        <v xml:space="preserve"> </v>
      </c>
      <c r="D131" s="30" t="str">
        <f>IFERROR(VLOOKUP(A131,Tabla1[],8,0)," ")</f>
        <v xml:space="preserve"> </v>
      </c>
      <c r="E131" s="31"/>
      <c r="F131" s="30" t="str">
        <f t="shared" si="2"/>
        <v xml:space="preserve"> </v>
      </c>
    </row>
    <row r="132" spans="1:6" ht="22.7" customHeight="1">
      <c r="A132" s="28"/>
      <c r="B132" s="29" t="str">
        <f>IFERROR(VLOOKUP(A132,Tabla1[],2,0)," ")</f>
        <v xml:space="preserve"> </v>
      </c>
      <c r="C132" s="29" t="str">
        <f>IFERROR(VLOOKUP(A132,Tabla1[],6,0)," ")</f>
        <v xml:space="preserve"> </v>
      </c>
      <c r="D132" s="30" t="str">
        <f>IFERROR(VLOOKUP(A132,Tabla1[],8,0)," ")</f>
        <v xml:space="preserve"> </v>
      </c>
      <c r="E132" s="31"/>
      <c r="F132" s="30" t="str">
        <f t="shared" ref="F132:F195" si="3">IFERROR((E132*D132), " ")</f>
        <v xml:space="preserve"> </v>
      </c>
    </row>
    <row r="133" spans="1:6" ht="22.7" customHeight="1">
      <c r="A133" s="28"/>
      <c r="B133" s="29" t="str">
        <f>IFERROR(VLOOKUP(A133,Tabla1[],2,0)," ")</f>
        <v xml:space="preserve"> </v>
      </c>
      <c r="C133" s="29" t="str">
        <f>IFERROR(VLOOKUP(A133,Tabla1[],6,0)," ")</f>
        <v xml:space="preserve"> </v>
      </c>
      <c r="D133" s="30" t="str">
        <f>IFERROR(VLOOKUP(A133,Tabla1[],8,0)," ")</f>
        <v xml:space="preserve"> </v>
      </c>
      <c r="E133" s="31"/>
      <c r="F133" s="30" t="str">
        <f t="shared" si="3"/>
        <v xml:space="preserve"> </v>
      </c>
    </row>
    <row r="134" spans="1:6" ht="22.7" customHeight="1">
      <c r="A134" s="28"/>
      <c r="B134" s="29" t="str">
        <f>IFERROR(VLOOKUP(A134,Tabla1[],2,0)," ")</f>
        <v xml:space="preserve"> </v>
      </c>
      <c r="C134" s="29" t="str">
        <f>IFERROR(VLOOKUP(A134,Tabla1[],6,0)," ")</f>
        <v xml:space="preserve"> </v>
      </c>
      <c r="D134" s="30" t="str">
        <f>IFERROR(VLOOKUP(A134,Tabla1[],8,0)," ")</f>
        <v xml:space="preserve"> </v>
      </c>
      <c r="E134" s="31"/>
      <c r="F134" s="30" t="str">
        <f t="shared" si="3"/>
        <v xml:space="preserve"> </v>
      </c>
    </row>
    <row r="135" spans="1:6" ht="22.7" customHeight="1">
      <c r="A135" s="28"/>
      <c r="B135" s="29" t="str">
        <f>IFERROR(VLOOKUP(A135,Tabla1[],2,0)," ")</f>
        <v xml:space="preserve"> </v>
      </c>
      <c r="C135" s="29" t="str">
        <f>IFERROR(VLOOKUP(A135,Tabla1[],6,0)," ")</f>
        <v xml:space="preserve"> </v>
      </c>
      <c r="D135" s="30" t="str">
        <f>IFERROR(VLOOKUP(A135,Tabla1[],8,0)," ")</f>
        <v xml:space="preserve"> </v>
      </c>
      <c r="E135" s="31"/>
      <c r="F135" s="30" t="str">
        <f t="shared" si="3"/>
        <v xml:space="preserve"> </v>
      </c>
    </row>
    <row r="136" spans="1:6" ht="22.7" customHeight="1">
      <c r="A136" s="28"/>
      <c r="B136" s="29" t="str">
        <f>IFERROR(VLOOKUP(A136,Tabla1[],2,0)," ")</f>
        <v xml:space="preserve"> </v>
      </c>
      <c r="C136" s="29" t="str">
        <f>IFERROR(VLOOKUP(A136,Tabla1[],6,0)," ")</f>
        <v xml:space="preserve"> </v>
      </c>
      <c r="D136" s="30" t="str">
        <f>IFERROR(VLOOKUP(A136,Tabla1[],8,0)," ")</f>
        <v xml:space="preserve"> </v>
      </c>
      <c r="E136" s="31"/>
      <c r="F136" s="30" t="str">
        <f t="shared" si="3"/>
        <v xml:space="preserve"> </v>
      </c>
    </row>
    <row r="137" spans="1:6" ht="22.7" customHeight="1">
      <c r="A137" s="28"/>
      <c r="B137" s="29" t="str">
        <f>IFERROR(VLOOKUP(A137,Tabla1[],2,0)," ")</f>
        <v xml:space="preserve"> </v>
      </c>
      <c r="C137" s="29" t="str">
        <f>IFERROR(VLOOKUP(A137,Tabla1[],6,0)," ")</f>
        <v xml:space="preserve"> </v>
      </c>
      <c r="D137" s="30" t="str">
        <f>IFERROR(VLOOKUP(A137,Tabla1[],8,0)," ")</f>
        <v xml:space="preserve"> </v>
      </c>
      <c r="E137" s="31"/>
      <c r="F137" s="30" t="str">
        <f t="shared" si="3"/>
        <v xml:space="preserve"> </v>
      </c>
    </row>
    <row r="138" spans="1:6" ht="22.7" customHeight="1">
      <c r="A138" s="28"/>
      <c r="B138" s="29" t="str">
        <f>IFERROR(VLOOKUP(A138,Tabla1[],2,0)," ")</f>
        <v xml:space="preserve"> </v>
      </c>
      <c r="C138" s="29" t="str">
        <f>IFERROR(VLOOKUP(A138,Tabla1[],6,0)," ")</f>
        <v xml:space="preserve"> </v>
      </c>
      <c r="D138" s="30" t="str">
        <f>IFERROR(VLOOKUP(A138,Tabla1[],8,0)," ")</f>
        <v xml:space="preserve"> </v>
      </c>
      <c r="E138" s="31"/>
      <c r="F138" s="30" t="str">
        <f t="shared" si="3"/>
        <v xml:space="preserve"> </v>
      </c>
    </row>
    <row r="139" spans="1:6" ht="22.7" customHeight="1">
      <c r="A139" s="28"/>
      <c r="B139" s="29" t="str">
        <f>IFERROR(VLOOKUP(A139,Tabla1[],2,0)," ")</f>
        <v xml:space="preserve"> </v>
      </c>
      <c r="C139" s="29" t="str">
        <f>IFERROR(VLOOKUP(A139,Tabla1[],6,0)," ")</f>
        <v xml:space="preserve"> </v>
      </c>
      <c r="D139" s="30" t="str">
        <f>IFERROR(VLOOKUP(A139,Tabla1[],8,0)," ")</f>
        <v xml:space="preserve"> </v>
      </c>
      <c r="E139" s="31"/>
      <c r="F139" s="30" t="str">
        <f t="shared" si="3"/>
        <v xml:space="preserve"> </v>
      </c>
    </row>
    <row r="140" spans="1:6" ht="22.7" customHeight="1">
      <c r="A140" s="28"/>
      <c r="B140" s="29" t="str">
        <f>IFERROR(VLOOKUP(A140,Tabla1[],2,0)," ")</f>
        <v xml:space="preserve"> </v>
      </c>
      <c r="C140" s="29" t="str">
        <f>IFERROR(VLOOKUP(A140,Tabla1[],6,0)," ")</f>
        <v xml:space="preserve"> </v>
      </c>
      <c r="D140" s="30" t="str">
        <f>IFERROR(VLOOKUP(A140,Tabla1[],8,0)," ")</f>
        <v xml:space="preserve"> </v>
      </c>
      <c r="E140" s="31"/>
      <c r="F140" s="30" t="str">
        <f t="shared" si="3"/>
        <v xml:space="preserve"> </v>
      </c>
    </row>
    <row r="141" spans="1:6" ht="22.7" customHeight="1">
      <c r="A141" s="28"/>
      <c r="B141" s="29" t="str">
        <f>IFERROR(VLOOKUP(A141,Tabla1[],2,0)," ")</f>
        <v xml:space="preserve"> </v>
      </c>
      <c r="C141" s="29" t="str">
        <f>IFERROR(VLOOKUP(A141,Tabla1[],6,0)," ")</f>
        <v xml:space="preserve"> </v>
      </c>
      <c r="D141" s="30" t="str">
        <f>IFERROR(VLOOKUP(A141,Tabla1[],8,0)," ")</f>
        <v xml:space="preserve"> </v>
      </c>
      <c r="E141" s="31"/>
      <c r="F141" s="30" t="str">
        <f t="shared" si="3"/>
        <v xml:space="preserve"> </v>
      </c>
    </row>
    <row r="142" spans="1:6" ht="22.7" customHeight="1">
      <c r="A142" s="28"/>
      <c r="B142" s="29" t="str">
        <f>IFERROR(VLOOKUP(A142,Tabla1[],2,0)," ")</f>
        <v xml:space="preserve"> </v>
      </c>
      <c r="C142" s="29" t="str">
        <f>IFERROR(VLOOKUP(A142,Tabla1[],6,0)," ")</f>
        <v xml:space="preserve"> </v>
      </c>
      <c r="D142" s="30" t="str">
        <f>IFERROR(VLOOKUP(A142,Tabla1[],8,0)," ")</f>
        <v xml:space="preserve"> </v>
      </c>
      <c r="E142" s="31"/>
      <c r="F142" s="30" t="str">
        <f t="shared" si="3"/>
        <v xml:space="preserve"> </v>
      </c>
    </row>
    <row r="143" spans="1:6" ht="22.7" customHeight="1">
      <c r="A143" s="28"/>
      <c r="B143" s="29" t="str">
        <f>IFERROR(VLOOKUP(A143,Tabla1[],2,0)," ")</f>
        <v xml:space="preserve"> </v>
      </c>
      <c r="C143" s="29" t="str">
        <f>IFERROR(VLOOKUP(A143,Tabla1[],6,0)," ")</f>
        <v xml:space="preserve"> </v>
      </c>
      <c r="D143" s="30" t="str">
        <f>IFERROR(VLOOKUP(A143,Tabla1[],8,0)," ")</f>
        <v xml:space="preserve"> </v>
      </c>
      <c r="E143" s="31"/>
      <c r="F143" s="30" t="str">
        <f t="shared" si="3"/>
        <v xml:space="preserve"> </v>
      </c>
    </row>
    <row r="144" spans="1:6" ht="22.7" customHeight="1">
      <c r="A144" s="28"/>
      <c r="B144" s="29" t="str">
        <f>IFERROR(VLOOKUP(A144,Tabla1[],2,0)," ")</f>
        <v xml:space="preserve"> </v>
      </c>
      <c r="C144" s="29" t="str">
        <f>IFERROR(VLOOKUP(A144,Tabla1[],6,0)," ")</f>
        <v xml:space="preserve"> </v>
      </c>
      <c r="D144" s="30" t="str">
        <f>IFERROR(VLOOKUP(A144,Tabla1[],8,0)," ")</f>
        <v xml:space="preserve"> </v>
      </c>
      <c r="E144" s="31"/>
      <c r="F144" s="30" t="str">
        <f t="shared" si="3"/>
        <v xml:space="preserve"> </v>
      </c>
    </row>
    <row r="145" spans="1:6" ht="22.7" customHeight="1">
      <c r="A145" s="28"/>
      <c r="B145" s="29" t="str">
        <f>IFERROR(VLOOKUP(A145,Tabla1[],2,0)," ")</f>
        <v xml:space="preserve"> </v>
      </c>
      <c r="C145" s="29" t="str">
        <f>IFERROR(VLOOKUP(A145,Tabla1[],6,0)," ")</f>
        <v xml:space="preserve"> </v>
      </c>
      <c r="D145" s="30" t="str">
        <f>IFERROR(VLOOKUP(A145,Tabla1[],8,0)," ")</f>
        <v xml:space="preserve"> </v>
      </c>
      <c r="E145" s="31"/>
      <c r="F145" s="30" t="str">
        <f t="shared" si="3"/>
        <v xml:space="preserve"> </v>
      </c>
    </row>
    <row r="146" spans="1:6" ht="22.7" customHeight="1">
      <c r="A146" s="28"/>
      <c r="B146" s="29" t="str">
        <f>IFERROR(VLOOKUP(A146,Tabla1[],2,0)," ")</f>
        <v xml:space="preserve"> </v>
      </c>
      <c r="C146" s="29" t="str">
        <f>IFERROR(VLOOKUP(A146,Tabla1[],6,0)," ")</f>
        <v xml:space="preserve"> </v>
      </c>
      <c r="D146" s="30" t="str">
        <f>IFERROR(VLOOKUP(A146,Tabla1[],8,0)," ")</f>
        <v xml:space="preserve"> </v>
      </c>
      <c r="E146" s="31"/>
      <c r="F146" s="30" t="str">
        <f t="shared" si="3"/>
        <v xml:space="preserve"> </v>
      </c>
    </row>
    <row r="147" spans="1:6" ht="22.7" customHeight="1">
      <c r="A147" s="28"/>
      <c r="B147" s="29" t="str">
        <f>IFERROR(VLOOKUP(A147,Tabla1[],2,0)," ")</f>
        <v xml:space="preserve"> </v>
      </c>
      <c r="C147" s="29" t="str">
        <f>IFERROR(VLOOKUP(A147,Tabla1[],6,0)," ")</f>
        <v xml:space="preserve"> </v>
      </c>
      <c r="D147" s="30" t="str">
        <f>IFERROR(VLOOKUP(A147,Tabla1[],8,0)," ")</f>
        <v xml:space="preserve"> </v>
      </c>
      <c r="E147" s="31"/>
      <c r="F147" s="30" t="str">
        <f t="shared" si="3"/>
        <v xml:space="preserve"> </v>
      </c>
    </row>
    <row r="148" spans="1:6" ht="22.7" customHeight="1">
      <c r="A148" s="28"/>
      <c r="B148" s="29" t="str">
        <f>IFERROR(VLOOKUP(A148,Tabla1[],2,0)," ")</f>
        <v xml:space="preserve"> </v>
      </c>
      <c r="C148" s="29" t="str">
        <f>IFERROR(VLOOKUP(A148,Tabla1[],6,0)," ")</f>
        <v xml:space="preserve"> </v>
      </c>
      <c r="D148" s="30" t="str">
        <f>IFERROR(VLOOKUP(A148,Tabla1[],8,0)," ")</f>
        <v xml:space="preserve"> </v>
      </c>
      <c r="E148" s="31"/>
      <c r="F148" s="30" t="str">
        <f t="shared" si="3"/>
        <v xml:space="preserve"> </v>
      </c>
    </row>
    <row r="149" spans="1:6" ht="22.7" customHeight="1">
      <c r="A149" s="28"/>
      <c r="B149" s="29" t="str">
        <f>IFERROR(VLOOKUP(A149,Tabla1[],2,0)," ")</f>
        <v xml:space="preserve"> </v>
      </c>
      <c r="C149" s="29" t="str">
        <f>IFERROR(VLOOKUP(A149,Tabla1[],6,0)," ")</f>
        <v xml:space="preserve"> </v>
      </c>
      <c r="D149" s="30" t="str">
        <f>IFERROR(VLOOKUP(A149,Tabla1[],8,0)," ")</f>
        <v xml:space="preserve"> </v>
      </c>
      <c r="E149" s="31"/>
      <c r="F149" s="30" t="str">
        <f t="shared" si="3"/>
        <v xml:space="preserve"> </v>
      </c>
    </row>
    <row r="150" spans="1:6" ht="22.7" customHeight="1">
      <c r="A150" s="28"/>
      <c r="B150" s="29" t="str">
        <f>IFERROR(VLOOKUP(A150,Tabla1[],2,0)," ")</f>
        <v xml:space="preserve"> </v>
      </c>
      <c r="C150" s="29" t="str">
        <f>IFERROR(VLOOKUP(A150,Tabla1[],6,0)," ")</f>
        <v xml:space="preserve"> </v>
      </c>
      <c r="D150" s="30" t="str">
        <f>IFERROR(VLOOKUP(A150,Tabla1[],8,0)," ")</f>
        <v xml:space="preserve"> </v>
      </c>
      <c r="E150" s="31"/>
      <c r="F150" s="30" t="str">
        <f t="shared" si="3"/>
        <v xml:space="preserve"> </v>
      </c>
    </row>
    <row r="151" spans="1:6" ht="22.7" customHeight="1">
      <c r="A151" s="28"/>
      <c r="B151" s="29" t="str">
        <f>IFERROR(VLOOKUP(A151,Tabla1[],2,0)," ")</f>
        <v xml:space="preserve"> </v>
      </c>
      <c r="C151" s="29" t="str">
        <f>IFERROR(VLOOKUP(A151,Tabla1[],6,0)," ")</f>
        <v xml:space="preserve"> </v>
      </c>
      <c r="D151" s="30" t="str">
        <f>IFERROR(VLOOKUP(A151,Tabla1[],8,0)," ")</f>
        <v xml:space="preserve"> </v>
      </c>
      <c r="E151" s="31"/>
      <c r="F151" s="30" t="str">
        <f t="shared" si="3"/>
        <v xml:space="preserve"> </v>
      </c>
    </row>
    <row r="152" spans="1:6" ht="22.7" customHeight="1">
      <c r="A152" s="28"/>
      <c r="B152" s="29" t="str">
        <f>IFERROR(VLOOKUP(A152,Tabla1[],2,0)," ")</f>
        <v xml:space="preserve"> </v>
      </c>
      <c r="C152" s="29" t="str">
        <f>IFERROR(VLOOKUP(A152,Tabla1[],6,0)," ")</f>
        <v xml:space="preserve"> </v>
      </c>
      <c r="D152" s="30" t="str">
        <f>IFERROR(VLOOKUP(A152,Tabla1[],8,0)," ")</f>
        <v xml:space="preserve"> </v>
      </c>
      <c r="E152" s="31"/>
      <c r="F152" s="30" t="str">
        <f t="shared" si="3"/>
        <v xml:space="preserve"> </v>
      </c>
    </row>
    <row r="153" spans="1:6" ht="22.7" customHeight="1">
      <c r="A153" s="28"/>
      <c r="B153" s="29" t="str">
        <f>IFERROR(VLOOKUP(A153,Tabla1[],2,0)," ")</f>
        <v xml:space="preserve"> </v>
      </c>
      <c r="C153" s="29" t="str">
        <f>IFERROR(VLOOKUP(A153,Tabla1[],6,0)," ")</f>
        <v xml:space="preserve"> </v>
      </c>
      <c r="D153" s="30" t="str">
        <f>IFERROR(VLOOKUP(A153,Tabla1[],8,0)," ")</f>
        <v xml:space="preserve"> </v>
      </c>
      <c r="E153" s="31"/>
      <c r="F153" s="30" t="str">
        <f t="shared" si="3"/>
        <v xml:space="preserve"> </v>
      </c>
    </row>
    <row r="154" spans="1:6" ht="22.7" customHeight="1">
      <c r="A154" s="28"/>
      <c r="B154" s="29" t="str">
        <f>IFERROR(VLOOKUP(A154,Tabla1[],2,0)," ")</f>
        <v xml:space="preserve"> </v>
      </c>
      <c r="C154" s="29" t="str">
        <f>IFERROR(VLOOKUP(A154,Tabla1[],6,0)," ")</f>
        <v xml:space="preserve"> </v>
      </c>
      <c r="D154" s="30" t="str">
        <f>IFERROR(VLOOKUP(A154,Tabla1[],8,0)," ")</f>
        <v xml:space="preserve"> </v>
      </c>
      <c r="E154" s="31"/>
      <c r="F154" s="30" t="str">
        <f t="shared" si="3"/>
        <v xml:space="preserve"> </v>
      </c>
    </row>
    <row r="155" spans="1:6" ht="22.7" customHeight="1">
      <c r="A155" s="28"/>
      <c r="B155" s="29" t="str">
        <f>IFERROR(VLOOKUP(A155,Tabla1[],2,0)," ")</f>
        <v xml:space="preserve"> </v>
      </c>
      <c r="C155" s="29" t="str">
        <f>IFERROR(VLOOKUP(A155,Tabla1[],6,0)," ")</f>
        <v xml:space="preserve"> </v>
      </c>
      <c r="D155" s="30" t="str">
        <f>IFERROR(VLOOKUP(A155,Tabla1[],8,0)," ")</f>
        <v xml:space="preserve"> </v>
      </c>
      <c r="E155" s="31"/>
      <c r="F155" s="30" t="str">
        <f t="shared" si="3"/>
        <v xml:space="preserve"> </v>
      </c>
    </row>
    <row r="156" spans="1:6" ht="22.7" customHeight="1">
      <c r="A156" s="28"/>
      <c r="B156" s="29" t="str">
        <f>IFERROR(VLOOKUP(A156,Tabla1[],2,0)," ")</f>
        <v xml:space="preserve"> </v>
      </c>
      <c r="C156" s="29" t="str">
        <f>IFERROR(VLOOKUP(A156,Tabla1[],6,0)," ")</f>
        <v xml:space="preserve"> </v>
      </c>
      <c r="D156" s="30" t="str">
        <f>IFERROR(VLOOKUP(A156,Tabla1[],8,0)," ")</f>
        <v xml:space="preserve"> </v>
      </c>
      <c r="E156" s="31"/>
      <c r="F156" s="30" t="str">
        <f t="shared" si="3"/>
        <v xml:space="preserve"> </v>
      </c>
    </row>
    <row r="157" spans="1:6" ht="22.7" customHeight="1">
      <c r="A157" s="28"/>
      <c r="B157" s="29" t="str">
        <f>IFERROR(VLOOKUP(A157,Tabla1[],2,0)," ")</f>
        <v xml:space="preserve"> </v>
      </c>
      <c r="C157" s="29" t="str">
        <f>IFERROR(VLOOKUP(A157,Tabla1[],6,0)," ")</f>
        <v xml:space="preserve"> </v>
      </c>
      <c r="D157" s="30" t="str">
        <f>IFERROR(VLOOKUP(A157,Tabla1[],8,0)," ")</f>
        <v xml:space="preserve"> </v>
      </c>
      <c r="E157" s="31"/>
      <c r="F157" s="30" t="str">
        <f t="shared" si="3"/>
        <v xml:space="preserve"> </v>
      </c>
    </row>
    <row r="158" spans="1:6" ht="22.7" customHeight="1">
      <c r="A158" s="28"/>
      <c r="B158" s="29" t="str">
        <f>IFERROR(VLOOKUP(A158,Tabla1[],2,0)," ")</f>
        <v xml:space="preserve"> </v>
      </c>
      <c r="C158" s="29" t="str">
        <f>IFERROR(VLOOKUP(A158,Tabla1[],6,0)," ")</f>
        <v xml:space="preserve"> </v>
      </c>
      <c r="D158" s="30" t="str">
        <f>IFERROR(VLOOKUP(A158,Tabla1[],8,0)," ")</f>
        <v xml:space="preserve"> </v>
      </c>
      <c r="E158" s="31"/>
      <c r="F158" s="30" t="str">
        <f t="shared" si="3"/>
        <v xml:space="preserve"> </v>
      </c>
    </row>
    <row r="159" spans="1:6" ht="22.7" customHeight="1">
      <c r="A159" s="28"/>
      <c r="B159" s="29" t="str">
        <f>IFERROR(VLOOKUP(A159,Tabla1[],2,0)," ")</f>
        <v xml:space="preserve"> </v>
      </c>
      <c r="C159" s="29" t="str">
        <f>IFERROR(VLOOKUP(A159,Tabla1[],6,0)," ")</f>
        <v xml:space="preserve"> </v>
      </c>
      <c r="D159" s="30" t="str">
        <f>IFERROR(VLOOKUP(A159,Tabla1[],8,0)," ")</f>
        <v xml:space="preserve"> </v>
      </c>
      <c r="E159" s="31"/>
      <c r="F159" s="30" t="str">
        <f t="shared" si="3"/>
        <v xml:space="preserve"> </v>
      </c>
    </row>
    <row r="160" spans="1:6" ht="22.7" customHeight="1">
      <c r="A160" s="28"/>
      <c r="B160" s="29" t="str">
        <f>IFERROR(VLOOKUP(A160,Tabla1[],2,0)," ")</f>
        <v xml:space="preserve"> </v>
      </c>
      <c r="C160" s="29" t="str">
        <f>IFERROR(VLOOKUP(A160,Tabla1[],6,0)," ")</f>
        <v xml:space="preserve"> </v>
      </c>
      <c r="D160" s="30" t="str">
        <f>IFERROR(VLOOKUP(A160,Tabla1[],8,0)," ")</f>
        <v xml:space="preserve"> </v>
      </c>
      <c r="E160" s="31"/>
      <c r="F160" s="30" t="str">
        <f t="shared" si="3"/>
        <v xml:space="preserve"> </v>
      </c>
    </row>
    <row r="161" spans="1:6" ht="22.7" customHeight="1">
      <c r="A161" s="28"/>
      <c r="B161" s="29" t="str">
        <f>IFERROR(VLOOKUP(A161,Tabla1[],2,0)," ")</f>
        <v xml:space="preserve"> </v>
      </c>
      <c r="C161" s="29" t="str">
        <f>IFERROR(VLOOKUP(A161,Tabla1[],6,0)," ")</f>
        <v xml:space="preserve"> </v>
      </c>
      <c r="D161" s="30" t="str">
        <f>IFERROR(VLOOKUP(A161,Tabla1[],8,0)," ")</f>
        <v xml:space="preserve"> </v>
      </c>
      <c r="E161" s="31"/>
      <c r="F161" s="30" t="str">
        <f t="shared" si="3"/>
        <v xml:space="preserve"> </v>
      </c>
    </row>
    <row r="162" spans="1:6" ht="22.7" customHeight="1">
      <c r="A162" s="28"/>
      <c r="B162" s="29" t="str">
        <f>IFERROR(VLOOKUP(A162,Tabla1[],2,0)," ")</f>
        <v xml:space="preserve"> </v>
      </c>
      <c r="C162" s="29" t="str">
        <f>IFERROR(VLOOKUP(A162,Tabla1[],6,0)," ")</f>
        <v xml:space="preserve"> </v>
      </c>
      <c r="D162" s="30" t="str">
        <f>IFERROR(VLOOKUP(A162,Tabla1[],8,0)," ")</f>
        <v xml:space="preserve"> </v>
      </c>
      <c r="E162" s="31"/>
      <c r="F162" s="30" t="str">
        <f t="shared" si="3"/>
        <v xml:space="preserve"> </v>
      </c>
    </row>
    <row r="163" spans="1:6" ht="22.7" customHeight="1">
      <c r="A163" s="28"/>
      <c r="B163" s="29" t="str">
        <f>IFERROR(VLOOKUP(A163,Tabla1[],2,0)," ")</f>
        <v xml:space="preserve"> </v>
      </c>
      <c r="C163" s="29" t="str">
        <f>IFERROR(VLOOKUP(A163,Tabla1[],6,0)," ")</f>
        <v xml:space="preserve"> </v>
      </c>
      <c r="D163" s="30" t="str">
        <f>IFERROR(VLOOKUP(A163,Tabla1[],8,0)," ")</f>
        <v xml:space="preserve"> </v>
      </c>
      <c r="E163" s="31"/>
      <c r="F163" s="30" t="str">
        <f t="shared" si="3"/>
        <v xml:space="preserve"> </v>
      </c>
    </row>
    <row r="164" spans="1:6" ht="22.7" customHeight="1">
      <c r="A164" s="28"/>
      <c r="B164" s="29" t="str">
        <f>IFERROR(VLOOKUP(A164,Tabla1[],2,0)," ")</f>
        <v xml:space="preserve"> </v>
      </c>
      <c r="C164" s="29" t="str">
        <f>IFERROR(VLOOKUP(A164,Tabla1[],6,0)," ")</f>
        <v xml:space="preserve"> </v>
      </c>
      <c r="D164" s="30" t="str">
        <f>IFERROR(VLOOKUP(A164,Tabla1[],8,0)," ")</f>
        <v xml:space="preserve"> </v>
      </c>
      <c r="E164" s="31"/>
      <c r="F164" s="30" t="str">
        <f t="shared" si="3"/>
        <v xml:space="preserve"> </v>
      </c>
    </row>
    <row r="165" spans="1:6" ht="22.7" customHeight="1">
      <c r="A165" s="28"/>
      <c r="B165" s="29" t="str">
        <f>IFERROR(VLOOKUP(A165,Tabla1[],2,0)," ")</f>
        <v xml:space="preserve"> </v>
      </c>
      <c r="C165" s="29" t="str">
        <f>IFERROR(VLOOKUP(A165,Tabla1[],6,0)," ")</f>
        <v xml:space="preserve"> </v>
      </c>
      <c r="D165" s="30" t="str">
        <f>IFERROR(VLOOKUP(A165,Tabla1[],8,0)," ")</f>
        <v xml:space="preserve"> </v>
      </c>
      <c r="E165" s="31"/>
      <c r="F165" s="30" t="str">
        <f t="shared" si="3"/>
        <v xml:space="preserve"> </v>
      </c>
    </row>
    <row r="166" spans="1:6" ht="22.7" customHeight="1">
      <c r="A166" s="28"/>
      <c r="B166" s="29" t="str">
        <f>IFERROR(VLOOKUP(A166,Tabla1[],2,0)," ")</f>
        <v xml:space="preserve"> </v>
      </c>
      <c r="C166" s="29" t="str">
        <f>IFERROR(VLOOKUP(A166,Tabla1[],6,0)," ")</f>
        <v xml:space="preserve"> </v>
      </c>
      <c r="D166" s="30" t="str">
        <f>IFERROR(VLOOKUP(A166,Tabla1[],8,0)," ")</f>
        <v xml:space="preserve"> </v>
      </c>
      <c r="E166" s="31"/>
      <c r="F166" s="30" t="str">
        <f t="shared" si="3"/>
        <v xml:space="preserve"> </v>
      </c>
    </row>
    <row r="167" spans="1:6" ht="22.7" customHeight="1">
      <c r="A167" s="28"/>
      <c r="B167" s="29" t="str">
        <f>IFERROR(VLOOKUP(A167,Tabla1[],2,0)," ")</f>
        <v xml:space="preserve"> </v>
      </c>
      <c r="C167" s="29" t="str">
        <f>IFERROR(VLOOKUP(A167,Tabla1[],6,0)," ")</f>
        <v xml:space="preserve"> </v>
      </c>
      <c r="D167" s="30" t="str">
        <f>IFERROR(VLOOKUP(A167,Tabla1[],8,0)," ")</f>
        <v xml:space="preserve"> </v>
      </c>
      <c r="E167" s="31"/>
      <c r="F167" s="30" t="str">
        <f t="shared" si="3"/>
        <v xml:space="preserve"> </v>
      </c>
    </row>
    <row r="168" spans="1:6" ht="22.7" customHeight="1">
      <c r="A168" s="28"/>
      <c r="B168" s="29" t="str">
        <f>IFERROR(VLOOKUP(A168,Tabla1[],2,0)," ")</f>
        <v xml:space="preserve"> </v>
      </c>
      <c r="C168" s="29" t="str">
        <f>IFERROR(VLOOKUP(A168,Tabla1[],6,0)," ")</f>
        <v xml:space="preserve"> </v>
      </c>
      <c r="D168" s="30" t="str">
        <f>IFERROR(VLOOKUP(A168,Tabla1[],8,0)," ")</f>
        <v xml:space="preserve"> </v>
      </c>
      <c r="E168" s="31"/>
      <c r="F168" s="30" t="str">
        <f t="shared" si="3"/>
        <v xml:space="preserve"> </v>
      </c>
    </row>
    <row r="169" spans="1:6" ht="22.7" customHeight="1">
      <c r="A169" s="28"/>
      <c r="B169" s="29" t="str">
        <f>IFERROR(VLOOKUP(A169,Tabla1[],2,0)," ")</f>
        <v xml:space="preserve"> </v>
      </c>
      <c r="C169" s="29" t="str">
        <f>IFERROR(VLOOKUP(A169,Tabla1[],6,0)," ")</f>
        <v xml:space="preserve"> </v>
      </c>
      <c r="D169" s="30" t="str">
        <f>IFERROR(VLOOKUP(A169,Tabla1[],8,0)," ")</f>
        <v xml:space="preserve"> </v>
      </c>
      <c r="E169" s="31"/>
      <c r="F169" s="30" t="str">
        <f t="shared" si="3"/>
        <v xml:space="preserve"> </v>
      </c>
    </row>
    <row r="170" spans="1:6" ht="22.7" customHeight="1">
      <c r="A170" s="28"/>
      <c r="B170" s="29" t="str">
        <f>IFERROR(VLOOKUP(A170,Tabla1[],2,0)," ")</f>
        <v xml:space="preserve"> </v>
      </c>
      <c r="C170" s="29" t="str">
        <f>IFERROR(VLOOKUP(A170,Tabla1[],6,0)," ")</f>
        <v xml:space="preserve"> </v>
      </c>
      <c r="D170" s="30" t="str">
        <f>IFERROR(VLOOKUP(A170,Tabla1[],8,0)," ")</f>
        <v xml:space="preserve"> </v>
      </c>
      <c r="E170" s="31"/>
      <c r="F170" s="30" t="str">
        <f t="shared" si="3"/>
        <v xml:space="preserve"> </v>
      </c>
    </row>
    <row r="171" spans="1:6" ht="22.7" customHeight="1">
      <c r="A171" s="28"/>
      <c r="B171" s="29" t="str">
        <f>IFERROR(VLOOKUP(A171,Tabla1[],2,0)," ")</f>
        <v xml:space="preserve"> </v>
      </c>
      <c r="C171" s="29" t="str">
        <f>IFERROR(VLOOKUP(A171,Tabla1[],6,0)," ")</f>
        <v xml:space="preserve"> </v>
      </c>
      <c r="D171" s="30" t="str">
        <f>IFERROR(VLOOKUP(A171,Tabla1[],8,0)," ")</f>
        <v xml:space="preserve"> </v>
      </c>
      <c r="E171" s="31"/>
      <c r="F171" s="30" t="str">
        <f t="shared" si="3"/>
        <v xml:space="preserve"> </v>
      </c>
    </row>
    <row r="172" spans="1:6" ht="22.7" customHeight="1">
      <c r="A172" s="28"/>
      <c r="B172" s="29" t="str">
        <f>IFERROR(VLOOKUP(A172,Tabla1[],2,0)," ")</f>
        <v xml:space="preserve"> </v>
      </c>
      <c r="C172" s="29" t="str">
        <f>IFERROR(VLOOKUP(A172,Tabla1[],6,0)," ")</f>
        <v xml:space="preserve"> </v>
      </c>
      <c r="D172" s="30" t="str">
        <f>IFERROR(VLOOKUP(A172,Tabla1[],8,0)," ")</f>
        <v xml:space="preserve"> </v>
      </c>
      <c r="E172" s="31"/>
      <c r="F172" s="30" t="str">
        <f t="shared" si="3"/>
        <v xml:space="preserve"> </v>
      </c>
    </row>
    <row r="173" spans="1:6" ht="22.7" customHeight="1">
      <c r="A173" s="28"/>
      <c r="B173" s="29" t="str">
        <f>IFERROR(VLOOKUP(A173,Tabla1[],2,0)," ")</f>
        <v xml:space="preserve"> </v>
      </c>
      <c r="C173" s="29" t="str">
        <f>IFERROR(VLOOKUP(A173,Tabla1[],6,0)," ")</f>
        <v xml:space="preserve"> </v>
      </c>
      <c r="D173" s="30" t="str">
        <f>IFERROR(VLOOKUP(A173,Tabla1[],8,0)," ")</f>
        <v xml:space="preserve"> </v>
      </c>
      <c r="E173" s="31"/>
      <c r="F173" s="30" t="str">
        <f t="shared" si="3"/>
        <v xml:space="preserve"> </v>
      </c>
    </row>
    <row r="174" spans="1:6" ht="22.7" customHeight="1">
      <c r="A174" s="28"/>
      <c r="B174" s="29" t="str">
        <f>IFERROR(VLOOKUP(A174,Tabla1[],2,0)," ")</f>
        <v xml:space="preserve"> </v>
      </c>
      <c r="C174" s="29" t="str">
        <f>IFERROR(VLOOKUP(A174,Tabla1[],6,0)," ")</f>
        <v xml:space="preserve"> </v>
      </c>
      <c r="D174" s="30" t="str">
        <f>IFERROR(VLOOKUP(A174,Tabla1[],8,0)," ")</f>
        <v xml:space="preserve"> </v>
      </c>
      <c r="E174" s="31"/>
      <c r="F174" s="30" t="str">
        <f t="shared" si="3"/>
        <v xml:space="preserve"> </v>
      </c>
    </row>
    <row r="175" spans="1:6" ht="22.7" customHeight="1">
      <c r="A175" s="28"/>
      <c r="B175" s="29" t="str">
        <f>IFERROR(VLOOKUP(A175,Tabla1[],2,0)," ")</f>
        <v xml:space="preserve"> </v>
      </c>
      <c r="C175" s="29" t="str">
        <f>IFERROR(VLOOKUP(A175,Tabla1[],6,0)," ")</f>
        <v xml:space="preserve"> </v>
      </c>
      <c r="D175" s="30" t="str">
        <f>IFERROR(VLOOKUP(A175,Tabla1[],8,0)," ")</f>
        <v xml:space="preserve"> </v>
      </c>
      <c r="E175" s="31"/>
      <c r="F175" s="30" t="str">
        <f t="shared" si="3"/>
        <v xml:space="preserve"> </v>
      </c>
    </row>
    <row r="176" spans="1:6" ht="22.7" customHeight="1">
      <c r="A176" s="28"/>
      <c r="B176" s="29" t="str">
        <f>IFERROR(VLOOKUP(A176,Tabla1[],2,0)," ")</f>
        <v xml:space="preserve"> </v>
      </c>
      <c r="C176" s="29" t="str">
        <f>IFERROR(VLOOKUP(A176,Tabla1[],6,0)," ")</f>
        <v xml:space="preserve"> </v>
      </c>
      <c r="D176" s="30" t="str">
        <f>IFERROR(VLOOKUP(A176,Tabla1[],8,0)," ")</f>
        <v xml:space="preserve"> </v>
      </c>
      <c r="E176" s="31"/>
      <c r="F176" s="30" t="str">
        <f t="shared" si="3"/>
        <v xml:space="preserve"> </v>
      </c>
    </row>
    <row r="177" spans="1:6" ht="22.7" customHeight="1">
      <c r="A177" s="28"/>
      <c r="B177" s="29" t="str">
        <f>IFERROR(VLOOKUP(A177,Tabla1[],2,0)," ")</f>
        <v xml:space="preserve"> </v>
      </c>
      <c r="C177" s="29" t="str">
        <f>IFERROR(VLOOKUP(A177,Tabla1[],6,0)," ")</f>
        <v xml:space="preserve"> </v>
      </c>
      <c r="D177" s="30" t="str">
        <f>IFERROR(VLOOKUP(A177,Tabla1[],8,0)," ")</f>
        <v xml:space="preserve"> </v>
      </c>
      <c r="E177" s="31"/>
      <c r="F177" s="30" t="str">
        <f t="shared" si="3"/>
        <v xml:space="preserve"> </v>
      </c>
    </row>
    <row r="178" spans="1:6" ht="22.7" customHeight="1">
      <c r="A178" s="28"/>
      <c r="B178" s="29" t="str">
        <f>IFERROR(VLOOKUP(A178,Tabla1[],2,0)," ")</f>
        <v xml:space="preserve"> </v>
      </c>
      <c r="C178" s="29" t="str">
        <f>IFERROR(VLOOKUP(A178,Tabla1[],6,0)," ")</f>
        <v xml:space="preserve"> </v>
      </c>
      <c r="D178" s="30" t="str">
        <f>IFERROR(VLOOKUP(A178,Tabla1[],8,0)," ")</f>
        <v xml:space="preserve"> </v>
      </c>
      <c r="E178" s="31"/>
      <c r="F178" s="30" t="str">
        <f t="shared" si="3"/>
        <v xml:space="preserve"> </v>
      </c>
    </row>
    <row r="179" spans="1:6" ht="22.7" customHeight="1">
      <c r="A179" s="28"/>
      <c r="B179" s="29" t="str">
        <f>IFERROR(VLOOKUP(A179,Tabla1[],2,0)," ")</f>
        <v xml:space="preserve"> </v>
      </c>
      <c r="C179" s="29" t="str">
        <f>IFERROR(VLOOKUP(A179,Tabla1[],6,0)," ")</f>
        <v xml:space="preserve"> </v>
      </c>
      <c r="D179" s="30" t="str">
        <f>IFERROR(VLOOKUP(A179,Tabla1[],8,0)," ")</f>
        <v xml:space="preserve"> </v>
      </c>
      <c r="E179" s="31"/>
      <c r="F179" s="30" t="str">
        <f t="shared" si="3"/>
        <v xml:space="preserve"> </v>
      </c>
    </row>
    <row r="180" spans="1:6" ht="22.7" customHeight="1">
      <c r="A180" s="28"/>
      <c r="B180" s="29" t="str">
        <f>IFERROR(VLOOKUP(A180,Tabla1[],2,0)," ")</f>
        <v xml:space="preserve"> </v>
      </c>
      <c r="C180" s="29" t="str">
        <f>IFERROR(VLOOKUP(A180,Tabla1[],6,0)," ")</f>
        <v xml:space="preserve"> </v>
      </c>
      <c r="D180" s="30" t="str">
        <f>IFERROR(VLOOKUP(A180,Tabla1[],8,0)," ")</f>
        <v xml:space="preserve"> </v>
      </c>
      <c r="E180" s="31"/>
      <c r="F180" s="30" t="str">
        <f t="shared" si="3"/>
        <v xml:space="preserve"> </v>
      </c>
    </row>
    <row r="181" spans="1:6" ht="22.7" customHeight="1">
      <c r="A181" s="28"/>
      <c r="B181" s="29" t="str">
        <f>IFERROR(VLOOKUP(A181,Tabla1[],2,0)," ")</f>
        <v xml:space="preserve"> </v>
      </c>
      <c r="C181" s="29" t="str">
        <f>IFERROR(VLOOKUP(A181,Tabla1[],6,0)," ")</f>
        <v xml:space="preserve"> </v>
      </c>
      <c r="D181" s="30" t="str">
        <f>IFERROR(VLOOKUP(A181,Tabla1[],8,0)," ")</f>
        <v xml:space="preserve"> </v>
      </c>
      <c r="E181" s="31"/>
      <c r="F181" s="30" t="str">
        <f t="shared" si="3"/>
        <v xml:space="preserve"> </v>
      </c>
    </row>
    <row r="182" spans="1:6" ht="22.7" customHeight="1">
      <c r="A182" s="28"/>
      <c r="B182" s="29" t="str">
        <f>IFERROR(VLOOKUP(A182,Tabla1[],2,0)," ")</f>
        <v xml:space="preserve"> </v>
      </c>
      <c r="C182" s="29" t="str">
        <f>IFERROR(VLOOKUP(A182,Tabla1[],6,0)," ")</f>
        <v xml:space="preserve"> </v>
      </c>
      <c r="D182" s="30" t="str">
        <f>IFERROR(VLOOKUP(A182,Tabla1[],8,0)," ")</f>
        <v xml:space="preserve"> </v>
      </c>
      <c r="E182" s="31"/>
      <c r="F182" s="30" t="str">
        <f t="shared" si="3"/>
        <v xml:space="preserve"> </v>
      </c>
    </row>
    <row r="183" spans="1:6" ht="22.7" customHeight="1">
      <c r="A183" s="28"/>
      <c r="B183" s="29" t="str">
        <f>IFERROR(VLOOKUP(A183,Tabla1[],2,0)," ")</f>
        <v xml:space="preserve"> </v>
      </c>
      <c r="C183" s="29" t="str">
        <f>IFERROR(VLOOKUP(A183,Tabla1[],6,0)," ")</f>
        <v xml:space="preserve"> </v>
      </c>
      <c r="D183" s="30" t="str">
        <f>IFERROR(VLOOKUP(A183,Tabla1[],8,0)," ")</f>
        <v xml:space="preserve"> </v>
      </c>
      <c r="E183" s="31"/>
      <c r="F183" s="30" t="str">
        <f t="shared" si="3"/>
        <v xml:space="preserve"> </v>
      </c>
    </row>
    <row r="184" spans="1:6" ht="22.7" customHeight="1">
      <c r="A184" s="28"/>
      <c r="B184" s="29" t="str">
        <f>IFERROR(VLOOKUP(A184,Tabla1[],2,0)," ")</f>
        <v xml:space="preserve"> </v>
      </c>
      <c r="C184" s="29" t="str">
        <f>IFERROR(VLOOKUP(A184,Tabla1[],6,0)," ")</f>
        <v xml:space="preserve"> </v>
      </c>
      <c r="D184" s="30" t="str">
        <f>IFERROR(VLOOKUP(A184,Tabla1[],8,0)," ")</f>
        <v xml:space="preserve"> </v>
      </c>
      <c r="E184" s="31"/>
      <c r="F184" s="30" t="str">
        <f t="shared" si="3"/>
        <v xml:space="preserve"> </v>
      </c>
    </row>
    <row r="185" spans="1:6" ht="22.7" customHeight="1">
      <c r="A185" s="28"/>
      <c r="B185" s="29" t="str">
        <f>IFERROR(VLOOKUP(A185,Tabla1[],2,0)," ")</f>
        <v xml:space="preserve"> </v>
      </c>
      <c r="C185" s="29" t="str">
        <f>IFERROR(VLOOKUP(A185,Tabla1[],6,0)," ")</f>
        <v xml:space="preserve"> </v>
      </c>
      <c r="D185" s="30" t="str">
        <f>IFERROR(VLOOKUP(A185,Tabla1[],8,0)," ")</f>
        <v xml:space="preserve"> </v>
      </c>
      <c r="E185" s="31"/>
      <c r="F185" s="30" t="str">
        <f t="shared" si="3"/>
        <v xml:space="preserve"> </v>
      </c>
    </row>
    <row r="186" spans="1:6" ht="22.7" customHeight="1">
      <c r="A186" s="28"/>
      <c r="B186" s="29" t="str">
        <f>IFERROR(VLOOKUP(A186,Tabla1[],2,0)," ")</f>
        <v xml:space="preserve"> </v>
      </c>
      <c r="C186" s="29" t="str">
        <f>IFERROR(VLOOKUP(A186,Tabla1[],6,0)," ")</f>
        <v xml:space="preserve"> </v>
      </c>
      <c r="D186" s="30" t="str">
        <f>IFERROR(VLOOKUP(A186,Tabla1[],8,0)," ")</f>
        <v xml:space="preserve"> </v>
      </c>
      <c r="E186" s="31"/>
      <c r="F186" s="30" t="str">
        <f t="shared" si="3"/>
        <v xml:space="preserve"> </v>
      </c>
    </row>
    <row r="187" spans="1:6" ht="22.7" customHeight="1">
      <c r="A187" s="28"/>
      <c r="B187" s="29" t="str">
        <f>IFERROR(VLOOKUP(A187,Tabla1[],2,0)," ")</f>
        <v xml:space="preserve"> </v>
      </c>
      <c r="C187" s="29" t="str">
        <f>IFERROR(VLOOKUP(A187,Tabla1[],6,0)," ")</f>
        <v xml:space="preserve"> </v>
      </c>
      <c r="D187" s="30" t="str">
        <f>IFERROR(VLOOKUP(A187,Tabla1[],8,0)," ")</f>
        <v xml:space="preserve"> </v>
      </c>
      <c r="E187" s="31"/>
      <c r="F187" s="30" t="str">
        <f t="shared" si="3"/>
        <v xml:space="preserve"> </v>
      </c>
    </row>
    <row r="188" spans="1:6" ht="22.7" customHeight="1">
      <c r="A188" s="28"/>
      <c r="B188" s="29" t="str">
        <f>IFERROR(VLOOKUP(A188,Tabla1[],2,0)," ")</f>
        <v xml:space="preserve"> </v>
      </c>
      <c r="C188" s="29" t="str">
        <f>IFERROR(VLOOKUP(A188,Tabla1[],6,0)," ")</f>
        <v xml:space="preserve"> </v>
      </c>
      <c r="D188" s="30" t="str">
        <f>IFERROR(VLOOKUP(A188,Tabla1[],8,0)," ")</f>
        <v xml:space="preserve"> </v>
      </c>
      <c r="E188" s="31"/>
      <c r="F188" s="30" t="str">
        <f t="shared" si="3"/>
        <v xml:space="preserve"> </v>
      </c>
    </row>
    <row r="189" spans="1:6" ht="22.7" customHeight="1">
      <c r="A189" s="28"/>
      <c r="B189" s="29" t="str">
        <f>IFERROR(VLOOKUP(A189,Tabla1[],2,0)," ")</f>
        <v xml:space="preserve"> </v>
      </c>
      <c r="C189" s="29" t="str">
        <f>IFERROR(VLOOKUP(A189,Tabla1[],6,0)," ")</f>
        <v xml:space="preserve"> </v>
      </c>
      <c r="D189" s="30" t="str">
        <f>IFERROR(VLOOKUP(A189,Tabla1[],8,0)," ")</f>
        <v xml:space="preserve"> </v>
      </c>
      <c r="E189" s="31"/>
      <c r="F189" s="30" t="str">
        <f t="shared" si="3"/>
        <v xml:space="preserve"> </v>
      </c>
    </row>
    <row r="190" spans="1:6" ht="22.7" customHeight="1">
      <c r="A190" s="28"/>
      <c r="B190" s="29" t="str">
        <f>IFERROR(VLOOKUP(A190,Tabla1[],2,0)," ")</f>
        <v xml:space="preserve"> </v>
      </c>
      <c r="C190" s="29" t="str">
        <f>IFERROR(VLOOKUP(A190,Tabla1[],6,0)," ")</f>
        <v xml:space="preserve"> </v>
      </c>
      <c r="D190" s="30" t="str">
        <f>IFERROR(VLOOKUP(A190,Tabla1[],8,0)," ")</f>
        <v xml:space="preserve"> </v>
      </c>
      <c r="E190" s="31"/>
      <c r="F190" s="30" t="str">
        <f t="shared" si="3"/>
        <v xml:space="preserve"> </v>
      </c>
    </row>
    <row r="191" spans="1:6" ht="22.7" customHeight="1">
      <c r="A191" s="28"/>
      <c r="B191" s="29" t="str">
        <f>IFERROR(VLOOKUP(A191,Tabla1[],2,0)," ")</f>
        <v xml:space="preserve"> </v>
      </c>
      <c r="C191" s="29" t="str">
        <f>IFERROR(VLOOKUP(A191,Tabla1[],6,0)," ")</f>
        <v xml:space="preserve"> </v>
      </c>
      <c r="D191" s="30" t="str">
        <f>IFERROR(VLOOKUP(A191,Tabla1[],8,0)," ")</f>
        <v xml:space="preserve"> </v>
      </c>
      <c r="E191" s="31"/>
      <c r="F191" s="30" t="str">
        <f t="shared" si="3"/>
        <v xml:space="preserve"> </v>
      </c>
    </row>
    <row r="192" spans="1:6" ht="22.7" customHeight="1">
      <c r="A192" s="28"/>
      <c r="B192" s="29" t="str">
        <f>IFERROR(VLOOKUP(A192,Tabla1[],2,0)," ")</f>
        <v xml:space="preserve"> </v>
      </c>
      <c r="C192" s="29" t="str">
        <f>IFERROR(VLOOKUP(A192,Tabla1[],6,0)," ")</f>
        <v xml:space="preserve"> </v>
      </c>
      <c r="D192" s="30" t="str">
        <f>IFERROR(VLOOKUP(A192,Tabla1[],8,0)," ")</f>
        <v xml:space="preserve"> </v>
      </c>
      <c r="E192" s="31"/>
      <c r="F192" s="30" t="str">
        <f t="shared" si="3"/>
        <v xml:space="preserve"> </v>
      </c>
    </row>
    <row r="193" spans="1:6" ht="22.7" customHeight="1">
      <c r="A193" s="28"/>
      <c r="B193" s="29" t="str">
        <f>IFERROR(VLOOKUP(A193,Tabla1[],2,0)," ")</f>
        <v xml:space="preserve"> </v>
      </c>
      <c r="C193" s="29" t="str">
        <f>IFERROR(VLOOKUP(A193,Tabla1[],6,0)," ")</f>
        <v xml:space="preserve"> </v>
      </c>
      <c r="D193" s="30" t="str">
        <f>IFERROR(VLOOKUP(A193,Tabla1[],8,0)," ")</f>
        <v xml:space="preserve"> </v>
      </c>
      <c r="E193" s="31"/>
      <c r="F193" s="30" t="str">
        <f t="shared" si="3"/>
        <v xml:space="preserve"> </v>
      </c>
    </row>
    <row r="194" spans="1:6" ht="22.7" customHeight="1">
      <c r="A194" s="28"/>
      <c r="B194" s="29" t="str">
        <f>IFERROR(VLOOKUP(A194,Tabla1[],2,0)," ")</f>
        <v xml:space="preserve"> </v>
      </c>
      <c r="C194" s="29" t="str">
        <f>IFERROR(VLOOKUP(A194,Tabla1[],6,0)," ")</f>
        <v xml:space="preserve"> </v>
      </c>
      <c r="D194" s="30" t="str">
        <f>IFERROR(VLOOKUP(A194,Tabla1[],8,0)," ")</f>
        <v xml:space="preserve"> </v>
      </c>
      <c r="E194" s="31"/>
      <c r="F194" s="30" t="str">
        <f t="shared" si="3"/>
        <v xml:space="preserve"> </v>
      </c>
    </row>
    <row r="195" spans="1:6" ht="22.7" customHeight="1">
      <c r="A195" s="28"/>
      <c r="B195" s="29" t="str">
        <f>IFERROR(VLOOKUP(A195,Tabla1[],2,0)," ")</f>
        <v xml:space="preserve"> </v>
      </c>
      <c r="C195" s="29" t="str">
        <f>IFERROR(VLOOKUP(A195,Tabla1[],6,0)," ")</f>
        <v xml:space="preserve"> </v>
      </c>
      <c r="D195" s="30" t="str">
        <f>IFERROR(VLOOKUP(A195,Tabla1[],8,0)," ")</f>
        <v xml:space="preserve"> </v>
      </c>
      <c r="E195" s="31"/>
      <c r="F195" s="30" t="str">
        <f t="shared" si="3"/>
        <v xml:space="preserve"> </v>
      </c>
    </row>
    <row r="196" spans="1:6" ht="22.7" customHeight="1">
      <c r="A196" s="28"/>
      <c r="B196" s="29" t="str">
        <f>IFERROR(VLOOKUP(A196,Tabla1[],2,0)," ")</f>
        <v xml:space="preserve"> </v>
      </c>
      <c r="C196" s="29" t="str">
        <f>IFERROR(VLOOKUP(A196,Tabla1[],6,0)," ")</f>
        <v xml:space="preserve"> </v>
      </c>
      <c r="D196" s="30" t="str">
        <f>IFERROR(VLOOKUP(A196,Tabla1[],8,0)," ")</f>
        <v xml:space="preserve"> </v>
      </c>
      <c r="E196" s="31"/>
      <c r="F196" s="30" t="str">
        <f t="shared" ref="F196:F259" si="4">IFERROR((E196*D196), " ")</f>
        <v xml:space="preserve"> </v>
      </c>
    </row>
    <row r="197" spans="1:6" ht="22.7" customHeight="1">
      <c r="A197" s="28"/>
      <c r="B197" s="29" t="str">
        <f>IFERROR(VLOOKUP(A197,Tabla1[],2,0)," ")</f>
        <v xml:space="preserve"> </v>
      </c>
      <c r="C197" s="29" t="str">
        <f>IFERROR(VLOOKUP(A197,Tabla1[],6,0)," ")</f>
        <v xml:space="preserve"> </v>
      </c>
      <c r="D197" s="30" t="str">
        <f>IFERROR(VLOOKUP(A197,Tabla1[],8,0)," ")</f>
        <v xml:space="preserve"> </v>
      </c>
      <c r="E197" s="31"/>
      <c r="F197" s="30" t="str">
        <f t="shared" si="4"/>
        <v xml:space="preserve"> </v>
      </c>
    </row>
    <row r="198" spans="1:6" ht="22.7" customHeight="1">
      <c r="A198" s="28"/>
      <c r="B198" s="29" t="str">
        <f>IFERROR(VLOOKUP(A198,Tabla1[],2,0)," ")</f>
        <v xml:space="preserve"> </v>
      </c>
      <c r="C198" s="29" t="str">
        <f>IFERROR(VLOOKUP(A198,Tabla1[],6,0)," ")</f>
        <v xml:space="preserve"> </v>
      </c>
      <c r="D198" s="30" t="str">
        <f>IFERROR(VLOOKUP(A198,Tabla1[],8,0)," ")</f>
        <v xml:space="preserve"> </v>
      </c>
      <c r="E198" s="31"/>
      <c r="F198" s="30" t="str">
        <f t="shared" si="4"/>
        <v xml:space="preserve"> </v>
      </c>
    </row>
    <row r="199" spans="1:6" ht="22.7" customHeight="1">
      <c r="A199" s="28"/>
      <c r="B199" s="29" t="str">
        <f>IFERROR(VLOOKUP(A199,Tabla1[],2,0)," ")</f>
        <v xml:space="preserve"> </v>
      </c>
      <c r="C199" s="29" t="str">
        <f>IFERROR(VLOOKUP(A199,Tabla1[],6,0)," ")</f>
        <v xml:space="preserve"> </v>
      </c>
      <c r="D199" s="30" t="str">
        <f>IFERROR(VLOOKUP(A199,Tabla1[],8,0)," ")</f>
        <v xml:space="preserve"> </v>
      </c>
      <c r="E199" s="31"/>
      <c r="F199" s="30" t="str">
        <f t="shared" si="4"/>
        <v xml:space="preserve"> </v>
      </c>
    </row>
    <row r="200" spans="1:6" ht="22.7" customHeight="1">
      <c r="A200" s="28"/>
      <c r="B200" s="29" t="str">
        <f>IFERROR(VLOOKUP(A200,Tabla1[],2,0)," ")</f>
        <v xml:space="preserve"> </v>
      </c>
      <c r="C200" s="29" t="str">
        <f>IFERROR(VLOOKUP(A200,Tabla1[],6,0)," ")</f>
        <v xml:space="preserve"> </v>
      </c>
      <c r="D200" s="30" t="str">
        <f>IFERROR(VLOOKUP(A200,Tabla1[],8,0)," ")</f>
        <v xml:space="preserve"> </v>
      </c>
      <c r="E200" s="31"/>
      <c r="F200" s="30" t="str">
        <f t="shared" si="4"/>
        <v xml:space="preserve"> </v>
      </c>
    </row>
    <row r="201" spans="1:6" ht="22.7" customHeight="1">
      <c r="A201" s="28"/>
      <c r="B201" s="29" t="str">
        <f>IFERROR(VLOOKUP(A201,Tabla1[],2,0)," ")</f>
        <v xml:space="preserve"> </v>
      </c>
      <c r="C201" s="29" t="str">
        <f>IFERROR(VLOOKUP(A201,Tabla1[],6,0)," ")</f>
        <v xml:space="preserve"> </v>
      </c>
      <c r="D201" s="30" t="str">
        <f>IFERROR(VLOOKUP(A201,Tabla1[],8,0)," ")</f>
        <v xml:space="preserve"> </v>
      </c>
      <c r="E201" s="31"/>
      <c r="F201" s="30" t="str">
        <f t="shared" si="4"/>
        <v xml:space="preserve"> </v>
      </c>
    </row>
    <row r="202" spans="1:6" ht="22.7" customHeight="1">
      <c r="A202" s="28"/>
      <c r="B202" s="29" t="str">
        <f>IFERROR(VLOOKUP(A202,Tabla1[],2,0)," ")</f>
        <v xml:space="preserve"> </v>
      </c>
      <c r="C202" s="29" t="str">
        <f>IFERROR(VLOOKUP(A202,Tabla1[],6,0)," ")</f>
        <v xml:space="preserve"> </v>
      </c>
      <c r="D202" s="30" t="str">
        <f>IFERROR(VLOOKUP(A202,Tabla1[],8,0)," ")</f>
        <v xml:space="preserve"> </v>
      </c>
      <c r="E202" s="31"/>
      <c r="F202" s="30" t="str">
        <f t="shared" si="4"/>
        <v xml:space="preserve"> </v>
      </c>
    </row>
    <row r="203" spans="1:6" ht="22.7" customHeight="1">
      <c r="A203" s="28"/>
      <c r="B203" s="29" t="str">
        <f>IFERROR(VLOOKUP(A203,Tabla1[],2,0)," ")</f>
        <v xml:space="preserve"> </v>
      </c>
      <c r="C203" s="29" t="str">
        <f>IFERROR(VLOOKUP(A203,Tabla1[],6,0)," ")</f>
        <v xml:space="preserve"> </v>
      </c>
      <c r="D203" s="30" t="str">
        <f>IFERROR(VLOOKUP(A203,Tabla1[],8,0)," ")</f>
        <v xml:space="preserve"> </v>
      </c>
      <c r="E203" s="31"/>
      <c r="F203" s="30" t="str">
        <f t="shared" si="4"/>
        <v xml:space="preserve"> </v>
      </c>
    </row>
    <row r="204" spans="1:6" ht="22.7" customHeight="1">
      <c r="A204" s="28"/>
      <c r="B204" s="29" t="str">
        <f>IFERROR(VLOOKUP(A204,Tabla1[],2,0)," ")</f>
        <v xml:space="preserve"> </v>
      </c>
      <c r="C204" s="29" t="str">
        <f>IFERROR(VLOOKUP(A204,Tabla1[],6,0)," ")</f>
        <v xml:space="preserve"> </v>
      </c>
      <c r="D204" s="30" t="str">
        <f>IFERROR(VLOOKUP(A204,Tabla1[],8,0)," ")</f>
        <v xml:space="preserve"> </v>
      </c>
      <c r="E204" s="31"/>
      <c r="F204" s="30" t="str">
        <f t="shared" si="4"/>
        <v xml:space="preserve"> </v>
      </c>
    </row>
    <row r="205" spans="1:6" ht="22.7" customHeight="1">
      <c r="A205" s="28"/>
      <c r="B205" s="29" t="str">
        <f>IFERROR(VLOOKUP(A205,Tabla1[],2,0)," ")</f>
        <v xml:space="preserve"> </v>
      </c>
      <c r="C205" s="29" t="str">
        <f>IFERROR(VLOOKUP(A205,Tabla1[],6,0)," ")</f>
        <v xml:space="preserve"> </v>
      </c>
      <c r="D205" s="30" t="str">
        <f>IFERROR(VLOOKUP(A205,Tabla1[],8,0)," ")</f>
        <v xml:space="preserve"> </v>
      </c>
      <c r="E205" s="31"/>
      <c r="F205" s="30" t="str">
        <f t="shared" si="4"/>
        <v xml:space="preserve"> </v>
      </c>
    </row>
    <row r="206" spans="1:6" ht="22.7" customHeight="1">
      <c r="A206" s="28"/>
      <c r="B206" s="29" t="str">
        <f>IFERROR(VLOOKUP(A206,Tabla1[],2,0)," ")</f>
        <v xml:space="preserve"> </v>
      </c>
      <c r="C206" s="29" t="str">
        <f>IFERROR(VLOOKUP(A206,Tabla1[],6,0)," ")</f>
        <v xml:space="preserve"> </v>
      </c>
      <c r="D206" s="30" t="str">
        <f>IFERROR(VLOOKUP(A206,Tabla1[],8,0)," ")</f>
        <v xml:space="preserve"> </v>
      </c>
      <c r="E206" s="31"/>
      <c r="F206" s="30" t="str">
        <f t="shared" si="4"/>
        <v xml:space="preserve"> </v>
      </c>
    </row>
    <row r="207" spans="1:6" ht="22.7" customHeight="1">
      <c r="A207" s="28"/>
      <c r="B207" s="29" t="str">
        <f>IFERROR(VLOOKUP(A207,Tabla1[],2,0)," ")</f>
        <v xml:space="preserve"> </v>
      </c>
      <c r="C207" s="29" t="str">
        <f>IFERROR(VLOOKUP(A207,Tabla1[],6,0)," ")</f>
        <v xml:space="preserve"> </v>
      </c>
      <c r="D207" s="30" t="str">
        <f>IFERROR(VLOOKUP(A207,Tabla1[],8,0)," ")</f>
        <v xml:space="preserve"> </v>
      </c>
      <c r="E207" s="31"/>
      <c r="F207" s="30" t="str">
        <f t="shared" si="4"/>
        <v xml:space="preserve"> </v>
      </c>
    </row>
    <row r="208" spans="1:6" ht="22.7" customHeight="1">
      <c r="A208" s="28"/>
      <c r="B208" s="29" t="str">
        <f>IFERROR(VLOOKUP(A208,Tabla1[],2,0)," ")</f>
        <v xml:space="preserve"> </v>
      </c>
      <c r="C208" s="29" t="str">
        <f>IFERROR(VLOOKUP(A208,Tabla1[],6,0)," ")</f>
        <v xml:space="preserve"> </v>
      </c>
      <c r="D208" s="30" t="str">
        <f>IFERROR(VLOOKUP(A208,Tabla1[],8,0)," ")</f>
        <v xml:space="preserve"> </v>
      </c>
      <c r="E208" s="31"/>
      <c r="F208" s="30" t="str">
        <f t="shared" si="4"/>
        <v xml:space="preserve"> </v>
      </c>
    </row>
    <row r="209" spans="1:6" ht="22.7" customHeight="1">
      <c r="A209" s="28"/>
      <c r="B209" s="29" t="str">
        <f>IFERROR(VLOOKUP(A209,Tabla1[],2,0)," ")</f>
        <v xml:space="preserve"> </v>
      </c>
      <c r="C209" s="29" t="str">
        <f>IFERROR(VLOOKUP(A209,Tabla1[],6,0)," ")</f>
        <v xml:space="preserve"> </v>
      </c>
      <c r="D209" s="30" t="str">
        <f>IFERROR(VLOOKUP(A209,Tabla1[],8,0)," ")</f>
        <v xml:space="preserve"> </v>
      </c>
      <c r="E209" s="31"/>
      <c r="F209" s="30" t="str">
        <f t="shared" si="4"/>
        <v xml:space="preserve"> </v>
      </c>
    </row>
    <row r="210" spans="1:6" ht="22.7" customHeight="1">
      <c r="A210" s="28"/>
      <c r="B210" s="29" t="str">
        <f>IFERROR(VLOOKUP(A210,Tabla1[],2,0)," ")</f>
        <v xml:space="preserve"> </v>
      </c>
      <c r="C210" s="29" t="str">
        <f>IFERROR(VLOOKUP(A210,Tabla1[],6,0)," ")</f>
        <v xml:space="preserve"> </v>
      </c>
      <c r="D210" s="30" t="str">
        <f>IFERROR(VLOOKUP(A210,Tabla1[],8,0)," ")</f>
        <v xml:space="preserve"> </v>
      </c>
      <c r="E210" s="31"/>
      <c r="F210" s="30" t="str">
        <f t="shared" si="4"/>
        <v xml:space="preserve"> </v>
      </c>
    </row>
    <row r="211" spans="1:6" ht="22.7" customHeight="1">
      <c r="A211" s="28"/>
      <c r="B211" s="29" t="str">
        <f>IFERROR(VLOOKUP(A211,Tabla1[],2,0)," ")</f>
        <v xml:space="preserve"> </v>
      </c>
      <c r="C211" s="29" t="str">
        <f>IFERROR(VLOOKUP(A211,Tabla1[],6,0)," ")</f>
        <v xml:space="preserve"> </v>
      </c>
      <c r="D211" s="30" t="str">
        <f>IFERROR(VLOOKUP(A211,Tabla1[],8,0)," ")</f>
        <v xml:space="preserve"> </v>
      </c>
      <c r="E211" s="31"/>
      <c r="F211" s="30" t="str">
        <f t="shared" si="4"/>
        <v xml:space="preserve"> </v>
      </c>
    </row>
    <row r="212" spans="1:6" ht="22.7" customHeight="1">
      <c r="A212" s="28"/>
      <c r="B212" s="29" t="str">
        <f>IFERROR(VLOOKUP(A212,Tabla1[],2,0)," ")</f>
        <v xml:space="preserve"> </v>
      </c>
      <c r="C212" s="29" t="str">
        <f>IFERROR(VLOOKUP(A212,Tabla1[],6,0)," ")</f>
        <v xml:space="preserve"> </v>
      </c>
      <c r="D212" s="30" t="str">
        <f>IFERROR(VLOOKUP(A212,Tabla1[],8,0)," ")</f>
        <v xml:space="preserve"> </v>
      </c>
      <c r="E212" s="31"/>
      <c r="F212" s="30" t="str">
        <f t="shared" si="4"/>
        <v xml:space="preserve"> </v>
      </c>
    </row>
    <row r="213" spans="1:6" ht="22.7" customHeight="1">
      <c r="A213" s="28"/>
      <c r="B213" s="29" t="str">
        <f>IFERROR(VLOOKUP(A213,Tabla1[],2,0)," ")</f>
        <v xml:space="preserve"> </v>
      </c>
      <c r="C213" s="29" t="str">
        <f>IFERROR(VLOOKUP(A213,Tabla1[],6,0)," ")</f>
        <v xml:space="preserve"> </v>
      </c>
      <c r="D213" s="30" t="str">
        <f>IFERROR(VLOOKUP(A213,Tabla1[],8,0)," ")</f>
        <v xml:space="preserve"> </v>
      </c>
      <c r="E213" s="31"/>
      <c r="F213" s="30" t="str">
        <f t="shared" si="4"/>
        <v xml:space="preserve"> </v>
      </c>
    </row>
    <row r="214" spans="1:6" ht="22.7" customHeight="1">
      <c r="A214" s="28"/>
      <c r="B214" s="29" t="str">
        <f>IFERROR(VLOOKUP(A214,Tabla1[],2,0)," ")</f>
        <v xml:space="preserve"> </v>
      </c>
      <c r="C214" s="29" t="str">
        <f>IFERROR(VLOOKUP(A214,Tabla1[],6,0)," ")</f>
        <v xml:space="preserve"> </v>
      </c>
      <c r="D214" s="30" t="str">
        <f>IFERROR(VLOOKUP(A214,Tabla1[],8,0)," ")</f>
        <v xml:space="preserve"> </v>
      </c>
      <c r="E214" s="31"/>
      <c r="F214" s="30" t="str">
        <f t="shared" si="4"/>
        <v xml:space="preserve"> </v>
      </c>
    </row>
    <row r="215" spans="1:6" ht="22.7" customHeight="1">
      <c r="A215" s="28"/>
      <c r="B215" s="29" t="str">
        <f>IFERROR(VLOOKUP(A215,Tabla1[],2,0)," ")</f>
        <v xml:space="preserve"> </v>
      </c>
      <c r="C215" s="29" t="str">
        <f>IFERROR(VLOOKUP(A215,Tabla1[],6,0)," ")</f>
        <v xml:space="preserve"> </v>
      </c>
      <c r="D215" s="30" t="str">
        <f>IFERROR(VLOOKUP(A215,Tabla1[],8,0)," ")</f>
        <v xml:space="preserve"> </v>
      </c>
      <c r="E215" s="31"/>
      <c r="F215" s="30" t="str">
        <f t="shared" si="4"/>
        <v xml:space="preserve"> </v>
      </c>
    </row>
    <row r="216" spans="1:6" ht="22.7" customHeight="1">
      <c r="A216" s="28"/>
      <c r="B216" s="29" t="str">
        <f>IFERROR(VLOOKUP(A216,Tabla1[],2,0)," ")</f>
        <v xml:space="preserve"> </v>
      </c>
      <c r="C216" s="29" t="str">
        <f>IFERROR(VLOOKUP(A216,Tabla1[],6,0)," ")</f>
        <v xml:space="preserve"> </v>
      </c>
      <c r="D216" s="30" t="str">
        <f>IFERROR(VLOOKUP(A216,Tabla1[],8,0)," ")</f>
        <v xml:space="preserve"> </v>
      </c>
      <c r="E216" s="31"/>
      <c r="F216" s="30" t="str">
        <f t="shared" si="4"/>
        <v xml:space="preserve"> </v>
      </c>
    </row>
    <row r="217" spans="1:6" ht="22.7" customHeight="1">
      <c r="A217" s="28"/>
      <c r="B217" s="29" t="str">
        <f>IFERROR(VLOOKUP(A217,Tabla1[],2,0)," ")</f>
        <v xml:space="preserve"> </v>
      </c>
      <c r="C217" s="29" t="str">
        <f>IFERROR(VLOOKUP(A217,Tabla1[],6,0)," ")</f>
        <v xml:space="preserve"> </v>
      </c>
      <c r="D217" s="30" t="str">
        <f>IFERROR(VLOOKUP(A217,Tabla1[],8,0)," ")</f>
        <v xml:space="preserve"> </v>
      </c>
      <c r="E217" s="31"/>
      <c r="F217" s="30" t="str">
        <f t="shared" si="4"/>
        <v xml:space="preserve"> </v>
      </c>
    </row>
    <row r="218" spans="1:6" ht="22.7" customHeight="1">
      <c r="A218" s="28"/>
      <c r="B218" s="29" t="str">
        <f>IFERROR(VLOOKUP(A218,Tabla1[],2,0)," ")</f>
        <v xml:space="preserve"> </v>
      </c>
      <c r="C218" s="29" t="str">
        <f>IFERROR(VLOOKUP(A218,Tabla1[],6,0)," ")</f>
        <v xml:space="preserve"> </v>
      </c>
      <c r="D218" s="30" t="str">
        <f>IFERROR(VLOOKUP(A218,Tabla1[],8,0)," ")</f>
        <v xml:space="preserve"> </v>
      </c>
      <c r="E218" s="31"/>
      <c r="F218" s="30" t="str">
        <f t="shared" si="4"/>
        <v xml:space="preserve"> </v>
      </c>
    </row>
    <row r="219" spans="1:6" ht="22.7" customHeight="1">
      <c r="A219" s="28"/>
      <c r="B219" s="29" t="str">
        <f>IFERROR(VLOOKUP(A219,Tabla1[],2,0)," ")</f>
        <v xml:space="preserve"> </v>
      </c>
      <c r="C219" s="29" t="str">
        <f>IFERROR(VLOOKUP(A219,Tabla1[],6,0)," ")</f>
        <v xml:space="preserve"> </v>
      </c>
      <c r="D219" s="30" t="str">
        <f>IFERROR(VLOOKUP(A219,Tabla1[],8,0)," ")</f>
        <v xml:space="preserve"> </v>
      </c>
      <c r="E219" s="31"/>
      <c r="F219" s="30" t="str">
        <f t="shared" si="4"/>
        <v xml:space="preserve"> </v>
      </c>
    </row>
    <row r="220" spans="1:6" ht="22.7" customHeight="1">
      <c r="A220" s="28"/>
      <c r="B220" s="29" t="str">
        <f>IFERROR(VLOOKUP(A220,Tabla1[],2,0)," ")</f>
        <v xml:space="preserve"> </v>
      </c>
      <c r="C220" s="29" t="str">
        <f>IFERROR(VLOOKUP(A220,Tabla1[],6,0)," ")</f>
        <v xml:space="preserve"> </v>
      </c>
      <c r="D220" s="30" t="str">
        <f>IFERROR(VLOOKUP(A220,Tabla1[],8,0)," ")</f>
        <v xml:space="preserve"> </v>
      </c>
      <c r="E220" s="31"/>
      <c r="F220" s="30" t="str">
        <f t="shared" si="4"/>
        <v xml:space="preserve"> </v>
      </c>
    </row>
    <row r="221" spans="1:6" ht="22.7" customHeight="1">
      <c r="A221" s="28"/>
      <c r="B221" s="29" t="str">
        <f>IFERROR(VLOOKUP(A221,Tabla1[],2,0)," ")</f>
        <v xml:space="preserve"> </v>
      </c>
      <c r="C221" s="29" t="str">
        <f>IFERROR(VLOOKUP(A221,Tabla1[],6,0)," ")</f>
        <v xml:space="preserve"> </v>
      </c>
      <c r="D221" s="30" t="str">
        <f>IFERROR(VLOOKUP(A221,Tabla1[],8,0)," ")</f>
        <v xml:space="preserve"> </v>
      </c>
      <c r="E221" s="31"/>
      <c r="F221" s="30" t="str">
        <f t="shared" si="4"/>
        <v xml:space="preserve"> </v>
      </c>
    </row>
    <row r="222" spans="1:6" ht="22.7" customHeight="1">
      <c r="A222" s="28"/>
      <c r="B222" s="29" t="str">
        <f>IFERROR(VLOOKUP(A222,Tabla1[],2,0)," ")</f>
        <v xml:space="preserve"> </v>
      </c>
      <c r="C222" s="29" t="str">
        <f>IFERROR(VLOOKUP(A222,Tabla1[],6,0)," ")</f>
        <v xml:space="preserve"> </v>
      </c>
      <c r="D222" s="30" t="str">
        <f>IFERROR(VLOOKUP(A222,Tabla1[],8,0)," ")</f>
        <v xml:space="preserve"> </v>
      </c>
      <c r="E222" s="31"/>
      <c r="F222" s="30" t="str">
        <f t="shared" si="4"/>
        <v xml:space="preserve"> </v>
      </c>
    </row>
    <row r="223" spans="1:6" ht="22.7" customHeight="1">
      <c r="A223" s="28"/>
      <c r="B223" s="29" t="str">
        <f>IFERROR(VLOOKUP(A223,Tabla1[],2,0)," ")</f>
        <v xml:space="preserve"> </v>
      </c>
      <c r="C223" s="29" t="str">
        <f>IFERROR(VLOOKUP(A223,Tabla1[],6,0)," ")</f>
        <v xml:space="preserve"> </v>
      </c>
      <c r="D223" s="30" t="str">
        <f>IFERROR(VLOOKUP(A223,Tabla1[],8,0)," ")</f>
        <v xml:space="preserve"> </v>
      </c>
      <c r="E223" s="31"/>
      <c r="F223" s="30" t="str">
        <f t="shared" si="4"/>
        <v xml:space="preserve"> </v>
      </c>
    </row>
    <row r="224" spans="1:6" ht="22.7" customHeight="1">
      <c r="A224" s="28"/>
      <c r="B224" s="29" t="str">
        <f>IFERROR(VLOOKUP(A224,Tabla1[],2,0)," ")</f>
        <v xml:space="preserve"> </v>
      </c>
      <c r="C224" s="29" t="str">
        <f>IFERROR(VLOOKUP(A224,Tabla1[],6,0)," ")</f>
        <v xml:space="preserve"> </v>
      </c>
      <c r="D224" s="30" t="str">
        <f>IFERROR(VLOOKUP(A224,Tabla1[],8,0)," ")</f>
        <v xml:space="preserve"> </v>
      </c>
      <c r="E224" s="31"/>
      <c r="F224" s="30" t="str">
        <f t="shared" si="4"/>
        <v xml:space="preserve"> </v>
      </c>
    </row>
    <row r="225" spans="1:6" ht="22.7" customHeight="1">
      <c r="A225" s="28"/>
      <c r="B225" s="29" t="str">
        <f>IFERROR(VLOOKUP(A225,Tabla1[],2,0)," ")</f>
        <v xml:space="preserve"> </v>
      </c>
      <c r="C225" s="29" t="str">
        <f>IFERROR(VLOOKUP(A225,Tabla1[],6,0)," ")</f>
        <v xml:space="preserve"> </v>
      </c>
      <c r="D225" s="30" t="str">
        <f>IFERROR(VLOOKUP(A225,Tabla1[],8,0)," ")</f>
        <v xml:space="preserve"> </v>
      </c>
      <c r="E225" s="31"/>
      <c r="F225" s="30" t="str">
        <f t="shared" si="4"/>
        <v xml:space="preserve"> </v>
      </c>
    </row>
    <row r="226" spans="1:6" ht="22.7" customHeight="1">
      <c r="A226" s="28"/>
      <c r="B226" s="29" t="str">
        <f>IFERROR(VLOOKUP(A226,Tabla1[],2,0)," ")</f>
        <v xml:space="preserve"> </v>
      </c>
      <c r="C226" s="29" t="str">
        <f>IFERROR(VLOOKUP(A226,Tabla1[],6,0)," ")</f>
        <v xml:space="preserve"> </v>
      </c>
      <c r="D226" s="30" t="str">
        <f>IFERROR(VLOOKUP(A226,Tabla1[],8,0)," ")</f>
        <v xml:space="preserve"> </v>
      </c>
      <c r="E226" s="31"/>
      <c r="F226" s="30" t="str">
        <f t="shared" si="4"/>
        <v xml:space="preserve"> </v>
      </c>
    </row>
    <row r="227" spans="1:6" ht="22.7" customHeight="1">
      <c r="A227" s="28"/>
      <c r="B227" s="29" t="str">
        <f>IFERROR(VLOOKUP(A227,Tabla1[],2,0)," ")</f>
        <v xml:space="preserve"> </v>
      </c>
      <c r="C227" s="29" t="str">
        <f>IFERROR(VLOOKUP(A227,Tabla1[],6,0)," ")</f>
        <v xml:space="preserve"> </v>
      </c>
      <c r="D227" s="30" t="str">
        <f>IFERROR(VLOOKUP(A227,Tabla1[],8,0)," ")</f>
        <v xml:space="preserve"> </v>
      </c>
      <c r="E227" s="31"/>
      <c r="F227" s="30" t="str">
        <f t="shared" si="4"/>
        <v xml:space="preserve"> </v>
      </c>
    </row>
    <row r="228" spans="1:6" ht="22.7" customHeight="1">
      <c r="A228" s="28"/>
      <c r="B228" s="29" t="str">
        <f>IFERROR(VLOOKUP(A228,Tabla1[],2,0)," ")</f>
        <v xml:space="preserve"> </v>
      </c>
      <c r="C228" s="29" t="str">
        <f>IFERROR(VLOOKUP(A228,Tabla1[],6,0)," ")</f>
        <v xml:space="preserve"> </v>
      </c>
      <c r="D228" s="30" t="str">
        <f>IFERROR(VLOOKUP(A228,Tabla1[],8,0)," ")</f>
        <v xml:space="preserve"> </v>
      </c>
      <c r="E228" s="31"/>
      <c r="F228" s="30" t="str">
        <f t="shared" si="4"/>
        <v xml:space="preserve"> </v>
      </c>
    </row>
    <row r="229" spans="1:6" ht="22.7" customHeight="1">
      <c r="A229" s="28"/>
      <c r="B229" s="29" t="str">
        <f>IFERROR(VLOOKUP(A229,Tabla1[],2,0)," ")</f>
        <v xml:space="preserve"> </v>
      </c>
      <c r="C229" s="29" t="str">
        <f>IFERROR(VLOOKUP(A229,Tabla1[],6,0)," ")</f>
        <v xml:space="preserve"> </v>
      </c>
      <c r="D229" s="30" t="str">
        <f>IFERROR(VLOOKUP(A229,Tabla1[],8,0)," ")</f>
        <v xml:space="preserve"> </v>
      </c>
      <c r="E229" s="31"/>
      <c r="F229" s="30" t="str">
        <f t="shared" si="4"/>
        <v xml:space="preserve"> </v>
      </c>
    </row>
    <row r="230" spans="1:6" ht="22.7" customHeight="1">
      <c r="A230" s="28"/>
      <c r="B230" s="29" t="str">
        <f>IFERROR(VLOOKUP(A230,Tabla1[],2,0)," ")</f>
        <v xml:space="preserve"> </v>
      </c>
      <c r="C230" s="29" t="str">
        <f>IFERROR(VLOOKUP(A230,Tabla1[],6,0)," ")</f>
        <v xml:space="preserve"> </v>
      </c>
      <c r="D230" s="30" t="str">
        <f>IFERROR(VLOOKUP(A230,Tabla1[],8,0)," ")</f>
        <v xml:space="preserve"> </v>
      </c>
      <c r="E230" s="31"/>
      <c r="F230" s="30" t="str">
        <f t="shared" si="4"/>
        <v xml:space="preserve"> </v>
      </c>
    </row>
    <row r="231" spans="1:6" ht="22.7" customHeight="1">
      <c r="A231" s="28"/>
      <c r="B231" s="29" t="str">
        <f>IFERROR(VLOOKUP(A231,Tabla1[],2,0)," ")</f>
        <v xml:space="preserve"> </v>
      </c>
      <c r="C231" s="29" t="str">
        <f>IFERROR(VLOOKUP(A231,Tabla1[],6,0)," ")</f>
        <v xml:space="preserve"> </v>
      </c>
      <c r="D231" s="30" t="str">
        <f>IFERROR(VLOOKUP(A231,Tabla1[],8,0)," ")</f>
        <v xml:space="preserve"> </v>
      </c>
      <c r="E231" s="31"/>
      <c r="F231" s="30" t="str">
        <f t="shared" si="4"/>
        <v xml:space="preserve"> </v>
      </c>
    </row>
    <row r="232" spans="1:6" ht="22.7" customHeight="1">
      <c r="A232" s="28"/>
      <c r="B232" s="29" t="str">
        <f>IFERROR(VLOOKUP(A232,Tabla1[],2,0)," ")</f>
        <v xml:space="preserve"> </v>
      </c>
      <c r="C232" s="29" t="str">
        <f>IFERROR(VLOOKUP(A232,Tabla1[],6,0)," ")</f>
        <v xml:space="preserve"> </v>
      </c>
      <c r="D232" s="30" t="str">
        <f>IFERROR(VLOOKUP(A232,Tabla1[],8,0)," ")</f>
        <v xml:space="preserve"> </v>
      </c>
      <c r="E232" s="31"/>
      <c r="F232" s="30" t="str">
        <f t="shared" si="4"/>
        <v xml:space="preserve"> </v>
      </c>
    </row>
    <row r="233" spans="1:6" ht="22.7" customHeight="1">
      <c r="A233" s="28"/>
      <c r="B233" s="29" t="str">
        <f>IFERROR(VLOOKUP(A233,Tabla1[],2,0)," ")</f>
        <v xml:space="preserve"> </v>
      </c>
      <c r="C233" s="29" t="str">
        <f>IFERROR(VLOOKUP(A233,Tabla1[],6,0)," ")</f>
        <v xml:space="preserve"> </v>
      </c>
      <c r="D233" s="30" t="str">
        <f>IFERROR(VLOOKUP(A233,Tabla1[],8,0)," ")</f>
        <v xml:space="preserve"> </v>
      </c>
      <c r="E233" s="31"/>
      <c r="F233" s="30" t="str">
        <f t="shared" si="4"/>
        <v xml:space="preserve"> </v>
      </c>
    </row>
    <row r="234" spans="1:6" ht="22.7" customHeight="1">
      <c r="A234" s="28"/>
      <c r="B234" s="29" t="str">
        <f>IFERROR(VLOOKUP(A234,Tabla1[],2,0)," ")</f>
        <v xml:space="preserve"> </v>
      </c>
      <c r="C234" s="29" t="str">
        <f>IFERROR(VLOOKUP(A234,Tabla1[],6,0)," ")</f>
        <v xml:space="preserve"> </v>
      </c>
      <c r="D234" s="30" t="str">
        <f>IFERROR(VLOOKUP(A234,Tabla1[],8,0)," ")</f>
        <v xml:space="preserve"> </v>
      </c>
      <c r="E234" s="31"/>
      <c r="F234" s="30" t="str">
        <f t="shared" si="4"/>
        <v xml:space="preserve"> </v>
      </c>
    </row>
    <row r="235" spans="1:6" ht="22.7" customHeight="1">
      <c r="A235" s="28"/>
      <c r="B235" s="29" t="str">
        <f>IFERROR(VLOOKUP(A235,Tabla1[],2,0)," ")</f>
        <v xml:space="preserve"> </v>
      </c>
      <c r="C235" s="29" t="str">
        <f>IFERROR(VLOOKUP(A235,Tabla1[],6,0)," ")</f>
        <v xml:space="preserve"> </v>
      </c>
      <c r="D235" s="30" t="str">
        <f>IFERROR(VLOOKUP(A235,Tabla1[],8,0)," ")</f>
        <v xml:space="preserve"> </v>
      </c>
      <c r="E235" s="31"/>
      <c r="F235" s="30" t="str">
        <f t="shared" si="4"/>
        <v xml:space="preserve"> </v>
      </c>
    </row>
    <row r="236" spans="1:6" ht="22.7" customHeight="1">
      <c r="A236" s="28"/>
      <c r="B236" s="29" t="str">
        <f>IFERROR(VLOOKUP(A236,Tabla1[],2,0)," ")</f>
        <v xml:space="preserve"> </v>
      </c>
      <c r="C236" s="29" t="str">
        <f>IFERROR(VLOOKUP(A236,Tabla1[],6,0)," ")</f>
        <v xml:space="preserve"> </v>
      </c>
      <c r="D236" s="30" t="str">
        <f>IFERROR(VLOOKUP(A236,Tabla1[],8,0)," ")</f>
        <v xml:space="preserve"> </v>
      </c>
      <c r="E236" s="31"/>
      <c r="F236" s="30" t="str">
        <f t="shared" si="4"/>
        <v xml:space="preserve"> </v>
      </c>
    </row>
    <row r="237" spans="1:6" ht="22.7" customHeight="1">
      <c r="A237" s="28"/>
      <c r="B237" s="29" t="str">
        <f>IFERROR(VLOOKUP(A237,Tabla1[],2,0)," ")</f>
        <v xml:space="preserve"> </v>
      </c>
      <c r="C237" s="29" t="str">
        <f>IFERROR(VLOOKUP(A237,Tabla1[],6,0)," ")</f>
        <v xml:space="preserve"> </v>
      </c>
      <c r="D237" s="30" t="str">
        <f>IFERROR(VLOOKUP(A237,Tabla1[],8,0)," ")</f>
        <v xml:space="preserve"> </v>
      </c>
      <c r="E237" s="31"/>
      <c r="F237" s="30" t="str">
        <f t="shared" si="4"/>
        <v xml:space="preserve"> </v>
      </c>
    </row>
    <row r="238" spans="1:6" ht="22.7" customHeight="1">
      <c r="A238" s="28"/>
      <c r="B238" s="29" t="str">
        <f>IFERROR(VLOOKUP(A238,Tabla1[],2,0)," ")</f>
        <v xml:space="preserve"> </v>
      </c>
      <c r="C238" s="29" t="str">
        <f>IFERROR(VLOOKUP(A238,Tabla1[],6,0)," ")</f>
        <v xml:space="preserve"> </v>
      </c>
      <c r="D238" s="30" t="str">
        <f>IFERROR(VLOOKUP(A238,Tabla1[],8,0)," ")</f>
        <v xml:space="preserve"> </v>
      </c>
      <c r="E238" s="31"/>
      <c r="F238" s="30" t="str">
        <f t="shared" si="4"/>
        <v xml:space="preserve"> </v>
      </c>
    </row>
    <row r="239" spans="1:6" ht="22.7" customHeight="1">
      <c r="A239" s="28"/>
      <c r="B239" s="29" t="str">
        <f>IFERROR(VLOOKUP(A239,Tabla1[],2,0)," ")</f>
        <v xml:space="preserve"> </v>
      </c>
      <c r="C239" s="29" t="str">
        <f>IFERROR(VLOOKUP(A239,Tabla1[],6,0)," ")</f>
        <v xml:space="preserve"> </v>
      </c>
      <c r="D239" s="30" t="str">
        <f>IFERROR(VLOOKUP(A239,Tabla1[],8,0)," ")</f>
        <v xml:space="preserve"> </v>
      </c>
      <c r="E239" s="31"/>
      <c r="F239" s="30" t="str">
        <f t="shared" si="4"/>
        <v xml:space="preserve"> </v>
      </c>
    </row>
    <row r="240" spans="1:6" ht="22.7" customHeight="1">
      <c r="A240" s="28"/>
      <c r="B240" s="29" t="str">
        <f>IFERROR(VLOOKUP(A240,Tabla1[],2,0)," ")</f>
        <v xml:space="preserve"> </v>
      </c>
      <c r="C240" s="29" t="str">
        <f>IFERROR(VLOOKUP(A240,Tabla1[],6,0)," ")</f>
        <v xml:space="preserve"> </v>
      </c>
      <c r="D240" s="30" t="str">
        <f>IFERROR(VLOOKUP(A240,Tabla1[],8,0)," ")</f>
        <v xml:space="preserve"> </v>
      </c>
      <c r="E240" s="31"/>
      <c r="F240" s="30" t="str">
        <f t="shared" si="4"/>
        <v xml:space="preserve"> </v>
      </c>
    </row>
    <row r="241" spans="1:6" ht="22.7" customHeight="1">
      <c r="A241" s="28"/>
      <c r="B241" s="29" t="str">
        <f>IFERROR(VLOOKUP(A241,Tabla1[],2,0)," ")</f>
        <v xml:space="preserve"> </v>
      </c>
      <c r="C241" s="29" t="str">
        <f>IFERROR(VLOOKUP(A241,Tabla1[],6,0)," ")</f>
        <v xml:space="preserve"> </v>
      </c>
      <c r="D241" s="30" t="str">
        <f>IFERROR(VLOOKUP(A241,Tabla1[],8,0)," ")</f>
        <v xml:space="preserve"> </v>
      </c>
      <c r="E241" s="31"/>
      <c r="F241" s="30" t="str">
        <f t="shared" si="4"/>
        <v xml:space="preserve"> </v>
      </c>
    </row>
    <row r="242" spans="1:6" ht="22.7" customHeight="1">
      <c r="A242" s="28"/>
      <c r="B242" s="29" t="str">
        <f>IFERROR(VLOOKUP(A242,Tabla1[],2,0)," ")</f>
        <v xml:space="preserve"> </v>
      </c>
      <c r="C242" s="29" t="str">
        <f>IFERROR(VLOOKUP(A242,Tabla1[],6,0)," ")</f>
        <v xml:space="preserve"> </v>
      </c>
      <c r="D242" s="30" t="str">
        <f>IFERROR(VLOOKUP(A242,Tabla1[],8,0)," ")</f>
        <v xml:space="preserve"> </v>
      </c>
      <c r="E242" s="31"/>
      <c r="F242" s="30" t="str">
        <f t="shared" si="4"/>
        <v xml:space="preserve"> </v>
      </c>
    </row>
    <row r="243" spans="1:6" ht="22.7" customHeight="1">
      <c r="A243" s="28"/>
      <c r="B243" s="29" t="str">
        <f>IFERROR(VLOOKUP(A243,Tabla1[],2,0)," ")</f>
        <v xml:space="preserve"> </v>
      </c>
      <c r="C243" s="29" t="str">
        <f>IFERROR(VLOOKUP(A243,Tabla1[],6,0)," ")</f>
        <v xml:space="preserve"> </v>
      </c>
      <c r="D243" s="30" t="str">
        <f>IFERROR(VLOOKUP(A243,Tabla1[],8,0)," ")</f>
        <v xml:space="preserve"> </v>
      </c>
      <c r="E243" s="31"/>
      <c r="F243" s="30" t="str">
        <f t="shared" si="4"/>
        <v xml:space="preserve"> </v>
      </c>
    </row>
    <row r="244" spans="1:6" ht="22.7" customHeight="1">
      <c r="A244" s="28"/>
      <c r="B244" s="29" t="str">
        <f>IFERROR(VLOOKUP(A244,Tabla1[],2,0)," ")</f>
        <v xml:space="preserve"> </v>
      </c>
      <c r="C244" s="29" t="str">
        <f>IFERROR(VLOOKUP(A244,Tabla1[],6,0)," ")</f>
        <v xml:space="preserve"> </v>
      </c>
      <c r="D244" s="30" t="str">
        <f>IFERROR(VLOOKUP(A244,Tabla1[],8,0)," ")</f>
        <v xml:space="preserve"> </v>
      </c>
      <c r="E244" s="31"/>
      <c r="F244" s="30" t="str">
        <f t="shared" si="4"/>
        <v xml:space="preserve"> </v>
      </c>
    </row>
    <row r="245" spans="1:6" ht="22.7" customHeight="1">
      <c r="A245" s="28"/>
      <c r="B245" s="29" t="str">
        <f>IFERROR(VLOOKUP(A245,Tabla1[],2,0)," ")</f>
        <v xml:space="preserve"> </v>
      </c>
      <c r="C245" s="29" t="str">
        <f>IFERROR(VLOOKUP(A245,Tabla1[],6,0)," ")</f>
        <v xml:space="preserve"> </v>
      </c>
      <c r="D245" s="30" t="str">
        <f>IFERROR(VLOOKUP(A245,Tabla1[],8,0)," ")</f>
        <v xml:space="preserve"> </v>
      </c>
      <c r="E245" s="31"/>
      <c r="F245" s="30" t="str">
        <f t="shared" si="4"/>
        <v xml:space="preserve"> </v>
      </c>
    </row>
    <row r="246" spans="1:6" ht="22.7" customHeight="1">
      <c r="A246" s="28"/>
      <c r="B246" s="29" t="str">
        <f>IFERROR(VLOOKUP(A246,Tabla1[],2,0)," ")</f>
        <v xml:space="preserve"> </v>
      </c>
      <c r="C246" s="29" t="str">
        <f>IFERROR(VLOOKUP(A246,Tabla1[],6,0)," ")</f>
        <v xml:space="preserve"> </v>
      </c>
      <c r="D246" s="30" t="str">
        <f>IFERROR(VLOOKUP(A246,Tabla1[],8,0)," ")</f>
        <v xml:space="preserve"> </v>
      </c>
      <c r="E246" s="31"/>
      <c r="F246" s="30" t="str">
        <f t="shared" si="4"/>
        <v xml:space="preserve"> </v>
      </c>
    </row>
    <row r="247" spans="1:6" ht="22.7" customHeight="1">
      <c r="A247" s="28"/>
      <c r="B247" s="29" t="str">
        <f>IFERROR(VLOOKUP(A247,Tabla1[],2,0)," ")</f>
        <v xml:space="preserve"> </v>
      </c>
      <c r="C247" s="29" t="str">
        <f>IFERROR(VLOOKUP(A247,Tabla1[],6,0)," ")</f>
        <v xml:space="preserve"> </v>
      </c>
      <c r="D247" s="30" t="str">
        <f>IFERROR(VLOOKUP(A247,Tabla1[],8,0)," ")</f>
        <v xml:space="preserve"> </v>
      </c>
      <c r="E247" s="31"/>
      <c r="F247" s="30" t="str">
        <f t="shared" si="4"/>
        <v xml:space="preserve"> </v>
      </c>
    </row>
    <row r="248" spans="1:6" ht="22.7" customHeight="1">
      <c r="A248" s="28"/>
      <c r="B248" s="29" t="str">
        <f>IFERROR(VLOOKUP(A248,Tabla1[],2,0)," ")</f>
        <v xml:space="preserve"> </v>
      </c>
      <c r="C248" s="29" t="str">
        <f>IFERROR(VLOOKUP(A248,Tabla1[],6,0)," ")</f>
        <v xml:space="preserve"> </v>
      </c>
      <c r="D248" s="30" t="str">
        <f>IFERROR(VLOOKUP(A248,Tabla1[],8,0)," ")</f>
        <v xml:space="preserve"> </v>
      </c>
      <c r="E248" s="31"/>
      <c r="F248" s="30" t="str">
        <f t="shared" si="4"/>
        <v xml:space="preserve"> </v>
      </c>
    </row>
    <row r="249" spans="1:6" ht="22.7" customHeight="1">
      <c r="A249" s="28"/>
      <c r="B249" s="29" t="str">
        <f>IFERROR(VLOOKUP(A249,Tabla1[],2,0)," ")</f>
        <v xml:space="preserve"> </v>
      </c>
      <c r="C249" s="29" t="str">
        <f>IFERROR(VLOOKUP(A249,Tabla1[],6,0)," ")</f>
        <v xml:space="preserve"> </v>
      </c>
      <c r="D249" s="30" t="str">
        <f>IFERROR(VLOOKUP(A249,Tabla1[],8,0)," ")</f>
        <v xml:space="preserve"> </v>
      </c>
      <c r="E249" s="31"/>
      <c r="F249" s="30" t="str">
        <f t="shared" si="4"/>
        <v xml:space="preserve"> </v>
      </c>
    </row>
    <row r="250" spans="1:6" ht="22.7" customHeight="1">
      <c r="A250" s="28"/>
      <c r="B250" s="29" t="str">
        <f>IFERROR(VLOOKUP(A250,Tabla1[],2,0)," ")</f>
        <v xml:space="preserve"> </v>
      </c>
      <c r="C250" s="29" t="str">
        <f>IFERROR(VLOOKUP(A250,Tabla1[],6,0)," ")</f>
        <v xml:space="preserve"> </v>
      </c>
      <c r="D250" s="30" t="str">
        <f>IFERROR(VLOOKUP(A250,Tabla1[],8,0)," ")</f>
        <v xml:space="preserve"> </v>
      </c>
      <c r="E250" s="31"/>
      <c r="F250" s="30" t="str">
        <f t="shared" si="4"/>
        <v xml:space="preserve"> </v>
      </c>
    </row>
    <row r="251" spans="1:6" ht="22.7" customHeight="1">
      <c r="A251" s="28"/>
      <c r="B251" s="29" t="str">
        <f>IFERROR(VLOOKUP(A251,Tabla1[],2,0)," ")</f>
        <v xml:space="preserve"> </v>
      </c>
      <c r="C251" s="29" t="str">
        <f>IFERROR(VLOOKUP(A251,Tabla1[],6,0)," ")</f>
        <v xml:space="preserve"> </v>
      </c>
      <c r="D251" s="30" t="str">
        <f>IFERROR(VLOOKUP(A251,Tabla1[],8,0)," ")</f>
        <v xml:space="preserve"> </v>
      </c>
      <c r="E251" s="31"/>
      <c r="F251" s="30" t="str">
        <f t="shared" si="4"/>
        <v xml:space="preserve"> </v>
      </c>
    </row>
    <row r="252" spans="1:6" ht="22.7" customHeight="1">
      <c r="A252" s="28"/>
      <c r="B252" s="29" t="str">
        <f>IFERROR(VLOOKUP(A252,Tabla1[],2,0)," ")</f>
        <v xml:space="preserve"> </v>
      </c>
      <c r="C252" s="29" t="str">
        <f>IFERROR(VLOOKUP(A252,Tabla1[],6,0)," ")</f>
        <v xml:space="preserve"> </v>
      </c>
      <c r="D252" s="30" t="str">
        <f>IFERROR(VLOOKUP(A252,Tabla1[],8,0)," ")</f>
        <v xml:space="preserve"> </v>
      </c>
      <c r="E252" s="31"/>
      <c r="F252" s="30" t="str">
        <f t="shared" si="4"/>
        <v xml:space="preserve"> </v>
      </c>
    </row>
    <row r="253" spans="1:6" ht="22.7" customHeight="1">
      <c r="A253" s="28"/>
      <c r="B253" s="29" t="str">
        <f>IFERROR(VLOOKUP(A253,Tabla1[],2,0)," ")</f>
        <v xml:space="preserve"> </v>
      </c>
      <c r="C253" s="29" t="str">
        <f>IFERROR(VLOOKUP(A253,Tabla1[],6,0)," ")</f>
        <v xml:space="preserve"> </v>
      </c>
      <c r="D253" s="30" t="str">
        <f>IFERROR(VLOOKUP(A253,Tabla1[],8,0)," ")</f>
        <v xml:space="preserve"> </v>
      </c>
      <c r="E253" s="31"/>
      <c r="F253" s="30" t="str">
        <f t="shared" si="4"/>
        <v xml:space="preserve"> </v>
      </c>
    </row>
    <row r="254" spans="1:6" ht="22.7" customHeight="1">
      <c r="A254" s="28"/>
      <c r="B254" s="29" t="str">
        <f>IFERROR(VLOOKUP(A254,Tabla1[],2,0)," ")</f>
        <v xml:space="preserve"> </v>
      </c>
      <c r="C254" s="29" t="str">
        <f>IFERROR(VLOOKUP(A254,Tabla1[],6,0)," ")</f>
        <v xml:space="preserve"> </v>
      </c>
      <c r="D254" s="30" t="str">
        <f>IFERROR(VLOOKUP(A254,Tabla1[],8,0)," ")</f>
        <v xml:space="preserve"> </v>
      </c>
      <c r="E254" s="31"/>
      <c r="F254" s="30" t="str">
        <f t="shared" si="4"/>
        <v xml:space="preserve"> </v>
      </c>
    </row>
    <row r="255" spans="1:6" ht="22.7" customHeight="1">
      <c r="A255" s="28"/>
      <c r="B255" s="29" t="str">
        <f>IFERROR(VLOOKUP(A255,Tabla1[],2,0)," ")</f>
        <v xml:space="preserve"> </v>
      </c>
      <c r="C255" s="29" t="str">
        <f>IFERROR(VLOOKUP(A255,Tabla1[],6,0)," ")</f>
        <v xml:space="preserve"> </v>
      </c>
      <c r="D255" s="30" t="str">
        <f>IFERROR(VLOOKUP(A255,Tabla1[],8,0)," ")</f>
        <v xml:space="preserve"> </v>
      </c>
      <c r="E255" s="31"/>
      <c r="F255" s="30" t="str">
        <f t="shared" si="4"/>
        <v xml:space="preserve"> </v>
      </c>
    </row>
    <row r="256" spans="1:6" ht="22.7" customHeight="1">
      <c r="A256" s="28"/>
      <c r="B256" s="29" t="str">
        <f>IFERROR(VLOOKUP(A256,Tabla1[],2,0)," ")</f>
        <v xml:space="preserve"> </v>
      </c>
      <c r="C256" s="29" t="str">
        <f>IFERROR(VLOOKUP(A256,Tabla1[],6,0)," ")</f>
        <v xml:space="preserve"> </v>
      </c>
      <c r="D256" s="30" t="str">
        <f>IFERROR(VLOOKUP(A256,Tabla1[],8,0)," ")</f>
        <v xml:space="preserve"> </v>
      </c>
      <c r="E256" s="31"/>
      <c r="F256" s="30" t="str">
        <f t="shared" si="4"/>
        <v xml:space="preserve"> </v>
      </c>
    </row>
    <row r="257" spans="1:6" ht="22.7" customHeight="1">
      <c r="A257" s="28"/>
      <c r="B257" s="29" t="str">
        <f>IFERROR(VLOOKUP(A257,Tabla1[],2,0)," ")</f>
        <v xml:space="preserve"> </v>
      </c>
      <c r="C257" s="29" t="str">
        <f>IFERROR(VLOOKUP(A257,Tabla1[],6,0)," ")</f>
        <v xml:space="preserve"> </v>
      </c>
      <c r="D257" s="30" t="str">
        <f>IFERROR(VLOOKUP(A257,Tabla1[],8,0)," ")</f>
        <v xml:space="preserve"> </v>
      </c>
      <c r="E257" s="31"/>
      <c r="F257" s="30" t="str">
        <f t="shared" si="4"/>
        <v xml:space="preserve"> </v>
      </c>
    </row>
    <row r="258" spans="1:6" ht="22.7" customHeight="1">
      <c r="A258" s="28"/>
      <c r="B258" s="29" t="str">
        <f>IFERROR(VLOOKUP(A258,Tabla1[],2,0)," ")</f>
        <v xml:space="preserve"> </v>
      </c>
      <c r="C258" s="29" t="str">
        <f>IFERROR(VLOOKUP(A258,Tabla1[],6,0)," ")</f>
        <v xml:space="preserve"> </v>
      </c>
      <c r="D258" s="30" t="str">
        <f>IFERROR(VLOOKUP(A258,Tabla1[],8,0)," ")</f>
        <v xml:space="preserve"> </v>
      </c>
      <c r="E258" s="31"/>
      <c r="F258" s="30" t="str">
        <f t="shared" si="4"/>
        <v xml:space="preserve"> </v>
      </c>
    </row>
    <row r="259" spans="1:6" ht="22.7" customHeight="1">
      <c r="A259" s="28"/>
      <c r="B259" s="29" t="str">
        <f>IFERROR(VLOOKUP(A259,Tabla1[],2,0)," ")</f>
        <v xml:space="preserve"> </v>
      </c>
      <c r="C259" s="29" t="str">
        <f>IFERROR(VLOOKUP(A259,Tabla1[],6,0)," ")</f>
        <v xml:space="preserve"> </v>
      </c>
      <c r="D259" s="30" t="str">
        <f>IFERROR(VLOOKUP(A259,Tabla1[],8,0)," ")</f>
        <v xml:space="preserve"> </v>
      </c>
      <c r="E259" s="31"/>
      <c r="F259" s="30" t="str">
        <f t="shared" si="4"/>
        <v xml:space="preserve"> </v>
      </c>
    </row>
    <row r="260" spans="1:6" ht="22.7" customHeight="1">
      <c r="A260" s="28"/>
      <c r="B260" s="29" t="str">
        <f>IFERROR(VLOOKUP(A260,Tabla1[],2,0)," ")</f>
        <v xml:space="preserve"> </v>
      </c>
      <c r="C260" s="29" t="str">
        <f>IFERROR(VLOOKUP(A260,Tabla1[],6,0)," ")</f>
        <v xml:space="preserve"> </v>
      </c>
      <c r="D260" s="30" t="str">
        <f>IFERROR(VLOOKUP(A260,Tabla1[],8,0)," ")</f>
        <v xml:space="preserve"> </v>
      </c>
      <c r="E260" s="31"/>
      <c r="F260" s="30" t="str">
        <f t="shared" ref="F260:F323" si="5">IFERROR((E260*D260), " ")</f>
        <v xml:space="preserve"> </v>
      </c>
    </row>
    <row r="261" spans="1:6" ht="22.7" customHeight="1">
      <c r="A261" s="28"/>
      <c r="B261" s="29" t="str">
        <f>IFERROR(VLOOKUP(A261,Tabla1[],2,0)," ")</f>
        <v xml:space="preserve"> </v>
      </c>
      <c r="C261" s="29" t="str">
        <f>IFERROR(VLOOKUP(A261,Tabla1[],6,0)," ")</f>
        <v xml:space="preserve"> </v>
      </c>
      <c r="D261" s="30" t="str">
        <f>IFERROR(VLOOKUP(A261,Tabla1[],8,0)," ")</f>
        <v xml:space="preserve"> </v>
      </c>
      <c r="E261" s="31"/>
      <c r="F261" s="30" t="str">
        <f t="shared" si="5"/>
        <v xml:space="preserve"> </v>
      </c>
    </row>
    <row r="262" spans="1:6" ht="22.7" customHeight="1">
      <c r="A262" s="28"/>
      <c r="B262" s="29" t="str">
        <f>IFERROR(VLOOKUP(A262,Tabla1[],2,0)," ")</f>
        <v xml:space="preserve"> </v>
      </c>
      <c r="C262" s="29" t="str">
        <f>IFERROR(VLOOKUP(A262,Tabla1[],6,0)," ")</f>
        <v xml:space="preserve"> </v>
      </c>
      <c r="D262" s="30" t="str">
        <f>IFERROR(VLOOKUP(A262,Tabla1[],8,0)," ")</f>
        <v xml:space="preserve"> </v>
      </c>
      <c r="E262" s="31"/>
      <c r="F262" s="30" t="str">
        <f t="shared" si="5"/>
        <v xml:space="preserve"> </v>
      </c>
    </row>
    <row r="263" spans="1:6" ht="22.7" customHeight="1">
      <c r="A263" s="28"/>
      <c r="B263" s="29" t="str">
        <f>IFERROR(VLOOKUP(A263,Tabla1[],2,0)," ")</f>
        <v xml:space="preserve"> </v>
      </c>
      <c r="C263" s="29" t="str">
        <f>IFERROR(VLOOKUP(A263,Tabla1[],6,0)," ")</f>
        <v xml:space="preserve"> </v>
      </c>
      <c r="D263" s="30" t="str">
        <f>IFERROR(VLOOKUP(A263,Tabla1[],8,0)," ")</f>
        <v xml:space="preserve"> </v>
      </c>
      <c r="E263" s="31"/>
      <c r="F263" s="30" t="str">
        <f t="shared" si="5"/>
        <v xml:space="preserve"> </v>
      </c>
    </row>
    <row r="264" spans="1:6" ht="22.7" customHeight="1">
      <c r="A264" s="28"/>
      <c r="B264" s="29" t="str">
        <f>IFERROR(VLOOKUP(A264,Tabla1[],2,0)," ")</f>
        <v xml:space="preserve"> </v>
      </c>
      <c r="C264" s="29" t="str">
        <f>IFERROR(VLOOKUP(A264,Tabla1[],6,0)," ")</f>
        <v xml:space="preserve"> </v>
      </c>
      <c r="D264" s="30" t="str">
        <f>IFERROR(VLOOKUP(A264,Tabla1[],8,0)," ")</f>
        <v xml:space="preserve"> </v>
      </c>
      <c r="E264" s="31"/>
      <c r="F264" s="30" t="str">
        <f t="shared" si="5"/>
        <v xml:space="preserve"> </v>
      </c>
    </row>
    <row r="265" spans="1:6" ht="22.7" customHeight="1">
      <c r="A265" s="28"/>
      <c r="B265" s="29" t="str">
        <f>IFERROR(VLOOKUP(A265,Tabla1[],2,0)," ")</f>
        <v xml:space="preserve"> </v>
      </c>
      <c r="C265" s="29" t="str">
        <f>IFERROR(VLOOKUP(A265,Tabla1[],6,0)," ")</f>
        <v xml:space="preserve"> </v>
      </c>
      <c r="D265" s="30" t="str">
        <f>IFERROR(VLOOKUP(A265,Tabla1[],8,0)," ")</f>
        <v xml:space="preserve"> </v>
      </c>
      <c r="E265" s="31"/>
      <c r="F265" s="30" t="str">
        <f t="shared" si="5"/>
        <v xml:space="preserve"> </v>
      </c>
    </row>
    <row r="266" spans="1:6" ht="22.7" customHeight="1">
      <c r="A266" s="28"/>
      <c r="B266" s="29" t="str">
        <f>IFERROR(VLOOKUP(A266,Tabla1[],2,0)," ")</f>
        <v xml:space="preserve"> </v>
      </c>
      <c r="C266" s="29" t="str">
        <f>IFERROR(VLOOKUP(A266,Tabla1[],6,0)," ")</f>
        <v xml:space="preserve"> </v>
      </c>
      <c r="D266" s="30" t="str">
        <f>IFERROR(VLOOKUP(A266,Tabla1[],8,0)," ")</f>
        <v xml:space="preserve"> </v>
      </c>
      <c r="E266" s="31"/>
      <c r="F266" s="30" t="str">
        <f t="shared" si="5"/>
        <v xml:space="preserve"> </v>
      </c>
    </row>
    <row r="267" spans="1:6" ht="22.7" customHeight="1">
      <c r="A267" s="28"/>
      <c r="B267" s="29" t="str">
        <f>IFERROR(VLOOKUP(A267,Tabla1[],2,0)," ")</f>
        <v xml:space="preserve"> </v>
      </c>
      <c r="C267" s="29" t="str">
        <f>IFERROR(VLOOKUP(A267,Tabla1[],6,0)," ")</f>
        <v xml:space="preserve"> </v>
      </c>
      <c r="D267" s="30" t="str">
        <f>IFERROR(VLOOKUP(A267,Tabla1[],8,0)," ")</f>
        <v xml:space="preserve"> </v>
      </c>
      <c r="E267" s="31"/>
      <c r="F267" s="30" t="str">
        <f t="shared" si="5"/>
        <v xml:space="preserve"> </v>
      </c>
    </row>
    <row r="268" spans="1:6" ht="22.7" customHeight="1">
      <c r="A268" s="28"/>
      <c r="B268" s="29" t="str">
        <f>IFERROR(VLOOKUP(A268,Tabla1[],2,0)," ")</f>
        <v xml:space="preserve"> </v>
      </c>
      <c r="C268" s="29" t="str">
        <f>IFERROR(VLOOKUP(A268,Tabla1[],6,0)," ")</f>
        <v xml:space="preserve"> </v>
      </c>
      <c r="D268" s="30" t="str">
        <f>IFERROR(VLOOKUP(A268,Tabla1[],8,0)," ")</f>
        <v xml:space="preserve"> </v>
      </c>
      <c r="E268" s="31"/>
      <c r="F268" s="30" t="str">
        <f t="shared" si="5"/>
        <v xml:space="preserve"> </v>
      </c>
    </row>
    <row r="269" spans="1:6" ht="22.7" customHeight="1">
      <c r="A269" s="28"/>
      <c r="B269" s="29" t="str">
        <f>IFERROR(VLOOKUP(A269,Tabla1[],2,0)," ")</f>
        <v xml:space="preserve"> </v>
      </c>
      <c r="C269" s="29" t="str">
        <f>IFERROR(VLOOKUP(A269,Tabla1[],6,0)," ")</f>
        <v xml:space="preserve"> </v>
      </c>
      <c r="D269" s="30" t="str">
        <f>IFERROR(VLOOKUP(A269,Tabla1[],8,0)," ")</f>
        <v xml:space="preserve"> </v>
      </c>
      <c r="E269" s="31"/>
      <c r="F269" s="30" t="str">
        <f t="shared" si="5"/>
        <v xml:space="preserve"> </v>
      </c>
    </row>
    <row r="270" spans="1:6" ht="22.7" customHeight="1">
      <c r="A270" s="28"/>
      <c r="B270" s="29" t="str">
        <f>IFERROR(VLOOKUP(A270,Tabla1[],2,0)," ")</f>
        <v xml:space="preserve"> </v>
      </c>
      <c r="C270" s="29" t="str">
        <f>IFERROR(VLOOKUP(A270,Tabla1[],6,0)," ")</f>
        <v xml:space="preserve"> </v>
      </c>
      <c r="D270" s="30" t="str">
        <f>IFERROR(VLOOKUP(A270,Tabla1[],8,0)," ")</f>
        <v xml:space="preserve"> </v>
      </c>
      <c r="E270" s="31"/>
      <c r="F270" s="30" t="str">
        <f t="shared" si="5"/>
        <v xml:space="preserve"> </v>
      </c>
    </row>
    <row r="271" spans="1:6" ht="22.7" customHeight="1">
      <c r="A271" s="28"/>
      <c r="B271" s="29" t="str">
        <f>IFERROR(VLOOKUP(A271,Tabla1[],2,0)," ")</f>
        <v xml:space="preserve"> </v>
      </c>
      <c r="C271" s="29" t="str">
        <f>IFERROR(VLOOKUP(A271,Tabla1[],6,0)," ")</f>
        <v xml:space="preserve"> </v>
      </c>
      <c r="D271" s="30" t="str">
        <f>IFERROR(VLOOKUP(A271,Tabla1[],8,0)," ")</f>
        <v xml:space="preserve"> </v>
      </c>
      <c r="E271" s="31"/>
      <c r="F271" s="30" t="str">
        <f t="shared" si="5"/>
        <v xml:space="preserve"> </v>
      </c>
    </row>
    <row r="272" spans="1:6" ht="22.7" customHeight="1">
      <c r="A272" s="28"/>
      <c r="B272" s="29" t="str">
        <f>IFERROR(VLOOKUP(A272,Tabla1[],2,0)," ")</f>
        <v xml:space="preserve"> </v>
      </c>
      <c r="C272" s="29" t="str">
        <f>IFERROR(VLOOKUP(A272,Tabla1[],6,0)," ")</f>
        <v xml:space="preserve"> </v>
      </c>
      <c r="D272" s="30" t="str">
        <f>IFERROR(VLOOKUP(A272,Tabla1[],8,0)," ")</f>
        <v xml:space="preserve"> </v>
      </c>
      <c r="E272" s="31"/>
      <c r="F272" s="30" t="str">
        <f t="shared" si="5"/>
        <v xml:space="preserve"> </v>
      </c>
    </row>
    <row r="273" spans="1:6" ht="22.7" customHeight="1">
      <c r="A273" s="28"/>
      <c r="B273" s="29" t="str">
        <f>IFERROR(VLOOKUP(A273,Tabla1[],2,0)," ")</f>
        <v xml:space="preserve"> </v>
      </c>
      <c r="C273" s="29" t="str">
        <f>IFERROR(VLOOKUP(A273,Tabla1[],6,0)," ")</f>
        <v xml:space="preserve"> </v>
      </c>
      <c r="D273" s="30" t="str">
        <f>IFERROR(VLOOKUP(A273,Tabla1[],8,0)," ")</f>
        <v xml:space="preserve"> </v>
      </c>
      <c r="E273" s="31"/>
      <c r="F273" s="30" t="str">
        <f t="shared" si="5"/>
        <v xml:space="preserve"> </v>
      </c>
    </row>
    <row r="274" spans="1:6" ht="22.7" customHeight="1">
      <c r="A274" s="28"/>
      <c r="B274" s="29" t="str">
        <f>IFERROR(VLOOKUP(A274,Tabla1[],2,0)," ")</f>
        <v xml:space="preserve"> </v>
      </c>
      <c r="C274" s="29" t="str">
        <f>IFERROR(VLOOKUP(A274,Tabla1[],6,0)," ")</f>
        <v xml:space="preserve"> </v>
      </c>
      <c r="D274" s="30" t="str">
        <f>IFERROR(VLOOKUP(A274,Tabla1[],8,0)," ")</f>
        <v xml:space="preserve"> </v>
      </c>
      <c r="E274" s="31"/>
      <c r="F274" s="30" t="str">
        <f t="shared" si="5"/>
        <v xml:space="preserve"> </v>
      </c>
    </row>
    <row r="275" spans="1:6" ht="22.7" customHeight="1">
      <c r="A275" s="28"/>
      <c r="B275" s="29" t="str">
        <f>IFERROR(VLOOKUP(A275,Tabla1[],2,0)," ")</f>
        <v xml:space="preserve"> </v>
      </c>
      <c r="C275" s="29" t="str">
        <f>IFERROR(VLOOKUP(A275,Tabla1[],6,0)," ")</f>
        <v xml:space="preserve"> </v>
      </c>
      <c r="D275" s="30" t="str">
        <f>IFERROR(VLOOKUP(A275,Tabla1[],8,0)," ")</f>
        <v xml:space="preserve"> </v>
      </c>
      <c r="E275" s="31"/>
      <c r="F275" s="30" t="str">
        <f t="shared" si="5"/>
        <v xml:space="preserve"> </v>
      </c>
    </row>
    <row r="276" spans="1:6" ht="22.7" customHeight="1">
      <c r="A276" s="28"/>
      <c r="B276" s="29" t="str">
        <f>IFERROR(VLOOKUP(A276,Tabla1[],2,0)," ")</f>
        <v xml:space="preserve"> </v>
      </c>
      <c r="C276" s="29" t="str">
        <f>IFERROR(VLOOKUP(A276,Tabla1[],6,0)," ")</f>
        <v xml:space="preserve"> </v>
      </c>
      <c r="D276" s="30" t="str">
        <f>IFERROR(VLOOKUP(A276,Tabla1[],8,0)," ")</f>
        <v xml:space="preserve"> </v>
      </c>
      <c r="E276" s="31"/>
      <c r="F276" s="30" t="str">
        <f t="shared" si="5"/>
        <v xml:space="preserve"> </v>
      </c>
    </row>
    <row r="277" spans="1:6" ht="22.7" customHeight="1">
      <c r="A277" s="28"/>
      <c r="B277" s="29" t="str">
        <f>IFERROR(VLOOKUP(A277,Tabla1[],2,0)," ")</f>
        <v xml:space="preserve"> </v>
      </c>
      <c r="C277" s="29" t="str">
        <f>IFERROR(VLOOKUP(A277,Tabla1[],6,0)," ")</f>
        <v xml:space="preserve"> </v>
      </c>
      <c r="D277" s="30" t="str">
        <f>IFERROR(VLOOKUP(A277,Tabla1[],8,0)," ")</f>
        <v xml:space="preserve"> </v>
      </c>
      <c r="E277" s="31"/>
      <c r="F277" s="30" t="str">
        <f t="shared" si="5"/>
        <v xml:space="preserve"> </v>
      </c>
    </row>
    <row r="278" spans="1:6" ht="22.7" customHeight="1">
      <c r="A278" s="28"/>
      <c r="B278" s="29" t="str">
        <f>IFERROR(VLOOKUP(A278,Tabla1[],2,0)," ")</f>
        <v xml:space="preserve"> </v>
      </c>
      <c r="C278" s="29" t="str">
        <f>IFERROR(VLOOKUP(A278,Tabla1[],6,0)," ")</f>
        <v xml:space="preserve"> </v>
      </c>
      <c r="D278" s="30" t="str">
        <f>IFERROR(VLOOKUP(A278,Tabla1[],8,0)," ")</f>
        <v xml:space="preserve"> </v>
      </c>
      <c r="E278" s="31"/>
      <c r="F278" s="30" t="str">
        <f t="shared" si="5"/>
        <v xml:space="preserve"> </v>
      </c>
    </row>
    <row r="279" spans="1:6" ht="22.7" customHeight="1">
      <c r="A279" s="28"/>
      <c r="B279" s="29" t="str">
        <f>IFERROR(VLOOKUP(A279,Tabla1[],2,0)," ")</f>
        <v xml:space="preserve"> </v>
      </c>
      <c r="C279" s="29" t="str">
        <f>IFERROR(VLOOKUP(A279,Tabla1[],6,0)," ")</f>
        <v xml:space="preserve"> </v>
      </c>
      <c r="D279" s="30" t="str">
        <f>IFERROR(VLOOKUP(A279,Tabla1[],8,0)," ")</f>
        <v xml:space="preserve"> </v>
      </c>
      <c r="E279" s="31"/>
      <c r="F279" s="30" t="str">
        <f t="shared" si="5"/>
        <v xml:space="preserve"> </v>
      </c>
    </row>
    <row r="280" spans="1:6" ht="22.7" customHeight="1">
      <c r="A280" s="28"/>
      <c r="B280" s="29" t="str">
        <f>IFERROR(VLOOKUP(A280,Tabla1[],2,0)," ")</f>
        <v xml:space="preserve"> </v>
      </c>
      <c r="C280" s="29" t="str">
        <f>IFERROR(VLOOKUP(A280,Tabla1[],6,0)," ")</f>
        <v xml:space="preserve"> </v>
      </c>
      <c r="D280" s="30" t="str">
        <f>IFERROR(VLOOKUP(A280,Tabla1[],8,0)," ")</f>
        <v xml:space="preserve"> </v>
      </c>
      <c r="E280" s="31"/>
      <c r="F280" s="30" t="str">
        <f t="shared" si="5"/>
        <v xml:space="preserve"> </v>
      </c>
    </row>
    <row r="281" spans="1:6" ht="22.7" customHeight="1">
      <c r="A281" s="28"/>
      <c r="B281" s="29" t="str">
        <f>IFERROR(VLOOKUP(A281,Tabla1[],2,0)," ")</f>
        <v xml:space="preserve"> </v>
      </c>
      <c r="C281" s="29" t="str">
        <f>IFERROR(VLOOKUP(A281,Tabla1[],6,0)," ")</f>
        <v xml:space="preserve"> </v>
      </c>
      <c r="D281" s="30" t="str">
        <f>IFERROR(VLOOKUP(A281,Tabla1[],8,0)," ")</f>
        <v xml:space="preserve"> </v>
      </c>
      <c r="E281" s="31"/>
      <c r="F281" s="30" t="str">
        <f t="shared" si="5"/>
        <v xml:space="preserve"> </v>
      </c>
    </row>
    <row r="282" spans="1:6" ht="22.7" customHeight="1">
      <c r="A282" s="28"/>
      <c r="B282" s="29" t="str">
        <f>IFERROR(VLOOKUP(A282,Tabla1[],2,0)," ")</f>
        <v xml:space="preserve"> </v>
      </c>
      <c r="C282" s="29" t="str">
        <f>IFERROR(VLOOKUP(A282,Tabla1[],6,0)," ")</f>
        <v xml:space="preserve"> </v>
      </c>
      <c r="D282" s="30" t="str">
        <f>IFERROR(VLOOKUP(A282,Tabla1[],8,0)," ")</f>
        <v xml:space="preserve"> </v>
      </c>
      <c r="E282" s="31"/>
      <c r="F282" s="30" t="str">
        <f t="shared" si="5"/>
        <v xml:space="preserve"> </v>
      </c>
    </row>
    <row r="283" spans="1:6" ht="22.7" customHeight="1">
      <c r="A283" s="28"/>
      <c r="B283" s="29" t="str">
        <f>IFERROR(VLOOKUP(A283,Tabla1[],2,0)," ")</f>
        <v xml:space="preserve"> </v>
      </c>
      <c r="C283" s="29" t="str">
        <f>IFERROR(VLOOKUP(A283,Tabla1[],6,0)," ")</f>
        <v xml:space="preserve"> </v>
      </c>
      <c r="D283" s="30" t="str">
        <f>IFERROR(VLOOKUP(A283,Tabla1[],8,0)," ")</f>
        <v xml:space="preserve"> </v>
      </c>
      <c r="E283" s="31"/>
      <c r="F283" s="30" t="str">
        <f t="shared" si="5"/>
        <v xml:space="preserve"> </v>
      </c>
    </row>
    <row r="284" spans="1:6" ht="22.7" customHeight="1">
      <c r="A284" s="28"/>
      <c r="B284" s="29" t="str">
        <f>IFERROR(VLOOKUP(A284,Tabla1[],2,0)," ")</f>
        <v xml:space="preserve"> </v>
      </c>
      <c r="C284" s="29" t="str">
        <f>IFERROR(VLOOKUP(A284,Tabla1[],6,0)," ")</f>
        <v xml:space="preserve"> </v>
      </c>
      <c r="D284" s="30" t="str">
        <f>IFERROR(VLOOKUP(A284,Tabla1[],8,0)," ")</f>
        <v xml:space="preserve"> </v>
      </c>
      <c r="E284" s="31"/>
      <c r="F284" s="30" t="str">
        <f t="shared" si="5"/>
        <v xml:space="preserve"> </v>
      </c>
    </row>
    <row r="285" spans="1:6" ht="22.7" customHeight="1">
      <c r="A285" s="28"/>
      <c r="B285" s="29" t="str">
        <f>IFERROR(VLOOKUP(A285,Tabla1[],2,0)," ")</f>
        <v xml:space="preserve"> </v>
      </c>
      <c r="C285" s="29" t="str">
        <f>IFERROR(VLOOKUP(A285,Tabla1[],6,0)," ")</f>
        <v xml:space="preserve"> </v>
      </c>
      <c r="D285" s="30" t="str">
        <f>IFERROR(VLOOKUP(A285,Tabla1[],8,0)," ")</f>
        <v xml:space="preserve"> </v>
      </c>
      <c r="E285" s="31"/>
      <c r="F285" s="30" t="str">
        <f t="shared" si="5"/>
        <v xml:space="preserve"> </v>
      </c>
    </row>
    <row r="286" spans="1:6" ht="22.7" customHeight="1">
      <c r="A286" s="28"/>
      <c r="B286" s="29" t="str">
        <f>IFERROR(VLOOKUP(A286,Tabla1[],2,0)," ")</f>
        <v xml:space="preserve"> </v>
      </c>
      <c r="C286" s="29" t="str">
        <f>IFERROR(VLOOKUP(A286,Tabla1[],6,0)," ")</f>
        <v xml:space="preserve"> </v>
      </c>
      <c r="D286" s="30" t="str">
        <f>IFERROR(VLOOKUP(A286,Tabla1[],8,0)," ")</f>
        <v xml:space="preserve"> </v>
      </c>
      <c r="E286" s="31"/>
      <c r="F286" s="30" t="str">
        <f t="shared" si="5"/>
        <v xml:space="preserve"> </v>
      </c>
    </row>
    <row r="287" spans="1:6" ht="22.7" customHeight="1">
      <c r="A287" s="28"/>
      <c r="B287" s="29" t="str">
        <f>IFERROR(VLOOKUP(A287,Tabla1[],2,0)," ")</f>
        <v xml:space="preserve"> </v>
      </c>
      <c r="C287" s="29" t="str">
        <f>IFERROR(VLOOKUP(A287,Tabla1[],6,0)," ")</f>
        <v xml:space="preserve"> </v>
      </c>
      <c r="D287" s="30" t="str">
        <f>IFERROR(VLOOKUP(A287,Tabla1[],8,0)," ")</f>
        <v xml:space="preserve"> </v>
      </c>
      <c r="E287" s="31"/>
      <c r="F287" s="30" t="str">
        <f t="shared" si="5"/>
        <v xml:space="preserve"> </v>
      </c>
    </row>
    <row r="288" spans="1:6" ht="22.7" customHeight="1">
      <c r="A288" s="28"/>
      <c r="B288" s="29" t="str">
        <f>IFERROR(VLOOKUP(A288,Tabla1[],2,0)," ")</f>
        <v xml:space="preserve"> </v>
      </c>
      <c r="C288" s="29" t="str">
        <f>IFERROR(VLOOKUP(A288,Tabla1[],6,0)," ")</f>
        <v xml:space="preserve"> </v>
      </c>
      <c r="D288" s="30" t="str">
        <f>IFERROR(VLOOKUP(A288,Tabla1[],8,0)," ")</f>
        <v xml:space="preserve"> </v>
      </c>
      <c r="E288" s="31"/>
      <c r="F288" s="30" t="str">
        <f t="shared" si="5"/>
        <v xml:space="preserve"> </v>
      </c>
    </row>
    <row r="289" spans="1:6" ht="22.7" customHeight="1">
      <c r="A289" s="28"/>
      <c r="B289" s="29" t="str">
        <f>IFERROR(VLOOKUP(A289,Tabla1[],2,0)," ")</f>
        <v xml:space="preserve"> </v>
      </c>
      <c r="C289" s="29" t="str">
        <f>IFERROR(VLOOKUP(A289,Tabla1[],6,0)," ")</f>
        <v xml:space="preserve"> </v>
      </c>
      <c r="D289" s="30" t="str">
        <f>IFERROR(VLOOKUP(A289,Tabla1[],8,0)," ")</f>
        <v xml:space="preserve"> </v>
      </c>
      <c r="E289" s="31"/>
      <c r="F289" s="30" t="str">
        <f t="shared" si="5"/>
        <v xml:space="preserve"> </v>
      </c>
    </row>
    <row r="290" spans="1:6" ht="22.7" customHeight="1">
      <c r="A290" s="28"/>
      <c r="B290" s="29" t="str">
        <f>IFERROR(VLOOKUP(A290,Tabla1[],2,0)," ")</f>
        <v xml:space="preserve"> </v>
      </c>
      <c r="C290" s="29" t="str">
        <f>IFERROR(VLOOKUP(A290,Tabla1[],6,0)," ")</f>
        <v xml:space="preserve"> </v>
      </c>
      <c r="D290" s="30" t="str">
        <f>IFERROR(VLOOKUP(A290,Tabla1[],8,0)," ")</f>
        <v xml:space="preserve"> </v>
      </c>
      <c r="E290" s="31"/>
      <c r="F290" s="30" t="str">
        <f t="shared" si="5"/>
        <v xml:space="preserve"> </v>
      </c>
    </row>
    <row r="291" spans="1:6" ht="22.7" customHeight="1">
      <c r="A291" s="28"/>
      <c r="B291" s="29" t="str">
        <f>IFERROR(VLOOKUP(A291,Tabla1[],2,0)," ")</f>
        <v xml:space="preserve"> </v>
      </c>
      <c r="C291" s="29" t="str">
        <f>IFERROR(VLOOKUP(A291,Tabla1[],6,0)," ")</f>
        <v xml:space="preserve"> </v>
      </c>
      <c r="D291" s="30" t="str">
        <f>IFERROR(VLOOKUP(A291,Tabla1[],8,0)," ")</f>
        <v xml:space="preserve"> </v>
      </c>
      <c r="E291" s="31"/>
      <c r="F291" s="30" t="str">
        <f t="shared" si="5"/>
        <v xml:space="preserve"> </v>
      </c>
    </row>
    <row r="292" spans="1:6" ht="22.7" customHeight="1">
      <c r="A292" s="28"/>
      <c r="B292" s="29" t="str">
        <f>IFERROR(VLOOKUP(A292,Tabla1[],2,0)," ")</f>
        <v xml:space="preserve"> </v>
      </c>
      <c r="C292" s="29" t="str">
        <f>IFERROR(VLOOKUP(A292,Tabla1[],6,0)," ")</f>
        <v xml:space="preserve"> </v>
      </c>
      <c r="D292" s="30" t="str">
        <f>IFERROR(VLOOKUP(A292,Tabla1[],8,0)," ")</f>
        <v xml:space="preserve"> </v>
      </c>
      <c r="E292" s="31"/>
      <c r="F292" s="30" t="str">
        <f t="shared" si="5"/>
        <v xml:space="preserve"> </v>
      </c>
    </row>
    <row r="293" spans="1:6" ht="22.7" customHeight="1">
      <c r="A293" s="28"/>
      <c r="B293" s="29" t="str">
        <f>IFERROR(VLOOKUP(A293,Tabla1[],2,0)," ")</f>
        <v xml:space="preserve"> </v>
      </c>
      <c r="C293" s="29" t="str">
        <f>IFERROR(VLOOKUP(A293,Tabla1[],6,0)," ")</f>
        <v xml:space="preserve"> </v>
      </c>
      <c r="D293" s="30" t="str">
        <f>IFERROR(VLOOKUP(A293,Tabla1[],8,0)," ")</f>
        <v xml:space="preserve"> </v>
      </c>
      <c r="E293" s="31"/>
      <c r="F293" s="30" t="str">
        <f t="shared" si="5"/>
        <v xml:space="preserve"> </v>
      </c>
    </row>
    <row r="294" spans="1:6" ht="22.7" customHeight="1">
      <c r="A294" s="28"/>
      <c r="B294" s="29" t="str">
        <f>IFERROR(VLOOKUP(A294,Tabla1[],2,0)," ")</f>
        <v xml:space="preserve"> </v>
      </c>
      <c r="C294" s="29" t="str">
        <f>IFERROR(VLOOKUP(A294,Tabla1[],6,0)," ")</f>
        <v xml:space="preserve"> </v>
      </c>
      <c r="D294" s="30" t="str">
        <f>IFERROR(VLOOKUP(A294,Tabla1[],8,0)," ")</f>
        <v xml:space="preserve"> </v>
      </c>
      <c r="E294" s="31"/>
      <c r="F294" s="30" t="str">
        <f t="shared" si="5"/>
        <v xml:space="preserve"> </v>
      </c>
    </row>
    <row r="295" spans="1:6" ht="22.7" customHeight="1">
      <c r="A295" s="28"/>
      <c r="B295" s="29" t="str">
        <f>IFERROR(VLOOKUP(A295,Tabla1[],2,0)," ")</f>
        <v xml:space="preserve"> </v>
      </c>
      <c r="C295" s="29" t="str">
        <f>IFERROR(VLOOKUP(A295,Tabla1[],6,0)," ")</f>
        <v xml:space="preserve"> </v>
      </c>
      <c r="D295" s="30" t="str">
        <f>IFERROR(VLOOKUP(A295,Tabla1[],8,0)," ")</f>
        <v xml:space="preserve"> </v>
      </c>
      <c r="E295" s="31"/>
      <c r="F295" s="30" t="str">
        <f t="shared" si="5"/>
        <v xml:space="preserve"> </v>
      </c>
    </row>
    <row r="296" spans="1:6" ht="22.7" customHeight="1">
      <c r="A296" s="28"/>
      <c r="B296" s="29" t="str">
        <f>IFERROR(VLOOKUP(A296,Tabla1[],2,0)," ")</f>
        <v xml:space="preserve"> </v>
      </c>
      <c r="C296" s="29" t="str">
        <f>IFERROR(VLOOKUP(A296,Tabla1[],6,0)," ")</f>
        <v xml:space="preserve"> </v>
      </c>
      <c r="D296" s="30" t="str">
        <f>IFERROR(VLOOKUP(A296,Tabla1[],8,0)," ")</f>
        <v xml:space="preserve"> </v>
      </c>
      <c r="E296" s="31"/>
      <c r="F296" s="30" t="str">
        <f t="shared" si="5"/>
        <v xml:space="preserve"> </v>
      </c>
    </row>
    <row r="297" spans="1:6" ht="22.7" customHeight="1">
      <c r="A297" s="28"/>
      <c r="B297" s="29" t="str">
        <f>IFERROR(VLOOKUP(A297,Tabla1[],2,0)," ")</f>
        <v xml:space="preserve"> </v>
      </c>
      <c r="C297" s="29" t="str">
        <f>IFERROR(VLOOKUP(A297,Tabla1[],6,0)," ")</f>
        <v xml:space="preserve"> </v>
      </c>
      <c r="D297" s="30" t="str">
        <f>IFERROR(VLOOKUP(A297,Tabla1[],8,0)," ")</f>
        <v xml:space="preserve"> </v>
      </c>
      <c r="E297" s="31"/>
      <c r="F297" s="30" t="str">
        <f t="shared" si="5"/>
        <v xml:space="preserve"> </v>
      </c>
    </row>
    <row r="298" spans="1:6" ht="22.7" customHeight="1">
      <c r="A298" s="28"/>
      <c r="B298" s="29" t="str">
        <f>IFERROR(VLOOKUP(A298,Tabla1[],2,0)," ")</f>
        <v xml:space="preserve"> </v>
      </c>
      <c r="C298" s="29" t="str">
        <f>IFERROR(VLOOKUP(A298,Tabla1[],6,0)," ")</f>
        <v xml:space="preserve"> </v>
      </c>
      <c r="D298" s="30" t="str">
        <f>IFERROR(VLOOKUP(A298,Tabla1[],8,0)," ")</f>
        <v xml:space="preserve"> </v>
      </c>
      <c r="E298" s="31"/>
      <c r="F298" s="30" t="str">
        <f t="shared" si="5"/>
        <v xml:space="preserve"> </v>
      </c>
    </row>
    <row r="299" spans="1:6" ht="22.7" customHeight="1">
      <c r="A299" s="28"/>
      <c r="B299" s="29" t="str">
        <f>IFERROR(VLOOKUP(A299,Tabla1[],2,0)," ")</f>
        <v xml:space="preserve"> </v>
      </c>
      <c r="C299" s="29" t="str">
        <f>IFERROR(VLOOKUP(A299,Tabla1[],6,0)," ")</f>
        <v xml:space="preserve"> </v>
      </c>
      <c r="D299" s="30" t="str">
        <f>IFERROR(VLOOKUP(A299,Tabla1[],8,0)," ")</f>
        <v xml:space="preserve"> </v>
      </c>
      <c r="E299" s="31"/>
      <c r="F299" s="30" t="str">
        <f t="shared" si="5"/>
        <v xml:space="preserve"> </v>
      </c>
    </row>
    <row r="300" spans="1:6" ht="22.7" customHeight="1">
      <c r="A300" s="28"/>
      <c r="B300" s="29" t="str">
        <f>IFERROR(VLOOKUP(A300,Tabla1[],2,0)," ")</f>
        <v xml:space="preserve"> </v>
      </c>
      <c r="C300" s="29" t="str">
        <f>IFERROR(VLOOKUP(A300,Tabla1[],6,0)," ")</f>
        <v xml:space="preserve"> </v>
      </c>
      <c r="D300" s="30" t="str">
        <f>IFERROR(VLOOKUP(A300,Tabla1[],8,0)," ")</f>
        <v xml:space="preserve"> </v>
      </c>
      <c r="E300" s="31"/>
      <c r="F300" s="30" t="str">
        <f t="shared" si="5"/>
        <v xml:space="preserve"> </v>
      </c>
    </row>
    <row r="301" spans="1:6" ht="22.7" customHeight="1">
      <c r="A301" s="28"/>
      <c r="B301" s="29" t="str">
        <f>IFERROR(VLOOKUP(A301,Tabla1[],2,0)," ")</f>
        <v xml:space="preserve"> </v>
      </c>
      <c r="C301" s="29" t="str">
        <f>IFERROR(VLOOKUP(A301,Tabla1[],6,0)," ")</f>
        <v xml:space="preserve"> </v>
      </c>
      <c r="D301" s="30" t="str">
        <f>IFERROR(VLOOKUP(A301,Tabla1[],8,0)," ")</f>
        <v xml:space="preserve"> </v>
      </c>
      <c r="E301" s="31"/>
      <c r="F301" s="30" t="str">
        <f t="shared" si="5"/>
        <v xml:space="preserve"> </v>
      </c>
    </row>
    <row r="302" spans="1:6" ht="22.7" customHeight="1">
      <c r="A302" s="28"/>
      <c r="B302" s="29" t="str">
        <f>IFERROR(VLOOKUP(A302,Tabla1[],2,0)," ")</f>
        <v xml:space="preserve"> </v>
      </c>
      <c r="C302" s="29" t="str">
        <f>IFERROR(VLOOKUP(A302,Tabla1[],6,0)," ")</f>
        <v xml:space="preserve"> </v>
      </c>
      <c r="D302" s="30" t="str">
        <f>IFERROR(VLOOKUP(A302,Tabla1[],8,0)," ")</f>
        <v xml:space="preserve"> </v>
      </c>
      <c r="E302" s="31"/>
      <c r="F302" s="30" t="str">
        <f t="shared" si="5"/>
        <v xml:space="preserve"> </v>
      </c>
    </row>
    <row r="303" spans="1:6" ht="22.7" customHeight="1">
      <c r="A303" s="28"/>
      <c r="B303" s="29" t="str">
        <f>IFERROR(VLOOKUP(A303,Tabla1[],2,0)," ")</f>
        <v xml:space="preserve"> </v>
      </c>
      <c r="C303" s="29" t="str">
        <f>IFERROR(VLOOKUP(A303,Tabla1[],6,0)," ")</f>
        <v xml:space="preserve"> </v>
      </c>
      <c r="D303" s="30" t="str">
        <f>IFERROR(VLOOKUP(A303,Tabla1[],8,0)," ")</f>
        <v xml:space="preserve"> </v>
      </c>
      <c r="E303" s="31"/>
      <c r="F303" s="30" t="str">
        <f t="shared" si="5"/>
        <v xml:space="preserve"> </v>
      </c>
    </row>
    <row r="304" spans="1:6" ht="22.7" customHeight="1">
      <c r="A304" s="28"/>
      <c r="B304" s="29" t="str">
        <f>IFERROR(VLOOKUP(A304,Tabla1[],2,0)," ")</f>
        <v xml:space="preserve"> </v>
      </c>
      <c r="C304" s="29" t="str">
        <f>IFERROR(VLOOKUP(A304,Tabla1[],6,0)," ")</f>
        <v xml:space="preserve"> </v>
      </c>
      <c r="D304" s="30" t="str">
        <f>IFERROR(VLOOKUP(A304,Tabla1[],8,0)," ")</f>
        <v xml:space="preserve"> </v>
      </c>
      <c r="E304" s="31"/>
      <c r="F304" s="30" t="str">
        <f t="shared" si="5"/>
        <v xml:space="preserve"> </v>
      </c>
    </row>
    <row r="305" spans="1:6" ht="22.7" customHeight="1">
      <c r="A305" s="28"/>
      <c r="B305" s="29" t="str">
        <f>IFERROR(VLOOKUP(A305,Tabla1[],2,0)," ")</f>
        <v xml:space="preserve"> </v>
      </c>
      <c r="C305" s="29" t="str">
        <f>IFERROR(VLOOKUP(A305,Tabla1[],6,0)," ")</f>
        <v xml:space="preserve"> </v>
      </c>
      <c r="D305" s="30" t="str">
        <f>IFERROR(VLOOKUP(A305,Tabla1[],8,0)," ")</f>
        <v xml:space="preserve"> </v>
      </c>
      <c r="E305" s="31"/>
      <c r="F305" s="30" t="str">
        <f t="shared" si="5"/>
        <v xml:space="preserve"> </v>
      </c>
    </row>
    <row r="306" spans="1:6" ht="22.7" customHeight="1">
      <c r="A306" s="28"/>
      <c r="B306" s="29" t="str">
        <f>IFERROR(VLOOKUP(A306,Tabla1[],2,0)," ")</f>
        <v xml:space="preserve"> </v>
      </c>
      <c r="C306" s="29" t="str">
        <f>IFERROR(VLOOKUP(A306,Tabla1[],6,0)," ")</f>
        <v xml:space="preserve"> </v>
      </c>
      <c r="D306" s="30" t="str">
        <f>IFERROR(VLOOKUP(A306,Tabla1[],8,0)," ")</f>
        <v xml:space="preserve"> </v>
      </c>
      <c r="E306" s="31"/>
      <c r="F306" s="30" t="str">
        <f t="shared" si="5"/>
        <v xml:space="preserve"> </v>
      </c>
    </row>
    <row r="307" spans="1:6" ht="22.7" customHeight="1">
      <c r="A307" s="28"/>
      <c r="B307" s="29" t="str">
        <f>IFERROR(VLOOKUP(A307,Tabla1[],2,0)," ")</f>
        <v xml:space="preserve"> </v>
      </c>
      <c r="C307" s="29" t="str">
        <f>IFERROR(VLOOKUP(A307,Tabla1[],6,0)," ")</f>
        <v xml:space="preserve"> </v>
      </c>
      <c r="D307" s="30" t="str">
        <f>IFERROR(VLOOKUP(A307,Tabla1[],8,0)," ")</f>
        <v xml:space="preserve"> </v>
      </c>
      <c r="E307" s="31"/>
      <c r="F307" s="30" t="str">
        <f t="shared" si="5"/>
        <v xml:space="preserve"> </v>
      </c>
    </row>
    <row r="308" spans="1:6" ht="22.7" customHeight="1">
      <c r="A308" s="28"/>
      <c r="B308" s="29" t="str">
        <f>IFERROR(VLOOKUP(A308,Tabla1[],2,0)," ")</f>
        <v xml:space="preserve"> </v>
      </c>
      <c r="C308" s="29" t="str">
        <f>IFERROR(VLOOKUP(A308,Tabla1[],6,0)," ")</f>
        <v xml:space="preserve"> </v>
      </c>
      <c r="D308" s="30" t="str">
        <f>IFERROR(VLOOKUP(A308,Tabla1[],8,0)," ")</f>
        <v xml:space="preserve"> </v>
      </c>
      <c r="E308" s="31"/>
      <c r="F308" s="30" t="str">
        <f t="shared" si="5"/>
        <v xml:space="preserve"> </v>
      </c>
    </row>
    <row r="309" spans="1:6" ht="22.7" customHeight="1">
      <c r="A309" s="28"/>
      <c r="B309" s="29" t="str">
        <f>IFERROR(VLOOKUP(A309,Tabla1[],2,0)," ")</f>
        <v xml:space="preserve"> </v>
      </c>
      <c r="C309" s="29" t="str">
        <f>IFERROR(VLOOKUP(A309,Tabla1[],6,0)," ")</f>
        <v xml:space="preserve"> </v>
      </c>
      <c r="D309" s="30" t="str">
        <f>IFERROR(VLOOKUP(A309,Tabla1[],8,0)," ")</f>
        <v xml:space="preserve"> </v>
      </c>
      <c r="E309" s="31"/>
      <c r="F309" s="30" t="str">
        <f t="shared" si="5"/>
        <v xml:space="preserve"> </v>
      </c>
    </row>
    <row r="310" spans="1:6" ht="22.7" customHeight="1">
      <c r="A310" s="28"/>
      <c r="B310" s="29" t="str">
        <f>IFERROR(VLOOKUP(A310,Tabla1[],2,0)," ")</f>
        <v xml:space="preserve"> </v>
      </c>
      <c r="C310" s="29" t="str">
        <f>IFERROR(VLOOKUP(A310,Tabla1[],6,0)," ")</f>
        <v xml:space="preserve"> </v>
      </c>
      <c r="D310" s="30" t="str">
        <f>IFERROR(VLOOKUP(A310,Tabla1[],8,0)," ")</f>
        <v xml:space="preserve"> </v>
      </c>
      <c r="E310" s="31"/>
      <c r="F310" s="30" t="str">
        <f t="shared" si="5"/>
        <v xml:space="preserve"> </v>
      </c>
    </row>
    <row r="311" spans="1:6" ht="22.7" customHeight="1">
      <c r="A311" s="28"/>
      <c r="B311" s="29" t="str">
        <f>IFERROR(VLOOKUP(A311,Tabla1[],2,0)," ")</f>
        <v xml:space="preserve"> </v>
      </c>
      <c r="C311" s="29" t="str">
        <f>IFERROR(VLOOKUP(A311,Tabla1[],6,0)," ")</f>
        <v xml:space="preserve"> </v>
      </c>
      <c r="D311" s="30" t="str">
        <f>IFERROR(VLOOKUP(A311,Tabla1[],8,0)," ")</f>
        <v xml:space="preserve"> </v>
      </c>
      <c r="E311" s="31"/>
      <c r="F311" s="30" t="str">
        <f t="shared" si="5"/>
        <v xml:space="preserve"> </v>
      </c>
    </row>
    <row r="312" spans="1:6" ht="22.7" customHeight="1">
      <c r="A312" s="28"/>
      <c r="B312" s="29" t="str">
        <f>IFERROR(VLOOKUP(A312,Tabla1[],2,0)," ")</f>
        <v xml:space="preserve"> </v>
      </c>
      <c r="C312" s="29" t="str">
        <f>IFERROR(VLOOKUP(A312,Tabla1[],6,0)," ")</f>
        <v xml:space="preserve"> </v>
      </c>
      <c r="D312" s="30" t="str">
        <f>IFERROR(VLOOKUP(A312,Tabla1[],8,0)," ")</f>
        <v xml:space="preserve"> </v>
      </c>
      <c r="E312" s="31"/>
      <c r="F312" s="30" t="str">
        <f t="shared" si="5"/>
        <v xml:space="preserve"> </v>
      </c>
    </row>
    <row r="313" spans="1:6" ht="22.7" customHeight="1">
      <c r="A313" s="28"/>
      <c r="B313" s="29" t="str">
        <f>IFERROR(VLOOKUP(A313,Tabla1[],2,0)," ")</f>
        <v xml:space="preserve"> </v>
      </c>
      <c r="C313" s="29" t="str">
        <f>IFERROR(VLOOKUP(A313,Tabla1[],6,0)," ")</f>
        <v xml:space="preserve"> </v>
      </c>
      <c r="D313" s="30" t="str">
        <f>IFERROR(VLOOKUP(A313,Tabla1[],8,0)," ")</f>
        <v xml:space="preserve"> </v>
      </c>
      <c r="E313" s="31"/>
      <c r="F313" s="30" t="str">
        <f t="shared" si="5"/>
        <v xml:space="preserve"> </v>
      </c>
    </row>
    <row r="314" spans="1:6" ht="22.7" customHeight="1">
      <c r="A314" s="28"/>
      <c r="B314" s="29" t="str">
        <f>IFERROR(VLOOKUP(A314,Tabla1[],2,0)," ")</f>
        <v xml:space="preserve"> </v>
      </c>
      <c r="C314" s="29" t="str">
        <f>IFERROR(VLOOKUP(A314,Tabla1[],6,0)," ")</f>
        <v xml:space="preserve"> </v>
      </c>
      <c r="D314" s="30" t="str">
        <f>IFERROR(VLOOKUP(A314,Tabla1[],8,0)," ")</f>
        <v xml:space="preserve"> </v>
      </c>
      <c r="E314" s="31"/>
      <c r="F314" s="30" t="str">
        <f t="shared" si="5"/>
        <v xml:space="preserve"> </v>
      </c>
    </row>
    <row r="315" spans="1:6" ht="22.7" customHeight="1">
      <c r="A315" s="28"/>
      <c r="B315" s="29" t="str">
        <f>IFERROR(VLOOKUP(A315,Tabla1[],2,0)," ")</f>
        <v xml:space="preserve"> </v>
      </c>
      <c r="C315" s="29" t="str">
        <f>IFERROR(VLOOKUP(A315,Tabla1[],6,0)," ")</f>
        <v xml:space="preserve"> </v>
      </c>
      <c r="D315" s="30" t="str">
        <f>IFERROR(VLOOKUP(A315,Tabla1[],8,0)," ")</f>
        <v xml:space="preserve"> </v>
      </c>
      <c r="E315" s="31"/>
      <c r="F315" s="30" t="str">
        <f t="shared" si="5"/>
        <v xml:space="preserve"> </v>
      </c>
    </row>
    <row r="316" spans="1:6" ht="22.7" customHeight="1">
      <c r="A316" s="28"/>
      <c r="B316" s="29" t="str">
        <f>IFERROR(VLOOKUP(A316,Tabla1[],2,0)," ")</f>
        <v xml:space="preserve"> </v>
      </c>
      <c r="C316" s="29" t="str">
        <f>IFERROR(VLOOKUP(A316,Tabla1[],6,0)," ")</f>
        <v xml:space="preserve"> </v>
      </c>
      <c r="D316" s="30" t="str">
        <f>IFERROR(VLOOKUP(A316,Tabla1[],8,0)," ")</f>
        <v xml:space="preserve"> </v>
      </c>
      <c r="E316" s="31"/>
      <c r="F316" s="30" t="str">
        <f t="shared" si="5"/>
        <v xml:space="preserve"> </v>
      </c>
    </row>
    <row r="317" spans="1:6" ht="22.7" customHeight="1">
      <c r="A317" s="28"/>
      <c r="B317" s="29" t="str">
        <f>IFERROR(VLOOKUP(A317,Tabla1[],2,0)," ")</f>
        <v xml:space="preserve"> </v>
      </c>
      <c r="C317" s="29" t="str">
        <f>IFERROR(VLOOKUP(A317,Tabla1[],6,0)," ")</f>
        <v xml:space="preserve"> </v>
      </c>
      <c r="D317" s="30" t="str">
        <f>IFERROR(VLOOKUP(A317,Tabla1[],8,0)," ")</f>
        <v xml:space="preserve"> </v>
      </c>
      <c r="E317" s="31"/>
      <c r="F317" s="30" t="str">
        <f t="shared" si="5"/>
        <v xml:space="preserve"> </v>
      </c>
    </row>
    <row r="318" spans="1:6" ht="22.7" customHeight="1">
      <c r="A318" s="28"/>
      <c r="B318" s="29" t="str">
        <f>IFERROR(VLOOKUP(A318,Tabla1[],2,0)," ")</f>
        <v xml:space="preserve"> </v>
      </c>
      <c r="C318" s="29" t="str">
        <f>IFERROR(VLOOKUP(A318,Tabla1[],6,0)," ")</f>
        <v xml:space="preserve"> </v>
      </c>
      <c r="D318" s="30" t="str">
        <f>IFERROR(VLOOKUP(A318,Tabla1[],8,0)," ")</f>
        <v xml:space="preserve"> </v>
      </c>
      <c r="E318" s="31"/>
      <c r="F318" s="30" t="str">
        <f t="shared" si="5"/>
        <v xml:space="preserve"> </v>
      </c>
    </row>
    <row r="319" spans="1:6" ht="22.7" customHeight="1">
      <c r="A319" s="28"/>
      <c r="B319" s="29" t="str">
        <f>IFERROR(VLOOKUP(A319,Tabla1[],2,0)," ")</f>
        <v xml:space="preserve"> </v>
      </c>
      <c r="C319" s="29" t="str">
        <f>IFERROR(VLOOKUP(A319,Tabla1[],6,0)," ")</f>
        <v xml:space="preserve"> </v>
      </c>
      <c r="D319" s="30" t="str">
        <f>IFERROR(VLOOKUP(A319,Tabla1[],8,0)," ")</f>
        <v xml:space="preserve"> </v>
      </c>
      <c r="E319" s="31"/>
      <c r="F319" s="30" t="str">
        <f t="shared" si="5"/>
        <v xml:space="preserve"> </v>
      </c>
    </row>
    <row r="320" spans="1:6" ht="22.7" customHeight="1">
      <c r="A320" s="28"/>
      <c r="B320" s="29" t="str">
        <f>IFERROR(VLOOKUP(A320,Tabla1[],2,0)," ")</f>
        <v xml:space="preserve"> </v>
      </c>
      <c r="C320" s="29" t="str">
        <f>IFERROR(VLOOKUP(A320,Tabla1[],6,0)," ")</f>
        <v xml:space="preserve"> </v>
      </c>
      <c r="D320" s="30" t="str">
        <f>IFERROR(VLOOKUP(A320,Tabla1[],8,0)," ")</f>
        <v xml:space="preserve"> </v>
      </c>
      <c r="E320" s="31"/>
      <c r="F320" s="30" t="str">
        <f t="shared" si="5"/>
        <v xml:space="preserve"> </v>
      </c>
    </row>
    <row r="321" spans="1:6" ht="22.7" customHeight="1">
      <c r="A321" s="28"/>
      <c r="B321" s="29" t="str">
        <f>IFERROR(VLOOKUP(A321,Tabla1[],2,0)," ")</f>
        <v xml:space="preserve"> </v>
      </c>
      <c r="C321" s="29" t="str">
        <f>IFERROR(VLOOKUP(A321,Tabla1[],6,0)," ")</f>
        <v xml:space="preserve"> </v>
      </c>
      <c r="D321" s="30" t="str">
        <f>IFERROR(VLOOKUP(A321,Tabla1[],8,0)," ")</f>
        <v xml:space="preserve"> </v>
      </c>
      <c r="E321" s="31"/>
      <c r="F321" s="30" t="str">
        <f t="shared" si="5"/>
        <v xml:space="preserve"> </v>
      </c>
    </row>
    <row r="322" spans="1:6" ht="22.7" customHeight="1">
      <c r="A322" s="28"/>
      <c r="B322" s="29" t="str">
        <f>IFERROR(VLOOKUP(A322,Tabla1[],2,0)," ")</f>
        <v xml:space="preserve"> </v>
      </c>
      <c r="C322" s="29" t="str">
        <f>IFERROR(VLOOKUP(A322,Tabla1[],6,0)," ")</f>
        <v xml:space="preserve"> </v>
      </c>
      <c r="D322" s="30" t="str">
        <f>IFERROR(VLOOKUP(A322,Tabla1[],8,0)," ")</f>
        <v xml:space="preserve"> </v>
      </c>
      <c r="E322" s="31"/>
      <c r="F322" s="30" t="str">
        <f t="shared" si="5"/>
        <v xml:space="preserve"> </v>
      </c>
    </row>
    <row r="323" spans="1:6" ht="22.7" customHeight="1">
      <c r="A323" s="28"/>
      <c r="B323" s="29" t="str">
        <f>IFERROR(VLOOKUP(A323,Tabla1[],2,0)," ")</f>
        <v xml:space="preserve"> </v>
      </c>
      <c r="C323" s="29" t="str">
        <f>IFERROR(VLOOKUP(A323,Tabla1[],6,0)," ")</f>
        <v xml:space="preserve"> </v>
      </c>
      <c r="D323" s="30" t="str">
        <f>IFERROR(VLOOKUP(A323,Tabla1[],8,0)," ")</f>
        <v xml:space="preserve"> </v>
      </c>
      <c r="E323" s="31"/>
      <c r="F323" s="30" t="str">
        <f t="shared" si="5"/>
        <v xml:space="preserve"> </v>
      </c>
    </row>
    <row r="324" spans="1:6" ht="22.7" customHeight="1">
      <c r="A324" s="28"/>
      <c r="B324" s="29" t="str">
        <f>IFERROR(VLOOKUP(A324,Tabla1[],2,0)," ")</f>
        <v xml:space="preserve"> </v>
      </c>
      <c r="C324" s="29" t="str">
        <f>IFERROR(VLOOKUP(A324,Tabla1[],6,0)," ")</f>
        <v xml:space="preserve"> </v>
      </c>
      <c r="D324" s="30" t="str">
        <f>IFERROR(VLOOKUP(A324,Tabla1[],8,0)," ")</f>
        <v xml:space="preserve"> </v>
      </c>
      <c r="E324" s="31"/>
      <c r="F324" s="30" t="str">
        <f t="shared" ref="F324:F387" si="6">IFERROR((E324*D324), " ")</f>
        <v xml:space="preserve"> </v>
      </c>
    </row>
    <row r="325" spans="1:6" ht="22.7" customHeight="1">
      <c r="A325" s="28"/>
      <c r="B325" s="29" t="str">
        <f>IFERROR(VLOOKUP(A325,Tabla1[],2,0)," ")</f>
        <v xml:space="preserve"> </v>
      </c>
      <c r="C325" s="29" t="str">
        <f>IFERROR(VLOOKUP(A325,Tabla1[],6,0)," ")</f>
        <v xml:space="preserve"> </v>
      </c>
      <c r="D325" s="30" t="str">
        <f>IFERROR(VLOOKUP(A325,Tabla1[],8,0)," ")</f>
        <v xml:space="preserve"> </v>
      </c>
      <c r="E325" s="31"/>
      <c r="F325" s="30" t="str">
        <f t="shared" si="6"/>
        <v xml:space="preserve"> </v>
      </c>
    </row>
    <row r="326" spans="1:6" ht="22.7" customHeight="1">
      <c r="A326" s="28"/>
      <c r="B326" s="29" t="str">
        <f>IFERROR(VLOOKUP(A326,Tabla1[],2,0)," ")</f>
        <v xml:space="preserve"> </v>
      </c>
      <c r="C326" s="29" t="str">
        <f>IFERROR(VLOOKUP(A326,Tabla1[],6,0)," ")</f>
        <v xml:space="preserve"> </v>
      </c>
      <c r="D326" s="30" t="str">
        <f>IFERROR(VLOOKUP(A326,Tabla1[],8,0)," ")</f>
        <v xml:space="preserve"> </v>
      </c>
      <c r="E326" s="31"/>
      <c r="F326" s="30" t="str">
        <f t="shared" si="6"/>
        <v xml:space="preserve"> </v>
      </c>
    </row>
    <row r="327" spans="1:6" ht="22.7" customHeight="1">
      <c r="A327" s="28"/>
      <c r="B327" s="29" t="str">
        <f>IFERROR(VLOOKUP(A327,Tabla1[],2,0)," ")</f>
        <v xml:space="preserve"> </v>
      </c>
      <c r="C327" s="29" t="str">
        <f>IFERROR(VLOOKUP(A327,Tabla1[],6,0)," ")</f>
        <v xml:space="preserve"> </v>
      </c>
      <c r="D327" s="30" t="str">
        <f>IFERROR(VLOOKUP(A327,Tabla1[],8,0)," ")</f>
        <v xml:space="preserve"> </v>
      </c>
      <c r="E327" s="31"/>
      <c r="F327" s="30" t="str">
        <f t="shared" si="6"/>
        <v xml:space="preserve"> </v>
      </c>
    </row>
    <row r="328" spans="1:6" ht="22.7" customHeight="1">
      <c r="A328" s="28"/>
      <c r="B328" s="29" t="str">
        <f>IFERROR(VLOOKUP(A328,Tabla1[],2,0)," ")</f>
        <v xml:space="preserve"> </v>
      </c>
      <c r="C328" s="29" t="str">
        <f>IFERROR(VLOOKUP(A328,Tabla1[],6,0)," ")</f>
        <v xml:space="preserve"> </v>
      </c>
      <c r="D328" s="30" t="str">
        <f>IFERROR(VLOOKUP(A328,Tabla1[],8,0)," ")</f>
        <v xml:space="preserve"> </v>
      </c>
      <c r="E328" s="31"/>
      <c r="F328" s="30" t="str">
        <f t="shared" si="6"/>
        <v xml:space="preserve"> </v>
      </c>
    </row>
    <row r="329" spans="1:6" ht="22.7" customHeight="1">
      <c r="A329" s="28"/>
      <c r="B329" s="29" t="str">
        <f>IFERROR(VLOOKUP(A329,Tabla1[],2,0)," ")</f>
        <v xml:space="preserve"> </v>
      </c>
      <c r="C329" s="29" t="str">
        <f>IFERROR(VLOOKUP(A329,Tabla1[],6,0)," ")</f>
        <v xml:space="preserve"> </v>
      </c>
      <c r="D329" s="30" t="str">
        <f>IFERROR(VLOOKUP(A329,Tabla1[],8,0)," ")</f>
        <v xml:space="preserve"> </v>
      </c>
      <c r="E329" s="31"/>
      <c r="F329" s="30" t="str">
        <f t="shared" si="6"/>
        <v xml:space="preserve"> </v>
      </c>
    </row>
    <row r="330" spans="1:6" ht="22.7" customHeight="1">
      <c r="A330" s="28"/>
      <c r="B330" s="29" t="str">
        <f>IFERROR(VLOOKUP(A330,Tabla1[],2,0)," ")</f>
        <v xml:space="preserve"> </v>
      </c>
      <c r="C330" s="29" t="str">
        <f>IFERROR(VLOOKUP(A330,Tabla1[],6,0)," ")</f>
        <v xml:space="preserve"> </v>
      </c>
      <c r="D330" s="30" t="str">
        <f>IFERROR(VLOOKUP(A330,Tabla1[],8,0)," ")</f>
        <v xml:space="preserve"> </v>
      </c>
      <c r="E330" s="31"/>
      <c r="F330" s="30" t="str">
        <f t="shared" si="6"/>
        <v xml:space="preserve"> </v>
      </c>
    </row>
    <row r="331" spans="1:6" ht="22.7" customHeight="1">
      <c r="A331" s="28"/>
      <c r="B331" s="29" t="str">
        <f>IFERROR(VLOOKUP(A331,Tabla1[],2,0)," ")</f>
        <v xml:space="preserve"> </v>
      </c>
      <c r="C331" s="29" t="str">
        <f>IFERROR(VLOOKUP(A331,Tabla1[],6,0)," ")</f>
        <v xml:space="preserve"> </v>
      </c>
      <c r="D331" s="30" t="str">
        <f>IFERROR(VLOOKUP(A331,Tabla1[],8,0)," ")</f>
        <v xml:space="preserve"> </v>
      </c>
      <c r="E331" s="31"/>
      <c r="F331" s="30" t="str">
        <f t="shared" si="6"/>
        <v xml:space="preserve"> </v>
      </c>
    </row>
    <row r="332" spans="1:6" ht="22.7" customHeight="1">
      <c r="A332" s="28"/>
      <c r="B332" s="29" t="str">
        <f>IFERROR(VLOOKUP(A332,Tabla1[],2,0)," ")</f>
        <v xml:space="preserve"> </v>
      </c>
      <c r="C332" s="29" t="str">
        <f>IFERROR(VLOOKUP(A332,Tabla1[],6,0)," ")</f>
        <v xml:space="preserve"> </v>
      </c>
      <c r="D332" s="30" t="str">
        <f>IFERROR(VLOOKUP(A332,Tabla1[],8,0)," ")</f>
        <v xml:space="preserve"> </v>
      </c>
      <c r="E332" s="31"/>
      <c r="F332" s="30" t="str">
        <f t="shared" si="6"/>
        <v xml:space="preserve"> </v>
      </c>
    </row>
    <row r="333" spans="1:6" ht="22.7" customHeight="1">
      <c r="A333" s="28"/>
      <c r="B333" s="29" t="str">
        <f>IFERROR(VLOOKUP(A333,Tabla1[],2,0)," ")</f>
        <v xml:space="preserve"> </v>
      </c>
      <c r="C333" s="29" t="str">
        <f>IFERROR(VLOOKUP(A333,Tabla1[],6,0)," ")</f>
        <v xml:space="preserve"> </v>
      </c>
      <c r="D333" s="30" t="str">
        <f>IFERROR(VLOOKUP(A333,Tabla1[],8,0)," ")</f>
        <v xml:space="preserve"> </v>
      </c>
      <c r="E333" s="31"/>
      <c r="F333" s="30" t="str">
        <f t="shared" si="6"/>
        <v xml:space="preserve"> </v>
      </c>
    </row>
    <row r="334" spans="1:6" ht="22.7" customHeight="1">
      <c r="A334" s="28"/>
      <c r="B334" s="29" t="str">
        <f>IFERROR(VLOOKUP(A334,Tabla1[],2,0)," ")</f>
        <v xml:space="preserve"> </v>
      </c>
      <c r="C334" s="29" t="str">
        <f>IFERROR(VLOOKUP(A334,Tabla1[],6,0)," ")</f>
        <v xml:space="preserve"> </v>
      </c>
      <c r="D334" s="30" t="str">
        <f>IFERROR(VLOOKUP(A334,Tabla1[],8,0)," ")</f>
        <v xml:space="preserve"> </v>
      </c>
      <c r="E334" s="31"/>
      <c r="F334" s="30" t="str">
        <f t="shared" si="6"/>
        <v xml:space="preserve"> </v>
      </c>
    </row>
    <row r="335" spans="1:6" ht="22.7" customHeight="1">
      <c r="A335" s="28"/>
      <c r="B335" s="29" t="str">
        <f>IFERROR(VLOOKUP(A335,Tabla1[],2,0)," ")</f>
        <v xml:space="preserve"> </v>
      </c>
      <c r="C335" s="29" t="str">
        <f>IFERROR(VLOOKUP(A335,Tabla1[],6,0)," ")</f>
        <v xml:space="preserve"> </v>
      </c>
      <c r="D335" s="30" t="str">
        <f>IFERROR(VLOOKUP(A335,Tabla1[],8,0)," ")</f>
        <v xml:space="preserve"> </v>
      </c>
      <c r="E335" s="31"/>
      <c r="F335" s="30" t="str">
        <f t="shared" si="6"/>
        <v xml:space="preserve"> </v>
      </c>
    </row>
    <row r="336" spans="1:6" ht="22.7" customHeight="1">
      <c r="A336" s="28"/>
      <c r="B336" s="29" t="str">
        <f>IFERROR(VLOOKUP(A336,Tabla1[],2,0)," ")</f>
        <v xml:space="preserve"> </v>
      </c>
      <c r="C336" s="29" t="str">
        <f>IFERROR(VLOOKUP(A336,Tabla1[],6,0)," ")</f>
        <v xml:space="preserve"> </v>
      </c>
      <c r="D336" s="30" t="str">
        <f>IFERROR(VLOOKUP(A336,Tabla1[],8,0)," ")</f>
        <v xml:space="preserve"> </v>
      </c>
      <c r="E336" s="31"/>
      <c r="F336" s="30" t="str">
        <f t="shared" si="6"/>
        <v xml:space="preserve"> </v>
      </c>
    </row>
    <row r="337" spans="1:6" ht="22.7" customHeight="1">
      <c r="A337" s="28"/>
      <c r="B337" s="29" t="str">
        <f>IFERROR(VLOOKUP(A337,Tabla1[],2,0)," ")</f>
        <v xml:space="preserve"> </v>
      </c>
      <c r="C337" s="29" t="str">
        <f>IFERROR(VLOOKUP(A337,Tabla1[],6,0)," ")</f>
        <v xml:space="preserve"> </v>
      </c>
      <c r="D337" s="30" t="str">
        <f>IFERROR(VLOOKUP(A337,Tabla1[],8,0)," ")</f>
        <v xml:space="preserve"> </v>
      </c>
      <c r="E337" s="31"/>
      <c r="F337" s="30" t="str">
        <f t="shared" si="6"/>
        <v xml:space="preserve"> </v>
      </c>
    </row>
    <row r="338" spans="1:6" ht="22.7" customHeight="1">
      <c r="A338" s="28"/>
      <c r="B338" s="29" t="str">
        <f>IFERROR(VLOOKUP(A338,Tabla1[],2,0)," ")</f>
        <v xml:space="preserve"> </v>
      </c>
      <c r="C338" s="29" t="str">
        <f>IFERROR(VLOOKUP(A338,Tabla1[],6,0)," ")</f>
        <v xml:space="preserve"> </v>
      </c>
      <c r="D338" s="30" t="str">
        <f>IFERROR(VLOOKUP(A338,Tabla1[],8,0)," ")</f>
        <v xml:space="preserve"> </v>
      </c>
      <c r="E338" s="31"/>
      <c r="F338" s="30" t="str">
        <f t="shared" si="6"/>
        <v xml:space="preserve"> </v>
      </c>
    </row>
    <row r="339" spans="1:6" ht="22.7" customHeight="1">
      <c r="A339" s="28"/>
      <c r="B339" s="29" t="str">
        <f>IFERROR(VLOOKUP(A339,Tabla1[],2,0)," ")</f>
        <v xml:space="preserve"> </v>
      </c>
      <c r="C339" s="29" t="str">
        <f>IFERROR(VLOOKUP(A339,Tabla1[],6,0)," ")</f>
        <v xml:space="preserve"> </v>
      </c>
      <c r="D339" s="30" t="str">
        <f>IFERROR(VLOOKUP(A339,Tabla1[],8,0)," ")</f>
        <v xml:space="preserve"> </v>
      </c>
      <c r="E339" s="31"/>
      <c r="F339" s="30" t="str">
        <f t="shared" si="6"/>
        <v xml:space="preserve"> </v>
      </c>
    </row>
    <row r="340" spans="1:6" ht="22.7" customHeight="1">
      <c r="A340" s="28"/>
      <c r="B340" s="29" t="str">
        <f>IFERROR(VLOOKUP(A340,Tabla1[],2,0)," ")</f>
        <v xml:space="preserve"> </v>
      </c>
      <c r="C340" s="29" t="str">
        <f>IFERROR(VLOOKUP(A340,Tabla1[],6,0)," ")</f>
        <v xml:space="preserve"> </v>
      </c>
      <c r="D340" s="30" t="str">
        <f>IFERROR(VLOOKUP(A340,Tabla1[],8,0)," ")</f>
        <v xml:space="preserve"> </v>
      </c>
      <c r="E340" s="31"/>
      <c r="F340" s="30" t="str">
        <f t="shared" si="6"/>
        <v xml:space="preserve"> </v>
      </c>
    </row>
    <row r="341" spans="1:6" ht="22.7" customHeight="1">
      <c r="A341" s="28"/>
      <c r="B341" s="29" t="str">
        <f>IFERROR(VLOOKUP(A341,Tabla1[],2,0)," ")</f>
        <v xml:space="preserve"> </v>
      </c>
      <c r="C341" s="29" t="str">
        <f>IFERROR(VLOOKUP(A341,Tabla1[],6,0)," ")</f>
        <v xml:space="preserve"> </v>
      </c>
      <c r="D341" s="30" t="str">
        <f>IFERROR(VLOOKUP(A341,Tabla1[],8,0)," ")</f>
        <v xml:space="preserve"> </v>
      </c>
      <c r="E341" s="31"/>
      <c r="F341" s="30" t="str">
        <f t="shared" si="6"/>
        <v xml:space="preserve"> </v>
      </c>
    </row>
    <row r="342" spans="1:6" ht="22.7" customHeight="1">
      <c r="A342" s="28"/>
      <c r="B342" s="29" t="str">
        <f>IFERROR(VLOOKUP(A342,Tabla1[],2,0)," ")</f>
        <v xml:space="preserve"> </v>
      </c>
      <c r="C342" s="29" t="str">
        <f>IFERROR(VLOOKUP(A342,Tabla1[],6,0)," ")</f>
        <v xml:space="preserve"> </v>
      </c>
      <c r="D342" s="30" t="str">
        <f>IFERROR(VLOOKUP(A342,Tabla1[],8,0)," ")</f>
        <v xml:space="preserve"> </v>
      </c>
      <c r="E342" s="31"/>
      <c r="F342" s="30" t="str">
        <f t="shared" si="6"/>
        <v xml:space="preserve"> </v>
      </c>
    </row>
    <row r="343" spans="1:6" ht="22.7" customHeight="1">
      <c r="A343" s="28"/>
      <c r="B343" s="29" t="str">
        <f>IFERROR(VLOOKUP(A343,Tabla1[],2,0)," ")</f>
        <v xml:space="preserve"> </v>
      </c>
      <c r="C343" s="29" t="str">
        <f>IFERROR(VLOOKUP(A343,Tabla1[],6,0)," ")</f>
        <v xml:space="preserve"> </v>
      </c>
      <c r="D343" s="30" t="str">
        <f>IFERROR(VLOOKUP(A343,Tabla1[],8,0)," ")</f>
        <v xml:space="preserve"> </v>
      </c>
      <c r="E343" s="31"/>
      <c r="F343" s="30" t="str">
        <f t="shared" si="6"/>
        <v xml:space="preserve"> </v>
      </c>
    </row>
    <row r="344" spans="1:6" ht="22.7" customHeight="1">
      <c r="A344" s="28"/>
      <c r="B344" s="29" t="str">
        <f>IFERROR(VLOOKUP(A344,Tabla1[],2,0)," ")</f>
        <v xml:space="preserve"> </v>
      </c>
      <c r="C344" s="29" t="str">
        <f>IFERROR(VLOOKUP(A344,Tabla1[],6,0)," ")</f>
        <v xml:space="preserve"> </v>
      </c>
      <c r="D344" s="30" t="str">
        <f>IFERROR(VLOOKUP(A344,Tabla1[],8,0)," ")</f>
        <v xml:space="preserve"> </v>
      </c>
      <c r="E344" s="31"/>
      <c r="F344" s="30" t="str">
        <f t="shared" si="6"/>
        <v xml:space="preserve"> </v>
      </c>
    </row>
    <row r="345" spans="1:6" ht="22.7" customHeight="1">
      <c r="A345" s="28"/>
      <c r="B345" s="29" t="str">
        <f>IFERROR(VLOOKUP(A345,Tabla1[],2,0)," ")</f>
        <v xml:space="preserve"> </v>
      </c>
      <c r="C345" s="29" t="str">
        <f>IFERROR(VLOOKUP(A345,Tabla1[],6,0)," ")</f>
        <v xml:space="preserve"> </v>
      </c>
      <c r="D345" s="30" t="str">
        <f>IFERROR(VLOOKUP(A345,Tabla1[],8,0)," ")</f>
        <v xml:space="preserve"> </v>
      </c>
      <c r="E345" s="31"/>
      <c r="F345" s="30" t="str">
        <f t="shared" si="6"/>
        <v xml:space="preserve"> </v>
      </c>
    </row>
    <row r="346" spans="1:6" ht="22.7" customHeight="1">
      <c r="A346" s="28"/>
      <c r="B346" s="29" t="str">
        <f>IFERROR(VLOOKUP(A346,Tabla1[],2,0)," ")</f>
        <v xml:space="preserve"> </v>
      </c>
      <c r="C346" s="29" t="str">
        <f>IFERROR(VLOOKUP(A346,Tabla1[],6,0)," ")</f>
        <v xml:space="preserve"> </v>
      </c>
      <c r="D346" s="30" t="str">
        <f>IFERROR(VLOOKUP(A346,Tabla1[],8,0)," ")</f>
        <v xml:space="preserve"> </v>
      </c>
      <c r="E346" s="31"/>
      <c r="F346" s="30" t="str">
        <f t="shared" si="6"/>
        <v xml:space="preserve"> </v>
      </c>
    </row>
    <row r="347" spans="1:6" ht="22.7" customHeight="1">
      <c r="A347" s="28"/>
      <c r="B347" s="29" t="str">
        <f>IFERROR(VLOOKUP(A347,Tabla1[],2,0)," ")</f>
        <v xml:space="preserve"> </v>
      </c>
      <c r="C347" s="29" t="str">
        <f>IFERROR(VLOOKUP(A347,Tabla1[],6,0)," ")</f>
        <v xml:space="preserve"> </v>
      </c>
      <c r="D347" s="30" t="str">
        <f>IFERROR(VLOOKUP(A347,Tabla1[],8,0)," ")</f>
        <v xml:space="preserve"> </v>
      </c>
      <c r="E347" s="31"/>
      <c r="F347" s="30" t="str">
        <f t="shared" si="6"/>
        <v xml:space="preserve"> </v>
      </c>
    </row>
    <row r="348" spans="1:6" ht="22.7" customHeight="1">
      <c r="A348" s="28"/>
      <c r="B348" s="29" t="str">
        <f>IFERROR(VLOOKUP(A348,Tabla1[],2,0)," ")</f>
        <v xml:space="preserve"> </v>
      </c>
      <c r="C348" s="29" t="str">
        <f>IFERROR(VLOOKUP(A348,Tabla1[],6,0)," ")</f>
        <v xml:space="preserve"> </v>
      </c>
      <c r="D348" s="30" t="str">
        <f>IFERROR(VLOOKUP(A348,Tabla1[],8,0)," ")</f>
        <v xml:space="preserve"> </v>
      </c>
      <c r="E348" s="31"/>
      <c r="F348" s="30" t="str">
        <f t="shared" si="6"/>
        <v xml:space="preserve"> </v>
      </c>
    </row>
    <row r="349" spans="1:6" ht="22.7" customHeight="1">
      <c r="A349" s="28"/>
      <c r="B349" s="29" t="str">
        <f>IFERROR(VLOOKUP(A349,Tabla1[],2,0)," ")</f>
        <v xml:space="preserve"> </v>
      </c>
      <c r="C349" s="29" t="str">
        <f>IFERROR(VLOOKUP(A349,Tabla1[],6,0)," ")</f>
        <v xml:space="preserve"> </v>
      </c>
      <c r="D349" s="30" t="str">
        <f>IFERROR(VLOOKUP(A349,Tabla1[],8,0)," ")</f>
        <v xml:space="preserve"> </v>
      </c>
      <c r="E349" s="31"/>
      <c r="F349" s="30" t="str">
        <f t="shared" si="6"/>
        <v xml:space="preserve"> </v>
      </c>
    </row>
    <row r="350" spans="1:6" ht="22.7" customHeight="1">
      <c r="A350" s="28"/>
      <c r="B350" s="29" t="str">
        <f>IFERROR(VLOOKUP(A350,Tabla1[],2,0)," ")</f>
        <v xml:space="preserve"> </v>
      </c>
      <c r="C350" s="29" t="str">
        <f>IFERROR(VLOOKUP(A350,Tabla1[],6,0)," ")</f>
        <v xml:space="preserve"> </v>
      </c>
      <c r="D350" s="30" t="str">
        <f>IFERROR(VLOOKUP(A350,Tabla1[],8,0)," ")</f>
        <v xml:space="preserve"> </v>
      </c>
      <c r="E350" s="31"/>
      <c r="F350" s="30" t="str">
        <f t="shared" si="6"/>
        <v xml:space="preserve"> </v>
      </c>
    </row>
    <row r="351" spans="1:6" ht="22.7" customHeight="1">
      <c r="A351" s="28"/>
      <c r="B351" s="29" t="str">
        <f>IFERROR(VLOOKUP(A351,Tabla1[],2,0)," ")</f>
        <v xml:space="preserve"> </v>
      </c>
      <c r="C351" s="29" t="str">
        <f>IFERROR(VLOOKUP(A351,Tabla1[],6,0)," ")</f>
        <v xml:space="preserve"> </v>
      </c>
      <c r="D351" s="30" t="str">
        <f>IFERROR(VLOOKUP(A351,Tabla1[],8,0)," ")</f>
        <v xml:space="preserve"> </v>
      </c>
      <c r="E351" s="31"/>
      <c r="F351" s="30" t="str">
        <f t="shared" si="6"/>
        <v xml:space="preserve"> </v>
      </c>
    </row>
    <row r="352" spans="1:6" ht="22.7" customHeight="1">
      <c r="A352" s="28"/>
      <c r="B352" s="29" t="str">
        <f>IFERROR(VLOOKUP(A352,Tabla1[],2,0)," ")</f>
        <v xml:space="preserve"> </v>
      </c>
      <c r="C352" s="29" t="str">
        <f>IFERROR(VLOOKUP(A352,Tabla1[],6,0)," ")</f>
        <v xml:space="preserve"> </v>
      </c>
      <c r="D352" s="30" t="str">
        <f>IFERROR(VLOOKUP(A352,Tabla1[],8,0)," ")</f>
        <v xml:space="preserve"> </v>
      </c>
      <c r="E352" s="31"/>
      <c r="F352" s="30" t="str">
        <f t="shared" si="6"/>
        <v xml:space="preserve"> </v>
      </c>
    </row>
    <row r="353" spans="1:6" ht="22.7" customHeight="1">
      <c r="A353" s="28"/>
      <c r="B353" s="29" t="str">
        <f>IFERROR(VLOOKUP(A353,Tabla1[],2,0)," ")</f>
        <v xml:space="preserve"> </v>
      </c>
      <c r="C353" s="29" t="str">
        <f>IFERROR(VLOOKUP(A353,Tabla1[],6,0)," ")</f>
        <v xml:space="preserve"> </v>
      </c>
      <c r="D353" s="30" t="str">
        <f>IFERROR(VLOOKUP(A353,Tabla1[],8,0)," ")</f>
        <v xml:space="preserve"> </v>
      </c>
      <c r="E353" s="31"/>
      <c r="F353" s="30" t="str">
        <f t="shared" si="6"/>
        <v xml:space="preserve"> </v>
      </c>
    </row>
    <row r="354" spans="1:6" ht="22.7" customHeight="1">
      <c r="A354" s="28"/>
      <c r="B354" s="29" t="str">
        <f>IFERROR(VLOOKUP(A354,Tabla1[],2,0)," ")</f>
        <v xml:space="preserve"> </v>
      </c>
      <c r="C354" s="29" t="str">
        <f>IFERROR(VLOOKUP(A354,Tabla1[],6,0)," ")</f>
        <v xml:space="preserve"> </v>
      </c>
      <c r="D354" s="30" t="str">
        <f>IFERROR(VLOOKUP(A354,Tabla1[],8,0)," ")</f>
        <v xml:space="preserve"> </v>
      </c>
      <c r="E354" s="31"/>
      <c r="F354" s="30" t="str">
        <f t="shared" si="6"/>
        <v xml:space="preserve"> </v>
      </c>
    </row>
    <row r="355" spans="1:6" ht="22.7" customHeight="1">
      <c r="A355" s="28"/>
      <c r="B355" s="29" t="str">
        <f>IFERROR(VLOOKUP(A355,Tabla1[],2,0)," ")</f>
        <v xml:space="preserve"> </v>
      </c>
      <c r="C355" s="29" t="str">
        <f>IFERROR(VLOOKUP(A355,Tabla1[],6,0)," ")</f>
        <v xml:space="preserve"> </v>
      </c>
      <c r="D355" s="30" t="str">
        <f>IFERROR(VLOOKUP(A355,Tabla1[],8,0)," ")</f>
        <v xml:space="preserve"> </v>
      </c>
      <c r="E355" s="31"/>
      <c r="F355" s="30" t="str">
        <f t="shared" si="6"/>
        <v xml:space="preserve"> </v>
      </c>
    </row>
    <row r="356" spans="1:6" ht="22.7" customHeight="1">
      <c r="A356" s="28"/>
      <c r="B356" s="29" t="str">
        <f>IFERROR(VLOOKUP(A356,Tabla1[],2,0)," ")</f>
        <v xml:space="preserve"> </v>
      </c>
      <c r="C356" s="29" t="str">
        <f>IFERROR(VLOOKUP(A356,Tabla1[],6,0)," ")</f>
        <v xml:space="preserve"> </v>
      </c>
      <c r="D356" s="30" t="str">
        <f>IFERROR(VLOOKUP(A356,Tabla1[],8,0)," ")</f>
        <v xml:space="preserve"> </v>
      </c>
      <c r="E356" s="31"/>
      <c r="F356" s="30" t="str">
        <f t="shared" si="6"/>
        <v xml:space="preserve"> </v>
      </c>
    </row>
    <row r="357" spans="1:6" ht="22.7" customHeight="1">
      <c r="A357" s="28"/>
      <c r="B357" s="29" t="str">
        <f>IFERROR(VLOOKUP(A357,Tabla1[],2,0)," ")</f>
        <v xml:space="preserve"> </v>
      </c>
      <c r="C357" s="29" t="str">
        <f>IFERROR(VLOOKUP(A357,Tabla1[],6,0)," ")</f>
        <v xml:space="preserve"> </v>
      </c>
      <c r="D357" s="30" t="str">
        <f>IFERROR(VLOOKUP(A357,Tabla1[],8,0)," ")</f>
        <v xml:space="preserve"> </v>
      </c>
      <c r="E357" s="31"/>
      <c r="F357" s="30" t="str">
        <f t="shared" si="6"/>
        <v xml:space="preserve"> </v>
      </c>
    </row>
    <row r="358" spans="1:6" ht="22.7" customHeight="1">
      <c r="A358" s="28"/>
      <c r="B358" s="29" t="str">
        <f>IFERROR(VLOOKUP(A358,Tabla1[],2,0)," ")</f>
        <v xml:space="preserve"> </v>
      </c>
      <c r="C358" s="29" t="str">
        <f>IFERROR(VLOOKUP(A358,Tabla1[],6,0)," ")</f>
        <v xml:space="preserve"> </v>
      </c>
      <c r="D358" s="30" t="str">
        <f>IFERROR(VLOOKUP(A358,Tabla1[],8,0)," ")</f>
        <v xml:space="preserve"> </v>
      </c>
      <c r="E358" s="31"/>
      <c r="F358" s="30" t="str">
        <f t="shared" si="6"/>
        <v xml:space="preserve"> </v>
      </c>
    </row>
    <row r="359" spans="1:6" ht="22.7" customHeight="1">
      <c r="A359" s="28"/>
      <c r="B359" s="29" t="str">
        <f>IFERROR(VLOOKUP(A359,Tabla1[],2,0)," ")</f>
        <v xml:space="preserve"> </v>
      </c>
      <c r="C359" s="29" t="str">
        <f>IFERROR(VLOOKUP(A359,Tabla1[],6,0)," ")</f>
        <v xml:space="preserve"> </v>
      </c>
      <c r="D359" s="30" t="str">
        <f>IFERROR(VLOOKUP(A359,Tabla1[],8,0)," ")</f>
        <v xml:space="preserve"> </v>
      </c>
      <c r="E359" s="31"/>
      <c r="F359" s="30" t="str">
        <f t="shared" si="6"/>
        <v xml:space="preserve"> </v>
      </c>
    </row>
    <row r="360" spans="1:6" ht="22.7" customHeight="1">
      <c r="A360" s="28"/>
      <c r="B360" s="29" t="str">
        <f>IFERROR(VLOOKUP(A360,Tabla1[],2,0)," ")</f>
        <v xml:space="preserve"> </v>
      </c>
      <c r="C360" s="29" t="str">
        <f>IFERROR(VLOOKUP(A360,Tabla1[],6,0)," ")</f>
        <v xml:space="preserve"> </v>
      </c>
      <c r="D360" s="30" t="str">
        <f>IFERROR(VLOOKUP(A360,Tabla1[],8,0)," ")</f>
        <v xml:space="preserve"> </v>
      </c>
      <c r="E360" s="31"/>
      <c r="F360" s="30" t="str">
        <f t="shared" si="6"/>
        <v xml:space="preserve"> </v>
      </c>
    </row>
    <row r="361" spans="1:6" ht="22.7" customHeight="1">
      <c r="A361" s="28"/>
      <c r="B361" s="29" t="str">
        <f>IFERROR(VLOOKUP(A361,Tabla1[],2,0)," ")</f>
        <v xml:space="preserve"> </v>
      </c>
      <c r="C361" s="29" t="str">
        <f>IFERROR(VLOOKUP(A361,Tabla1[],6,0)," ")</f>
        <v xml:space="preserve"> </v>
      </c>
      <c r="D361" s="30" t="str">
        <f>IFERROR(VLOOKUP(A361,Tabla1[],8,0)," ")</f>
        <v xml:space="preserve"> </v>
      </c>
      <c r="E361" s="31"/>
      <c r="F361" s="30" t="str">
        <f t="shared" si="6"/>
        <v xml:space="preserve"> </v>
      </c>
    </row>
    <row r="362" spans="1:6" ht="22.7" customHeight="1">
      <c r="A362" s="28"/>
      <c r="B362" s="29" t="str">
        <f>IFERROR(VLOOKUP(A362,Tabla1[],2,0)," ")</f>
        <v xml:space="preserve"> </v>
      </c>
      <c r="C362" s="29" t="str">
        <f>IFERROR(VLOOKUP(A362,Tabla1[],6,0)," ")</f>
        <v xml:space="preserve"> </v>
      </c>
      <c r="D362" s="30" t="str">
        <f>IFERROR(VLOOKUP(A362,Tabla1[],8,0)," ")</f>
        <v xml:space="preserve"> </v>
      </c>
      <c r="E362" s="31"/>
      <c r="F362" s="30" t="str">
        <f t="shared" si="6"/>
        <v xml:space="preserve"> </v>
      </c>
    </row>
    <row r="363" spans="1:6" ht="22.7" customHeight="1">
      <c r="A363" s="28"/>
      <c r="B363" s="29" t="str">
        <f>IFERROR(VLOOKUP(A363,Tabla1[],2,0)," ")</f>
        <v xml:space="preserve"> </v>
      </c>
      <c r="C363" s="29" t="str">
        <f>IFERROR(VLOOKUP(A363,Tabla1[],6,0)," ")</f>
        <v xml:space="preserve"> </v>
      </c>
      <c r="D363" s="30" t="str">
        <f>IFERROR(VLOOKUP(A363,Tabla1[],8,0)," ")</f>
        <v xml:space="preserve"> </v>
      </c>
      <c r="E363" s="31"/>
      <c r="F363" s="30" t="str">
        <f t="shared" si="6"/>
        <v xml:space="preserve"> </v>
      </c>
    </row>
    <row r="364" spans="1:6" ht="22.7" customHeight="1">
      <c r="A364" s="28"/>
      <c r="B364" s="29" t="str">
        <f>IFERROR(VLOOKUP(A364,Tabla1[],2,0)," ")</f>
        <v xml:space="preserve"> </v>
      </c>
      <c r="C364" s="29" t="str">
        <f>IFERROR(VLOOKUP(A364,Tabla1[],6,0)," ")</f>
        <v xml:space="preserve"> </v>
      </c>
      <c r="D364" s="30" t="str">
        <f>IFERROR(VLOOKUP(A364,Tabla1[],8,0)," ")</f>
        <v xml:space="preserve"> </v>
      </c>
      <c r="E364" s="31"/>
      <c r="F364" s="30" t="str">
        <f t="shared" si="6"/>
        <v xml:space="preserve"> </v>
      </c>
    </row>
    <row r="365" spans="1:6" ht="22.7" customHeight="1">
      <c r="A365" s="28"/>
      <c r="B365" s="29" t="str">
        <f>IFERROR(VLOOKUP(A365,Tabla1[],2,0)," ")</f>
        <v xml:space="preserve"> </v>
      </c>
      <c r="C365" s="29" t="str">
        <f>IFERROR(VLOOKUP(A365,Tabla1[],6,0)," ")</f>
        <v xml:space="preserve"> </v>
      </c>
      <c r="D365" s="30" t="str">
        <f>IFERROR(VLOOKUP(A365,Tabla1[],8,0)," ")</f>
        <v xml:space="preserve"> </v>
      </c>
      <c r="E365" s="31"/>
      <c r="F365" s="30" t="str">
        <f t="shared" si="6"/>
        <v xml:space="preserve"> </v>
      </c>
    </row>
    <row r="366" spans="1:6" ht="22.7" customHeight="1">
      <c r="A366" s="28"/>
      <c r="B366" s="29" t="str">
        <f>IFERROR(VLOOKUP(A366,Tabla1[],2,0)," ")</f>
        <v xml:space="preserve"> </v>
      </c>
      <c r="C366" s="29" t="str">
        <f>IFERROR(VLOOKUP(A366,Tabla1[],6,0)," ")</f>
        <v xml:space="preserve"> </v>
      </c>
      <c r="D366" s="30" t="str">
        <f>IFERROR(VLOOKUP(A366,Tabla1[],8,0)," ")</f>
        <v xml:space="preserve"> </v>
      </c>
      <c r="E366" s="31"/>
      <c r="F366" s="30" t="str">
        <f t="shared" si="6"/>
        <v xml:space="preserve"> </v>
      </c>
    </row>
    <row r="367" spans="1:6" ht="22.7" customHeight="1">
      <c r="A367" s="28"/>
      <c r="B367" s="29" t="str">
        <f>IFERROR(VLOOKUP(A367,Tabla1[],2,0)," ")</f>
        <v xml:space="preserve"> </v>
      </c>
      <c r="C367" s="29" t="str">
        <f>IFERROR(VLOOKUP(A367,Tabla1[],6,0)," ")</f>
        <v xml:space="preserve"> </v>
      </c>
      <c r="D367" s="30" t="str">
        <f>IFERROR(VLOOKUP(A367,Tabla1[],8,0)," ")</f>
        <v xml:space="preserve"> </v>
      </c>
      <c r="E367" s="31"/>
      <c r="F367" s="30" t="str">
        <f t="shared" si="6"/>
        <v xml:space="preserve"> </v>
      </c>
    </row>
    <row r="368" spans="1:6" ht="22.7" customHeight="1">
      <c r="A368" s="28"/>
      <c r="B368" s="29" t="str">
        <f>IFERROR(VLOOKUP(A368,Tabla1[],2,0)," ")</f>
        <v xml:space="preserve"> </v>
      </c>
      <c r="C368" s="29" t="str">
        <f>IFERROR(VLOOKUP(A368,Tabla1[],6,0)," ")</f>
        <v xml:space="preserve"> </v>
      </c>
      <c r="D368" s="30" t="str">
        <f>IFERROR(VLOOKUP(A368,Tabla1[],8,0)," ")</f>
        <v xml:space="preserve"> </v>
      </c>
      <c r="E368" s="31"/>
      <c r="F368" s="30" t="str">
        <f t="shared" si="6"/>
        <v xml:space="preserve"> </v>
      </c>
    </row>
    <row r="369" spans="1:6" ht="22.7" customHeight="1">
      <c r="A369" s="28"/>
      <c r="B369" s="29" t="str">
        <f>IFERROR(VLOOKUP(A369,Tabla1[],2,0)," ")</f>
        <v xml:space="preserve"> </v>
      </c>
      <c r="C369" s="29" t="str">
        <f>IFERROR(VLOOKUP(A369,Tabla1[],6,0)," ")</f>
        <v xml:space="preserve"> </v>
      </c>
      <c r="D369" s="30" t="str">
        <f>IFERROR(VLOOKUP(A369,Tabla1[],8,0)," ")</f>
        <v xml:space="preserve"> </v>
      </c>
      <c r="E369" s="31"/>
      <c r="F369" s="30" t="str">
        <f t="shared" si="6"/>
        <v xml:space="preserve"> </v>
      </c>
    </row>
    <row r="370" spans="1:6" ht="22.7" customHeight="1">
      <c r="A370" s="28"/>
      <c r="B370" s="29" t="str">
        <f>IFERROR(VLOOKUP(A370,Tabla1[],2,0)," ")</f>
        <v xml:space="preserve"> </v>
      </c>
      <c r="C370" s="29" t="str">
        <f>IFERROR(VLOOKUP(A370,Tabla1[],6,0)," ")</f>
        <v xml:space="preserve"> </v>
      </c>
      <c r="D370" s="30" t="str">
        <f>IFERROR(VLOOKUP(A370,Tabla1[],8,0)," ")</f>
        <v xml:space="preserve"> </v>
      </c>
      <c r="E370" s="31"/>
      <c r="F370" s="30" t="str">
        <f t="shared" si="6"/>
        <v xml:space="preserve"> </v>
      </c>
    </row>
    <row r="371" spans="1:6" ht="22.7" customHeight="1">
      <c r="A371" s="28"/>
      <c r="B371" s="29" t="str">
        <f>IFERROR(VLOOKUP(A371,Tabla1[],2,0)," ")</f>
        <v xml:space="preserve"> </v>
      </c>
      <c r="C371" s="29" t="str">
        <f>IFERROR(VLOOKUP(A371,Tabla1[],6,0)," ")</f>
        <v xml:space="preserve"> </v>
      </c>
      <c r="D371" s="30" t="str">
        <f>IFERROR(VLOOKUP(A371,Tabla1[],8,0)," ")</f>
        <v xml:space="preserve"> </v>
      </c>
      <c r="E371" s="31"/>
      <c r="F371" s="30" t="str">
        <f t="shared" si="6"/>
        <v xml:space="preserve"> </v>
      </c>
    </row>
    <row r="372" spans="1:6" ht="22.7" customHeight="1">
      <c r="A372" s="28"/>
      <c r="B372" s="29" t="str">
        <f>IFERROR(VLOOKUP(A372,Tabla1[],2,0)," ")</f>
        <v xml:space="preserve"> </v>
      </c>
      <c r="C372" s="29" t="str">
        <f>IFERROR(VLOOKUP(A372,Tabla1[],6,0)," ")</f>
        <v xml:space="preserve"> </v>
      </c>
      <c r="D372" s="30" t="str">
        <f>IFERROR(VLOOKUP(A372,Tabla1[],8,0)," ")</f>
        <v xml:space="preserve"> </v>
      </c>
      <c r="E372" s="31"/>
      <c r="F372" s="30" t="str">
        <f t="shared" si="6"/>
        <v xml:space="preserve"> </v>
      </c>
    </row>
    <row r="373" spans="1:6" ht="22.7" customHeight="1">
      <c r="A373" s="28"/>
      <c r="B373" s="29" t="str">
        <f>IFERROR(VLOOKUP(A373,Tabla1[],2,0)," ")</f>
        <v xml:space="preserve"> </v>
      </c>
      <c r="C373" s="29" t="str">
        <f>IFERROR(VLOOKUP(A373,Tabla1[],6,0)," ")</f>
        <v xml:space="preserve"> </v>
      </c>
      <c r="D373" s="30" t="str">
        <f>IFERROR(VLOOKUP(A373,Tabla1[],8,0)," ")</f>
        <v xml:space="preserve"> </v>
      </c>
      <c r="E373" s="31"/>
      <c r="F373" s="30" t="str">
        <f t="shared" si="6"/>
        <v xml:space="preserve"> </v>
      </c>
    </row>
    <row r="374" spans="1:6" ht="22.7" customHeight="1">
      <c r="A374" s="28"/>
      <c r="B374" s="29" t="str">
        <f>IFERROR(VLOOKUP(A374,Tabla1[],2,0)," ")</f>
        <v xml:space="preserve"> </v>
      </c>
      <c r="C374" s="29" t="str">
        <f>IFERROR(VLOOKUP(A374,Tabla1[],6,0)," ")</f>
        <v xml:space="preserve"> </v>
      </c>
      <c r="D374" s="30" t="str">
        <f>IFERROR(VLOOKUP(A374,Tabla1[],8,0)," ")</f>
        <v xml:space="preserve"> </v>
      </c>
      <c r="E374" s="31"/>
      <c r="F374" s="30" t="str">
        <f t="shared" si="6"/>
        <v xml:space="preserve"> </v>
      </c>
    </row>
    <row r="375" spans="1:6" ht="22.7" customHeight="1">
      <c r="A375" s="28"/>
      <c r="B375" s="29" t="str">
        <f>IFERROR(VLOOKUP(A375,Tabla1[],2,0)," ")</f>
        <v xml:space="preserve"> </v>
      </c>
      <c r="C375" s="29" t="str">
        <f>IFERROR(VLOOKUP(A375,Tabla1[],6,0)," ")</f>
        <v xml:space="preserve"> </v>
      </c>
      <c r="D375" s="30" t="str">
        <f>IFERROR(VLOOKUP(A375,Tabla1[],8,0)," ")</f>
        <v xml:space="preserve"> </v>
      </c>
      <c r="E375" s="31"/>
      <c r="F375" s="30" t="str">
        <f t="shared" si="6"/>
        <v xml:space="preserve"> </v>
      </c>
    </row>
    <row r="376" spans="1:6" ht="22.7" customHeight="1">
      <c r="A376" s="28"/>
      <c r="B376" s="29" t="str">
        <f>IFERROR(VLOOKUP(A376,Tabla1[],2,0)," ")</f>
        <v xml:space="preserve"> </v>
      </c>
      <c r="C376" s="29" t="str">
        <f>IFERROR(VLOOKUP(A376,Tabla1[],6,0)," ")</f>
        <v xml:space="preserve"> </v>
      </c>
      <c r="D376" s="30" t="str">
        <f>IFERROR(VLOOKUP(A376,Tabla1[],8,0)," ")</f>
        <v xml:space="preserve"> </v>
      </c>
      <c r="E376" s="31"/>
      <c r="F376" s="30" t="str">
        <f t="shared" si="6"/>
        <v xml:space="preserve"> </v>
      </c>
    </row>
    <row r="377" spans="1:6" ht="22.7" customHeight="1">
      <c r="A377" s="28"/>
      <c r="B377" s="29" t="str">
        <f>IFERROR(VLOOKUP(A377,Tabla1[],2,0)," ")</f>
        <v xml:space="preserve"> </v>
      </c>
      <c r="C377" s="29" t="str">
        <f>IFERROR(VLOOKUP(A377,Tabla1[],6,0)," ")</f>
        <v xml:space="preserve"> </v>
      </c>
      <c r="D377" s="30" t="str">
        <f>IFERROR(VLOOKUP(A377,Tabla1[],8,0)," ")</f>
        <v xml:space="preserve"> </v>
      </c>
      <c r="E377" s="31"/>
      <c r="F377" s="30" t="str">
        <f t="shared" si="6"/>
        <v xml:space="preserve"> </v>
      </c>
    </row>
    <row r="378" spans="1:6" ht="22.7" customHeight="1">
      <c r="A378" s="28"/>
      <c r="B378" s="29" t="str">
        <f>IFERROR(VLOOKUP(A378,Tabla1[],2,0)," ")</f>
        <v xml:space="preserve"> </v>
      </c>
      <c r="C378" s="29" t="str">
        <f>IFERROR(VLOOKUP(A378,Tabla1[],6,0)," ")</f>
        <v xml:space="preserve"> </v>
      </c>
      <c r="D378" s="30" t="str">
        <f>IFERROR(VLOOKUP(A378,Tabla1[],8,0)," ")</f>
        <v xml:space="preserve"> </v>
      </c>
      <c r="E378" s="31"/>
      <c r="F378" s="30" t="str">
        <f t="shared" si="6"/>
        <v xml:space="preserve"> </v>
      </c>
    </row>
    <row r="379" spans="1:6" ht="22.7" customHeight="1">
      <c r="A379" s="28"/>
      <c r="B379" s="29" t="str">
        <f>IFERROR(VLOOKUP(A379,Tabla1[],2,0)," ")</f>
        <v xml:space="preserve"> </v>
      </c>
      <c r="C379" s="29" t="str">
        <f>IFERROR(VLOOKUP(A379,Tabla1[],6,0)," ")</f>
        <v xml:space="preserve"> </v>
      </c>
      <c r="D379" s="30" t="str">
        <f>IFERROR(VLOOKUP(A379,Tabla1[],8,0)," ")</f>
        <v xml:space="preserve"> </v>
      </c>
      <c r="E379" s="31"/>
      <c r="F379" s="30" t="str">
        <f t="shared" si="6"/>
        <v xml:space="preserve"> </v>
      </c>
    </row>
    <row r="380" spans="1:6" ht="22.7" customHeight="1">
      <c r="A380" s="28"/>
      <c r="B380" s="29" t="str">
        <f>IFERROR(VLOOKUP(A380,Tabla1[],2,0)," ")</f>
        <v xml:space="preserve"> </v>
      </c>
      <c r="C380" s="29" t="str">
        <f>IFERROR(VLOOKUP(A380,Tabla1[],6,0)," ")</f>
        <v xml:space="preserve"> </v>
      </c>
      <c r="D380" s="30" t="str">
        <f>IFERROR(VLOOKUP(A380,Tabla1[],8,0)," ")</f>
        <v xml:space="preserve"> </v>
      </c>
      <c r="E380" s="31"/>
      <c r="F380" s="30" t="str">
        <f t="shared" si="6"/>
        <v xml:space="preserve"> </v>
      </c>
    </row>
    <row r="381" spans="1:6" ht="22.7" customHeight="1">
      <c r="A381" s="28"/>
      <c r="B381" s="29" t="str">
        <f>IFERROR(VLOOKUP(A381,Tabla1[],2,0)," ")</f>
        <v xml:space="preserve"> </v>
      </c>
      <c r="C381" s="29" t="str">
        <f>IFERROR(VLOOKUP(A381,Tabla1[],6,0)," ")</f>
        <v xml:space="preserve"> </v>
      </c>
      <c r="D381" s="30" t="str">
        <f>IFERROR(VLOOKUP(A381,Tabla1[],8,0)," ")</f>
        <v xml:space="preserve"> </v>
      </c>
      <c r="E381" s="31"/>
      <c r="F381" s="30" t="str">
        <f t="shared" si="6"/>
        <v xml:space="preserve"> </v>
      </c>
    </row>
    <row r="382" spans="1:6" ht="22.7" customHeight="1">
      <c r="A382" s="28"/>
      <c r="B382" s="29" t="str">
        <f>IFERROR(VLOOKUP(A382,Tabla1[],2,0)," ")</f>
        <v xml:space="preserve"> </v>
      </c>
      <c r="C382" s="29" t="str">
        <f>IFERROR(VLOOKUP(A382,Tabla1[],6,0)," ")</f>
        <v xml:space="preserve"> </v>
      </c>
      <c r="D382" s="30" t="str">
        <f>IFERROR(VLOOKUP(A382,Tabla1[],8,0)," ")</f>
        <v xml:space="preserve"> </v>
      </c>
      <c r="E382" s="31"/>
      <c r="F382" s="30" t="str">
        <f t="shared" si="6"/>
        <v xml:space="preserve"> </v>
      </c>
    </row>
    <row r="383" spans="1:6" ht="22.7" customHeight="1">
      <c r="A383" s="28"/>
      <c r="B383" s="29" t="str">
        <f>IFERROR(VLOOKUP(A383,Tabla1[],2,0)," ")</f>
        <v xml:space="preserve"> </v>
      </c>
      <c r="C383" s="29" t="str">
        <f>IFERROR(VLOOKUP(A383,Tabla1[],6,0)," ")</f>
        <v xml:space="preserve"> </v>
      </c>
      <c r="D383" s="30" t="str">
        <f>IFERROR(VLOOKUP(A383,Tabla1[],8,0)," ")</f>
        <v xml:space="preserve"> </v>
      </c>
      <c r="E383" s="31"/>
      <c r="F383" s="30" t="str">
        <f t="shared" si="6"/>
        <v xml:space="preserve"> </v>
      </c>
    </row>
    <row r="384" spans="1:6" ht="22.7" customHeight="1">
      <c r="A384" s="28"/>
      <c r="B384" s="29" t="str">
        <f>IFERROR(VLOOKUP(A384,Tabla1[],2,0)," ")</f>
        <v xml:space="preserve"> </v>
      </c>
      <c r="C384" s="29" t="str">
        <f>IFERROR(VLOOKUP(A384,Tabla1[],6,0)," ")</f>
        <v xml:space="preserve"> </v>
      </c>
      <c r="D384" s="30" t="str">
        <f>IFERROR(VLOOKUP(A384,Tabla1[],8,0)," ")</f>
        <v xml:space="preserve"> </v>
      </c>
      <c r="E384" s="31"/>
      <c r="F384" s="30" t="str">
        <f t="shared" si="6"/>
        <v xml:space="preserve"> </v>
      </c>
    </row>
    <row r="385" spans="1:6" ht="22.7" customHeight="1">
      <c r="A385" s="28"/>
      <c r="B385" s="29" t="str">
        <f>IFERROR(VLOOKUP(A385,Tabla1[],2,0)," ")</f>
        <v xml:space="preserve"> </v>
      </c>
      <c r="C385" s="29" t="str">
        <f>IFERROR(VLOOKUP(A385,Tabla1[],6,0)," ")</f>
        <v xml:space="preserve"> </v>
      </c>
      <c r="D385" s="30" t="str">
        <f>IFERROR(VLOOKUP(A385,Tabla1[],8,0)," ")</f>
        <v xml:space="preserve"> </v>
      </c>
      <c r="E385" s="31"/>
      <c r="F385" s="30" t="str">
        <f t="shared" si="6"/>
        <v xml:space="preserve"> </v>
      </c>
    </row>
    <row r="386" spans="1:6" ht="22.7" customHeight="1">
      <c r="A386" s="28"/>
      <c r="B386" s="29" t="str">
        <f>IFERROR(VLOOKUP(A386,Tabla1[],2,0)," ")</f>
        <v xml:space="preserve"> </v>
      </c>
      <c r="C386" s="29" t="str">
        <f>IFERROR(VLOOKUP(A386,Tabla1[],6,0)," ")</f>
        <v xml:space="preserve"> </v>
      </c>
      <c r="D386" s="30" t="str">
        <f>IFERROR(VLOOKUP(A386,Tabla1[],8,0)," ")</f>
        <v xml:space="preserve"> </v>
      </c>
      <c r="E386" s="31"/>
      <c r="F386" s="30" t="str">
        <f t="shared" si="6"/>
        <v xml:space="preserve"> </v>
      </c>
    </row>
    <row r="387" spans="1:6" ht="22.7" customHeight="1">
      <c r="A387" s="28"/>
      <c r="B387" s="29" t="str">
        <f>IFERROR(VLOOKUP(A387,Tabla1[],2,0)," ")</f>
        <v xml:space="preserve"> </v>
      </c>
      <c r="C387" s="29" t="str">
        <f>IFERROR(VLOOKUP(A387,Tabla1[],6,0)," ")</f>
        <v xml:space="preserve"> </v>
      </c>
      <c r="D387" s="30" t="str">
        <f>IFERROR(VLOOKUP(A387,Tabla1[],8,0)," ")</f>
        <v xml:space="preserve"> </v>
      </c>
      <c r="E387" s="31"/>
      <c r="F387" s="30" t="str">
        <f t="shared" si="6"/>
        <v xml:space="preserve"> </v>
      </c>
    </row>
    <row r="388" spans="1:6" ht="22.7" customHeight="1">
      <c r="A388" s="28"/>
      <c r="B388" s="29" t="str">
        <f>IFERROR(VLOOKUP(A388,Tabla1[],2,0)," ")</f>
        <v xml:space="preserve"> </v>
      </c>
      <c r="C388" s="29" t="str">
        <f>IFERROR(VLOOKUP(A388,Tabla1[],6,0)," ")</f>
        <v xml:space="preserve"> </v>
      </c>
      <c r="D388" s="30" t="str">
        <f>IFERROR(VLOOKUP(A388,Tabla1[],8,0)," ")</f>
        <v xml:space="preserve"> </v>
      </c>
      <c r="E388" s="31"/>
      <c r="F388" s="30" t="str">
        <f t="shared" ref="F388:F451" si="7">IFERROR((E388*D388), " ")</f>
        <v xml:space="preserve"> </v>
      </c>
    </row>
    <row r="389" spans="1:6" ht="22.7" customHeight="1">
      <c r="A389" s="28"/>
      <c r="B389" s="29" t="str">
        <f>IFERROR(VLOOKUP(A389,Tabla1[],2,0)," ")</f>
        <v xml:space="preserve"> </v>
      </c>
      <c r="C389" s="29" t="str">
        <f>IFERROR(VLOOKUP(A389,Tabla1[],6,0)," ")</f>
        <v xml:space="preserve"> </v>
      </c>
      <c r="D389" s="30" t="str">
        <f>IFERROR(VLOOKUP(A389,Tabla1[],8,0)," ")</f>
        <v xml:space="preserve"> </v>
      </c>
      <c r="E389" s="31"/>
      <c r="F389" s="30" t="str">
        <f t="shared" si="7"/>
        <v xml:space="preserve"> </v>
      </c>
    </row>
    <row r="390" spans="1:6" ht="22.7" customHeight="1">
      <c r="A390" s="28"/>
      <c r="B390" s="29" t="str">
        <f>IFERROR(VLOOKUP(A390,Tabla1[],2,0)," ")</f>
        <v xml:space="preserve"> </v>
      </c>
      <c r="C390" s="29" t="str">
        <f>IFERROR(VLOOKUP(A390,Tabla1[],6,0)," ")</f>
        <v xml:space="preserve"> </v>
      </c>
      <c r="D390" s="30" t="str">
        <f>IFERROR(VLOOKUP(A390,Tabla1[],8,0)," ")</f>
        <v xml:space="preserve"> </v>
      </c>
      <c r="E390" s="31"/>
      <c r="F390" s="30" t="str">
        <f t="shared" si="7"/>
        <v xml:space="preserve"> </v>
      </c>
    </row>
    <row r="391" spans="1:6" ht="22.7" customHeight="1">
      <c r="A391" s="28"/>
      <c r="B391" s="29" t="str">
        <f>IFERROR(VLOOKUP(A391,Tabla1[],2,0)," ")</f>
        <v xml:space="preserve"> </v>
      </c>
      <c r="C391" s="29" t="str">
        <f>IFERROR(VLOOKUP(A391,Tabla1[],6,0)," ")</f>
        <v xml:space="preserve"> </v>
      </c>
      <c r="D391" s="30" t="str">
        <f>IFERROR(VLOOKUP(A391,Tabla1[],8,0)," ")</f>
        <v xml:space="preserve"> </v>
      </c>
      <c r="E391" s="31"/>
      <c r="F391" s="30" t="str">
        <f t="shared" si="7"/>
        <v xml:space="preserve"> </v>
      </c>
    </row>
    <row r="392" spans="1:6" ht="22.7" customHeight="1">
      <c r="A392" s="28"/>
      <c r="B392" s="29" t="str">
        <f>IFERROR(VLOOKUP(A392,Tabla1[],2,0)," ")</f>
        <v xml:space="preserve"> </v>
      </c>
      <c r="C392" s="29" t="str">
        <f>IFERROR(VLOOKUP(A392,Tabla1[],6,0)," ")</f>
        <v xml:space="preserve"> </v>
      </c>
      <c r="D392" s="30" t="str">
        <f>IFERROR(VLOOKUP(A392,Tabla1[],8,0)," ")</f>
        <v xml:space="preserve"> </v>
      </c>
      <c r="E392" s="31"/>
      <c r="F392" s="30" t="str">
        <f t="shared" si="7"/>
        <v xml:space="preserve"> </v>
      </c>
    </row>
    <row r="393" spans="1:6" ht="22.7" customHeight="1">
      <c r="A393" s="28"/>
      <c r="B393" s="29" t="str">
        <f>IFERROR(VLOOKUP(A393,Tabla1[],2,0)," ")</f>
        <v xml:space="preserve"> </v>
      </c>
      <c r="C393" s="29" t="str">
        <f>IFERROR(VLOOKUP(A393,Tabla1[],6,0)," ")</f>
        <v xml:space="preserve"> </v>
      </c>
      <c r="D393" s="30" t="str">
        <f>IFERROR(VLOOKUP(A393,Tabla1[],8,0)," ")</f>
        <v xml:space="preserve"> </v>
      </c>
      <c r="E393" s="31"/>
      <c r="F393" s="30" t="str">
        <f t="shared" si="7"/>
        <v xml:space="preserve"> </v>
      </c>
    </row>
    <row r="394" spans="1:6" ht="22.7" customHeight="1">
      <c r="A394" s="28"/>
      <c r="B394" s="29" t="str">
        <f>IFERROR(VLOOKUP(A394,Tabla1[],2,0)," ")</f>
        <v xml:space="preserve"> </v>
      </c>
      <c r="C394" s="29" t="str">
        <f>IFERROR(VLOOKUP(A394,Tabla1[],6,0)," ")</f>
        <v xml:space="preserve"> </v>
      </c>
      <c r="D394" s="30" t="str">
        <f>IFERROR(VLOOKUP(A394,Tabla1[],8,0)," ")</f>
        <v xml:space="preserve"> </v>
      </c>
      <c r="E394" s="31"/>
      <c r="F394" s="30" t="str">
        <f t="shared" si="7"/>
        <v xml:space="preserve"> </v>
      </c>
    </row>
    <row r="395" spans="1:6" ht="22.7" customHeight="1">
      <c r="A395" s="28"/>
      <c r="B395" s="29" t="str">
        <f>IFERROR(VLOOKUP(A395,Tabla1[],2,0)," ")</f>
        <v xml:space="preserve"> </v>
      </c>
      <c r="C395" s="29" t="str">
        <f>IFERROR(VLOOKUP(A395,Tabla1[],6,0)," ")</f>
        <v xml:space="preserve"> </v>
      </c>
      <c r="D395" s="30" t="str">
        <f>IFERROR(VLOOKUP(A395,Tabla1[],8,0)," ")</f>
        <v xml:space="preserve"> </v>
      </c>
      <c r="E395" s="31"/>
      <c r="F395" s="30" t="str">
        <f t="shared" si="7"/>
        <v xml:space="preserve"> </v>
      </c>
    </row>
    <row r="396" spans="1:6" ht="22.7" customHeight="1">
      <c r="A396" s="28"/>
      <c r="B396" s="29" t="str">
        <f>IFERROR(VLOOKUP(A396,Tabla1[],2,0)," ")</f>
        <v xml:space="preserve"> </v>
      </c>
      <c r="C396" s="29" t="str">
        <f>IFERROR(VLOOKUP(A396,Tabla1[],6,0)," ")</f>
        <v xml:space="preserve"> </v>
      </c>
      <c r="D396" s="30" t="str">
        <f>IFERROR(VLOOKUP(A396,Tabla1[],8,0)," ")</f>
        <v xml:space="preserve"> </v>
      </c>
      <c r="E396" s="31"/>
      <c r="F396" s="30" t="str">
        <f t="shared" si="7"/>
        <v xml:space="preserve"> </v>
      </c>
    </row>
    <row r="397" spans="1:6" ht="22.7" customHeight="1">
      <c r="A397" s="28"/>
      <c r="B397" s="29" t="str">
        <f>IFERROR(VLOOKUP(A397,Tabla1[],2,0)," ")</f>
        <v xml:space="preserve"> </v>
      </c>
      <c r="C397" s="29" t="str">
        <f>IFERROR(VLOOKUP(A397,Tabla1[],6,0)," ")</f>
        <v xml:space="preserve"> </v>
      </c>
      <c r="D397" s="30" t="str">
        <f>IFERROR(VLOOKUP(A397,Tabla1[],8,0)," ")</f>
        <v xml:space="preserve"> </v>
      </c>
      <c r="E397" s="31"/>
      <c r="F397" s="30" t="str">
        <f t="shared" si="7"/>
        <v xml:space="preserve"> </v>
      </c>
    </row>
    <row r="398" spans="1:6" ht="22.7" customHeight="1">
      <c r="A398" s="28"/>
      <c r="B398" s="29" t="str">
        <f>IFERROR(VLOOKUP(A398,Tabla1[],2,0)," ")</f>
        <v xml:space="preserve"> </v>
      </c>
      <c r="C398" s="29" t="str">
        <f>IFERROR(VLOOKUP(A398,Tabla1[],6,0)," ")</f>
        <v xml:space="preserve"> </v>
      </c>
      <c r="D398" s="30" t="str">
        <f>IFERROR(VLOOKUP(A398,Tabla1[],8,0)," ")</f>
        <v xml:space="preserve"> </v>
      </c>
      <c r="E398" s="31"/>
      <c r="F398" s="30" t="str">
        <f t="shared" si="7"/>
        <v xml:space="preserve"> </v>
      </c>
    </row>
    <row r="399" spans="1:6" ht="22.7" customHeight="1">
      <c r="A399" s="28"/>
      <c r="B399" s="29" t="str">
        <f>IFERROR(VLOOKUP(A399,Tabla1[],2,0)," ")</f>
        <v xml:space="preserve"> </v>
      </c>
      <c r="C399" s="29" t="str">
        <f>IFERROR(VLOOKUP(A399,Tabla1[],6,0)," ")</f>
        <v xml:space="preserve"> </v>
      </c>
      <c r="D399" s="30" t="str">
        <f>IFERROR(VLOOKUP(A399,Tabla1[],8,0)," ")</f>
        <v xml:space="preserve"> </v>
      </c>
      <c r="E399" s="31"/>
      <c r="F399" s="30" t="str">
        <f t="shared" si="7"/>
        <v xml:space="preserve"> </v>
      </c>
    </row>
    <row r="400" spans="1:6" ht="22.7" customHeight="1">
      <c r="A400" s="28"/>
      <c r="B400" s="29" t="str">
        <f>IFERROR(VLOOKUP(A400,Tabla1[],2,0)," ")</f>
        <v xml:space="preserve"> </v>
      </c>
      <c r="C400" s="29" t="str">
        <f>IFERROR(VLOOKUP(A400,Tabla1[],6,0)," ")</f>
        <v xml:space="preserve"> </v>
      </c>
      <c r="D400" s="30" t="str">
        <f>IFERROR(VLOOKUP(A400,Tabla1[],8,0)," ")</f>
        <v xml:space="preserve"> </v>
      </c>
      <c r="E400" s="31"/>
      <c r="F400" s="30" t="str">
        <f t="shared" si="7"/>
        <v xml:space="preserve"> </v>
      </c>
    </row>
    <row r="401" spans="1:6" ht="22.7" customHeight="1">
      <c r="A401" s="28"/>
      <c r="B401" s="29" t="str">
        <f>IFERROR(VLOOKUP(A401,Tabla1[],2,0)," ")</f>
        <v xml:space="preserve"> </v>
      </c>
      <c r="C401" s="29" t="str">
        <f>IFERROR(VLOOKUP(A401,Tabla1[],6,0)," ")</f>
        <v xml:space="preserve"> </v>
      </c>
      <c r="D401" s="30" t="str">
        <f>IFERROR(VLOOKUP(A401,Tabla1[],8,0)," ")</f>
        <v xml:space="preserve"> </v>
      </c>
      <c r="E401" s="31"/>
      <c r="F401" s="30" t="str">
        <f t="shared" si="7"/>
        <v xml:space="preserve"> </v>
      </c>
    </row>
    <row r="402" spans="1:6" ht="22.7" customHeight="1">
      <c r="A402" s="28"/>
      <c r="B402" s="29" t="str">
        <f>IFERROR(VLOOKUP(A402,Tabla1[],2,0)," ")</f>
        <v xml:space="preserve"> </v>
      </c>
      <c r="C402" s="29" t="str">
        <f>IFERROR(VLOOKUP(A402,Tabla1[],6,0)," ")</f>
        <v xml:space="preserve"> </v>
      </c>
      <c r="D402" s="30" t="str">
        <f>IFERROR(VLOOKUP(A402,Tabla1[],8,0)," ")</f>
        <v xml:space="preserve"> </v>
      </c>
      <c r="E402" s="31"/>
      <c r="F402" s="30" t="str">
        <f t="shared" si="7"/>
        <v xml:space="preserve"> </v>
      </c>
    </row>
    <row r="403" spans="1:6" ht="22.7" customHeight="1">
      <c r="A403" s="28"/>
      <c r="B403" s="29" t="str">
        <f>IFERROR(VLOOKUP(A403,Tabla1[],2,0)," ")</f>
        <v xml:space="preserve"> </v>
      </c>
      <c r="C403" s="29" t="str">
        <f>IFERROR(VLOOKUP(A403,Tabla1[],6,0)," ")</f>
        <v xml:space="preserve"> </v>
      </c>
      <c r="D403" s="30" t="str">
        <f>IFERROR(VLOOKUP(A403,Tabla1[],8,0)," ")</f>
        <v xml:space="preserve"> </v>
      </c>
      <c r="E403" s="31"/>
      <c r="F403" s="30" t="str">
        <f t="shared" si="7"/>
        <v xml:space="preserve"> </v>
      </c>
    </row>
    <row r="404" spans="1:6" ht="22.7" customHeight="1">
      <c r="A404" s="28"/>
      <c r="B404" s="29" t="str">
        <f>IFERROR(VLOOKUP(A404,Tabla1[],2,0)," ")</f>
        <v xml:space="preserve"> </v>
      </c>
      <c r="C404" s="29" t="str">
        <f>IFERROR(VLOOKUP(A404,Tabla1[],6,0)," ")</f>
        <v xml:space="preserve"> </v>
      </c>
      <c r="D404" s="30" t="str">
        <f>IFERROR(VLOOKUP(A404,Tabla1[],8,0)," ")</f>
        <v xml:space="preserve"> </v>
      </c>
      <c r="E404" s="31"/>
      <c r="F404" s="30" t="str">
        <f t="shared" si="7"/>
        <v xml:space="preserve"> </v>
      </c>
    </row>
    <row r="405" spans="1:6" ht="22.7" customHeight="1">
      <c r="A405" s="28"/>
      <c r="B405" s="29" t="str">
        <f>IFERROR(VLOOKUP(A405,Tabla1[],2,0)," ")</f>
        <v xml:space="preserve"> </v>
      </c>
      <c r="C405" s="29" t="str">
        <f>IFERROR(VLOOKUP(A405,Tabla1[],6,0)," ")</f>
        <v xml:space="preserve"> </v>
      </c>
      <c r="D405" s="30" t="str">
        <f>IFERROR(VLOOKUP(A405,Tabla1[],8,0)," ")</f>
        <v xml:space="preserve"> </v>
      </c>
      <c r="E405" s="31"/>
      <c r="F405" s="30" t="str">
        <f t="shared" si="7"/>
        <v xml:space="preserve"> </v>
      </c>
    </row>
    <row r="406" spans="1:6" ht="22.7" customHeight="1">
      <c r="A406" s="28"/>
      <c r="B406" s="29" t="str">
        <f>IFERROR(VLOOKUP(A406,Tabla1[],2,0)," ")</f>
        <v xml:space="preserve"> </v>
      </c>
      <c r="C406" s="29" t="str">
        <f>IFERROR(VLOOKUP(A406,Tabla1[],6,0)," ")</f>
        <v xml:space="preserve"> </v>
      </c>
      <c r="D406" s="30" t="str">
        <f>IFERROR(VLOOKUP(A406,Tabla1[],8,0)," ")</f>
        <v xml:space="preserve"> </v>
      </c>
      <c r="E406" s="31"/>
      <c r="F406" s="30" t="str">
        <f t="shared" si="7"/>
        <v xml:space="preserve"> </v>
      </c>
    </row>
    <row r="407" spans="1:6" ht="22.7" customHeight="1">
      <c r="A407" s="28"/>
      <c r="B407" s="29" t="str">
        <f>IFERROR(VLOOKUP(A407,Tabla1[],2,0)," ")</f>
        <v xml:space="preserve"> </v>
      </c>
      <c r="C407" s="29" t="str">
        <f>IFERROR(VLOOKUP(A407,Tabla1[],6,0)," ")</f>
        <v xml:space="preserve"> </v>
      </c>
      <c r="D407" s="30" t="str">
        <f>IFERROR(VLOOKUP(A407,Tabla1[],8,0)," ")</f>
        <v xml:space="preserve"> </v>
      </c>
      <c r="E407" s="31"/>
      <c r="F407" s="30" t="str">
        <f t="shared" si="7"/>
        <v xml:space="preserve"> </v>
      </c>
    </row>
    <row r="408" spans="1:6" ht="22.7" customHeight="1">
      <c r="A408" s="28"/>
      <c r="B408" s="29" t="str">
        <f>IFERROR(VLOOKUP(A408,Tabla1[],2,0)," ")</f>
        <v xml:space="preserve"> </v>
      </c>
      <c r="C408" s="29" t="str">
        <f>IFERROR(VLOOKUP(A408,Tabla1[],6,0)," ")</f>
        <v xml:space="preserve"> </v>
      </c>
      <c r="D408" s="30" t="str">
        <f>IFERROR(VLOOKUP(A408,Tabla1[],8,0)," ")</f>
        <v xml:space="preserve"> </v>
      </c>
      <c r="E408" s="31"/>
      <c r="F408" s="30" t="str">
        <f t="shared" si="7"/>
        <v xml:space="preserve"> </v>
      </c>
    </row>
    <row r="409" spans="1:6" ht="22.7" customHeight="1">
      <c r="A409" s="28"/>
      <c r="B409" s="29" t="str">
        <f>IFERROR(VLOOKUP(A409,Tabla1[],2,0)," ")</f>
        <v xml:space="preserve"> </v>
      </c>
      <c r="C409" s="29" t="str">
        <f>IFERROR(VLOOKUP(A409,Tabla1[],6,0)," ")</f>
        <v xml:space="preserve"> </v>
      </c>
      <c r="D409" s="30" t="str">
        <f>IFERROR(VLOOKUP(A409,Tabla1[],8,0)," ")</f>
        <v xml:space="preserve"> </v>
      </c>
      <c r="E409" s="31"/>
      <c r="F409" s="30" t="str">
        <f t="shared" si="7"/>
        <v xml:space="preserve"> </v>
      </c>
    </row>
    <row r="410" spans="1:6" ht="22.7" customHeight="1">
      <c r="A410" s="28"/>
      <c r="B410" s="29" t="str">
        <f>IFERROR(VLOOKUP(A410,Tabla1[],2,0)," ")</f>
        <v xml:space="preserve"> </v>
      </c>
      <c r="C410" s="29" t="str">
        <f>IFERROR(VLOOKUP(A410,Tabla1[],6,0)," ")</f>
        <v xml:space="preserve"> </v>
      </c>
      <c r="D410" s="30" t="str">
        <f>IFERROR(VLOOKUP(A410,Tabla1[],8,0)," ")</f>
        <v xml:space="preserve"> </v>
      </c>
      <c r="E410" s="31"/>
      <c r="F410" s="30" t="str">
        <f t="shared" si="7"/>
        <v xml:space="preserve"> </v>
      </c>
    </row>
    <row r="411" spans="1:6" ht="22.7" customHeight="1">
      <c r="A411" s="28"/>
      <c r="B411" s="29" t="str">
        <f>IFERROR(VLOOKUP(A411,Tabla1[],2,0)," ")</f>
        <v xml:space="preserve"> </v>
      </c>
      <c r="C411" s="29" t="str">
        <f>IFERROR(VLOOKUP(A411,Tabla1[],6,0)," ")</f>
        <v xml:space="preserve"> </v>
      </c>
      <c r="D411" s="30" t="str">
        <f>IFERROR(VLOOKUP(A411,Tabla1[],8,0)," ")</f>
        <v xml:space="preserve"> </v>
      </c>
      <c r="E411" s="31"/>
      <c r="F411" s="30" t="str">
        <f t="shared" si="7"/>
        <v xml:space="preserve"> </v>
      </c>
    </row>
    <row r="412" spans="1:6" ht="22.7" customHeight="1">
      <c r="A412" s="28"/>
      <c r="B412" s="29" t="str">
        <f>IFERROR(VLOOKUP(A412,Tabla1[],2,0)," ")</f>
        <v xml:space="preserve"> </v>
      </c>
      <c r="C412" s="29" t="str">
        <f>IFERROR(VLOOKUP(A412,Tabla1[],6,0)," ")</f>
        <v xml:space="preserve"> </v>
      </c>
      <c r="D412" s="30" t="str">
        <f>IFERROR(VLOOKUP(A412,Tabla1[],8,0)," ")</f>
        <v xml:space="preserve"> </v>
      </c>
      <c r="E412" s="31"/>
      <c r="F412" s="30" t="str">
        <f t="shared" si="7"/>
        <v xml:space="preserve"> </v>
      </c>
    </row>
    <row r="413" spans="1:6" ht="22.7" customHeight="1">
      <c r="A413" s="28"/>
      <c r="B413" s="29" t="str">
        <f>IFERROR(VLOOKUP(A413,Tabla1[],2,0)," ")</f>
        <v xml:space="preserve"> </v>
      </c>
      <c r="C413" s="29" t="str">
        <f>IFERROR(VLOOKUP(A413,Tabla1[],6,0)," ")</f>
        <v xml:space="preserve"> </v>
      </c>
      <c r="D413" s="30" t="str">
        <f>IFERROR(VLOOKUP(A413,Tabla1[],8,0)," ")</f>
        <v xml:space="preserve"> </v>
      </c>
      <c r="E413" s="31"/>
      <c r="F413" s="30" t="str">
        <f t="shared" si="7"/>
        <v xml:space="preserve"> </v>
      </c>
    </row>
    <row r="414" spans="1:6" ht="22.7" customHeight="1">
      <c r="A414" s="28"/>
      <c r="B414" s="29" t="str">
        <f>IFERROR(VLOOKUP(A414,Tabla1[],2,0)," ")</f>
        <v xml:space="preserve"> </v>
      </c>
      <c r="C414" s="29" t="str">
        <f>IFERROR(VLOOKUP(A414,Tabla1[],6,0)," ")</f>
        <v xml:space="preserve"> </v>
      </c>
      <c r="D414" s="30" t="str">
        <f>IFERROR(VLOOKUP(A414,Tabla1[],8,0)," ")</f>
        <v xml:space="preserve"> </v>
      </c>
      <c r="E414" s="31"/>
      <c r="F414" s="30" t="str">
        <f t="shared" si="7"/>
        <v xml:space="preserve"> </v>
      </c>
    </row>
    <row r="415" spans="1:6" ht="22.7" customHeight="1">
      <c r="A415" s="28"/>
      <c r="B415" s="29" t="str">
        <f>IFERROR(VLOOKUP(A415,Tabla1[],2,0)," ")</f>
        <v xml:space="preserve"> </v>
      </c>
      <c r="C415" s="29" t="str">
        <f>IFERROR(VLOOKUP(A415,Tabla1[],6,0)," ")</f>
        <v xml:space="preserve"> </v>
      </c>
      <c r="D415" s="30" t="str">
        <f>IFERROR(VLOOKUP(A415,Tabla1[],8,0)," ")</f>
        <v xml:space="preserve"> </v>
      </c>
      <c r="E415" s="31"/>
      <c r="F415" s="30" t="str">
        <f t="shared" si="7"/>
        <v xml:space="preserve"> </v>
      </c>
    </row>
    <row r="416" spans="1:6" ht="22.7" customHeight="1">
      <c r="A416" s="28"/>
      <c r="B416" s="29" t="str">
        <f>IFERROR(VLOOKUP(A416,Tabla1[],2,0)," ")</f>
        <v xml:space="preserve"> </v>
      </c>
      <c r="C416" s="29" t="str">
        <f>IFERROR(VLOOKUP(A416,Tabla1[],6,0)," ")</f>
        <v xml:space="preserve"> </v>
      </c>
      <c r="D416" s="30" t="str">
        <f>IFERROR(VLOOKUP(A416,Tabla1[],8,0)," ")</f>
        <v xml:space="preserve"> </v>
      </c>
      <c r="E416" s="31"/>
      <c r="F416" s="30" t="str">
        <f t="shared" si="7"/>
        <v xml:space="preserve"> </v>
      </c>
    </row>
    <row r="417" spans="1:6" ht="22.7" customHeight="1">
      <c r="A417" s="28"/>
      <c r="B417" s="29" t="str">
        <f>IFERROR(VLOOKUP(A417,Tabla1[],2,0)," ")</f>
        <v xml:space="preserve"> </v>
      </c>
      <c r="C417" s="29" t="str">
        <f>IFERROR(VLOOKUP(A417,Tabla1[],6,0)," ")</f>
        <v xml:space="preserve"> </v>
      </c>
      <c r="D417" s="30" t="str">
        <f>IFERROR(VLOOKUP(A417,Tabla1[],8,0)," ")</f>
        <v xml:space="preserve"> </v>
      </c>
      <c r="E417" s="31"/>
      <c r="F417" s="30" t="str">
        <f t="shared" si="7"/>
        <v xml:space="preserve"> </v>
      </c>
    </row>
    <row r="418" spans="1:6" ht="22.7" customHeight="1">
      <c r="A418" s="28"/>
      <c r="B418" s="29" t="str">
        <f>IFERROR(VLOOKUP(A418,Tabla1[],2,0)," ")</f>
        <v xml:space="preserve"> </v>
      </c>
      <c r="C418" s="29" t="str">
        <f>IFERROR(VLOOKUP(A418,Tabla1[],6,0)," ")</f>
        <v xml:space="preserve"> </v>
      </c>
      <c r="D418" s="30" t="str">
        <f>IFERROR(VLOOKUP(A418,Tabla1[],8,0)," ")</f>
        <v xml:space="preserve"> </v>
      </c>
      <c r="E418" s="31"/>
      <c r="F418" s="30" t="str">
        <f t="shared" si="7"/>
        <v xml:space="preserve"> </v>
      </c>
    </row>
    <row r="419" spans="1:6" ht="22.7" customHeight="1">
      <c r="A419" s="28"/>
      <c r="B419" s="29" t="str">
        <f>IFERROR(VLOOKUP(A419,Tabla1[],2,0)," ")</f>
        <v xml:space="preserve"> </v>
      </c>
      <c r="C419" s="29" t="str">
        <f>IFERROR(VLOOKUP(A419,Tabla1[],6,0)," ")</f>
        <v xml:space="preserve"> </v>
      </c>
      <c r="D419" s="30" t="str">
        <f>IFERROR(VLOOKUP(A419,Tabla1[],8,0)," ")</f>
        <v xml:space="preserve"> </v>
      </c>
      <c r="E419" s="31"/>
      <c r="F419" s="30" t="str">
        <f t="shared" si="7"/>
        <v xml:space="preserve"> </v>
      </c>
    </row>
    <row r="420" spans="1:6" ht="22.7" customHeight="1">
      <c r="A420" s="28"/>
      <c r="B420" s="29" t="str">
        <f>IFERROR(VLOOKUP(A420,Tabla1[],2,0)," ")</f>
        <v xml:space="preserve"> </v>
      </c>
      <c r="C420" s="29" t="str">
        <f>IFERROR(VLOOKUP(A420,Tabla1[],6,0)," ")</f>
        <v xml:space="preserve"> </v>
      </c>
      <c r="D420" s="30" t="str">
        <f>IFERROR(VLOOKUP(A420,Tabla1[],8,0)," ")</f>
        <v xml:space="preserve"> </v>
      </c>
      <c r="E420" s="31"/>
      <c r="F420" s="30" t="str">
        <f t="shared" si="7"/>
        <v xml:space="preserve"> </v>
      </c>
    </row>
    <row r="421" spans="1:6" ht="22.7" customHeight="1">
      <c r="A421" s="28"/>
      <c r="B421" s="29" t="str">
        <f>IFERROR(VLOOKUP(A421,Tabla1[],2,0)," ")</f>
        <v xml:space="preserve"> </v>
      </c>
      <c r="C421" s="29" t="str">
        <f>IFERROR(VLOOKUP(A421,Tabla1[],6,0)," ")</f>
        <v xml:space="preserve"> </v>
      </c>
      <c r="D421" s="30" t="str">
        <f>IFERROR(VLOOKUP(A421,Tabla1[],8,0)," ")</f>
        <v xml:space="preserve"> </v>
      </c>
      <c r="E421" s="31"/>
      <c r="F421" s="30" t="str">
        <f t="shared" si="7"/>
        <v xml:space="preserve"> </v>
      </c>
    </row>
    <row r="422" spans="1:6" ht="22.7" customHeight="1">
      <c r="A422" s="28"/>
      <c r="B422" s="29" t="str">
        <f>IFERROR(VLOOKUP(A422,Tabla1[],2,0)," ")</f>
        <v xml:space="preserve"> </v>
      </c>
      <c r="C422" s="29" t="str">
        <f>IFERROR(VLOOKUP(A422,Tabla1[],6,0)," ")</f>
        <v xml:space="preserve"> </v>
      </c>
      <c r="D422" s="30" t="str">
        <f>IFERROR(VLOOKUP(A422,Tabla1[],8,0)," ")</f>
        <v xml:space="preserve"> </v>
      </c>
      <c r="E422" s="31"/>
      <c r="F422" s="30" t="str">
        <f t="shared" si="7"/>
        <v xml:space="preserve"> </v>
      </c>
    </row>
    <row r="423" spans="1:6" ht="22.7" customHeight="1">
      <c r="A423" s="28"/>
      <c r="B423" s="29" t="str">
        <f>IFERROR(VLOOKUP(A423,Tabla1[],2,0)," ")</f>
        <v xml:space="preserve"> </v>
      </c>
      <c r="C423" s="29" t="str">
        <f>IFERROR(VLOOKUP(A423,Tabla1[],6,0)," ")</f>
        <v xml:space="preserve"> </v>
      </c>
      <c r="D423" s="30" t="str">
        <f>IFERROR(VLOOKUP(A423,Tabla1[],8,0)," ")</f>
        <v xml:space="preserve"> </v>
      </c>
      <c r="E423" s="31"/>
      <c r="F423" s="30" t="str">
        <f t="shared" si="7"/>
        <v xml:space="preserve"> </v>
      </c>
    </row>
    <row r="424" spans="1:6" ht="22.7" customHeight="1">
      <c r="A424" s="28"/>
      <c r="B424" s="29" t="str">
        <f>IFERROR(VLOOKUP(A424,Tabla1[],2,0)," ")</f>
        <v xml:space="preserve"> </v>
      </c>
      <c r="C424" s="29" t="str">
        <f>IFERROR(VLOOKUP(A424,Tabla1[],6,0)," ")</f>
        <v xml:space="preserve"> </v>
      </c>
      <c r="D424" s="30" t="str">
        <f>IFERROR(VLOOKUP(A424,Tabla1[],8,0)," ")</f>
        <v xml:space="preserve"> </v>
      </c>
      <c r="E424" s="31"/>
      <c r="F424" s="30" t="str">
        <f t="shared" si="7"/>
        <v xml:space="preserve"> </v>
      </c>
    </row>
    <row r="425" spans="1:6" ht="22.7" customHeight="1">
      <c r="A425" s="28"/>
      <c r="B425" s="29" t="str">
        <f>IFERROR(VLOOKUP(A425,Tabla1[],2,0)," ")</f>
        <v xml:space="preserve"> </v>
      </c>
      <c r="C425" s="29" t="str">
        <f>IFERROR(VLOOKUP(A425,Tabla1[],6,0)," ")</f>
        <v xml:space="preserve"> </v>
      </c>
      <c r="D425" s="30" t="str">
        <f>IFERROR(VLOOKUP(A425,Tabla1[],8,0)," ")</f>
        <v xml:space="preserve"> </v>
      </c>
      <c r="E425" s="31"/>
      <c r="F425" s="30" t="str">
        <f t="shared" si="7"/>
        <v xml:space="preserve"> </v>
      </c>
    </row>
    <row r="426" spans="1:6" ht="22.7" customHeight="1">
      <c r="A426" s="28"/>
      <c r="B426" s="29" t="str">
        <f>IFERROR(VLOOKUP(A426,Tabla1[],2,0)," ")</f>
        <v xml:space="preserve"> </v>
      </c>
      <c r="C426" s="29" t="str">
        <f>IFERROR(VLOOKUP(A426,Tabla1[],6,0)," ")</f>
        <v xml:space="preserve"> </v>
      </c>
      <c r="D426" s="30" t="str">
        <f>IFERROR(VLOOKUP(A426,Tabla1[],8,0)," ")</f>
        <v xml:space="preserve"> </v>
      </c>
      <c r="E426" s="31"/>
      <c r="F426" s="30" t="str">
        <f t="shared" si="7"/>
        <v xml:space="preserve"> </v>
      </c>
    </row>
    <row r="427" spans="1:6" ht="22.7" customHeight="1">
      <c r="A427" s="28"/>
      <c r="B427" s="29" t="str">
        <f>IFERROR(VLOOKUP(A427,Tabla1[],2,0)," ")</f>
        <v xml:space="preserve"> </v>
      </c>
      <c r="C427" s="29" t="str">
        <f>IFERROR(VLOOKUP(A427,Tabla1[],6,0)," ")</f>
        <v xml:space="preserve"> </v>
      </c>
      <c r="D427" s="30" t="str">
        <f>IFERROR(VLOOKUP(A427,Tabla1[],8,0)," ")</f>
        <v xml:space="preserve"> </v>
      </c>
      <c r="E427" s="31"/>
      <c r="F427" s="30" t="str">
        <f t="shared" si="7"/>
        <v xml:space="preserve"> </v>
      </c>
    </row>
    <row r="428" spans="1:6" ht="22.7" customHeight="1">
      <c r="A428" s="28"/>
      <c r="B428" s="29" t="str">
        <f>IFERROR(VLOOKUP(A428,Tabla1[],2,0)," ")</f>
        <v xml:space="preserve"> </v>
      </c>
      <c r="C428" s="29" t="str">
        <f>IFERROR(VLOOKUP(A428,Tabla1[],6,0)," ")</f>
        <v xml:space="preserve"> </v>
      </c>
      <c r="D428" s="30" t="str">
        <f>IFERROR(VLOOKUP(A428,Tabla1[],8,0)," ")</f>
        <v xml:space="preserve"> </v>
      </c>
      <c r="E428" s="31"/>
      <c r="F428" s="30" t="str">
        <f t="shared" si="7"/>
        <v xml:space="preserve"> </v>
      </c>
    </row>
    <row r="429" spans="1:6" ht="22.7" customHeight="1">
      <c r="A429" s="28"/>
      <c r="B429" s="29" t="str">
        <f>IFERROR(VLOOKUP(A429,Tabla1[],2,0)," ")</f>
        <v xml:space="preserve"> </v>
      </c>
      <c r="C429" s="29" t="str">
        <f>IFERROR(VLOOKUP(A429,Tabla1[],6,0)," ")</f>
        <v xml:space="preserve"> </v>
      </c>
      <c r="D429" s="30" t="str">
        <f>IFERROR(VLOOKUP(A429,Tabla1[],8,0)," ")</f>
        <v xml:space="preserve"> </v>
      </c>
      <c r="E429" s="31"/>
      <c r="F429" s="30" t="str">
        <f t="shared" si="7"/>
        <v xml:space="preserve"> </v>
      </c>
    </row>
    <row r="430" spans="1:6" ht="22.7" customHeight="1">
      <c r="A430" s="28"/>
      <c r="B430" s="29" t="str">
        <f>IFERROR(VLOOKUP(A430,Tabla1[],2,0)," ")</f>
        <v xml:space="preserve"> </v>
      </c>
      <c r="C430" s="29" t="str">
        <f>IFERROR(VLOOKUP(A430,Tabla1[],6,0)," ")</f>
        <v xml:space="preserve"> </v>
      </c>
      <c r="D430" s="30" t="str">
        <f>IFERROR(VLOOKUP(A430,Tabla1[],8,0)," ")</f>
        <v xml:space="preserve"> </v>
      </c>
      <c r="E430" s="31"/>
      <c r="F430" s="30" t="str">
        <f t="shared" si="7"/>
        <v xml:space="preserve"> </v>
      </c>
    </row>
    <row r="431" spans="1:6" ht="22.7" customHeight="1">
      <c r="A431" s="28"/>
      <c r="B431" s="29" t="str">
        <f>IFERROR(VLOOKUP(A431,Tabla1[],2,0)," ")</f>
        <v xml:space="preserve"> </v>
      </c>
      <c r="C431" s="29" t="str">
        <f>IFERROR(VLOOKUP(A431,Tabla1[],6,0)," ")</f>
        <v xml:space="preserve"> </v>
      </c>
      <c r="D431" s="30" t="str">
        <f>IFERROR(VLOOKUP(A431,Tabla1[],8,0)," ")</f>
        <v xml:space="preserve"> </v>
      </c>
      <c r="E431" s="31"/>
      <c r="F431" s="30" t="str">
        <f t="shared" si="7"/>
        <v xml:space="preserve"> </v>
      </c>
    </row>
    <row r="432" spans="1:6" ht="22.7" customHeight="1">
      <c r="A432" s="28"/>
      <c r="B432" s="29" t="str">
        <f>IFERROR(VLOOKUP(A432,Tabla1[],2,0)," ")</f>
        <v xml:space="preserve"> </v>
      </c>
      <c r="C432" s="29" t="str">
        <f>IFERROR(VLOOKUP(A432,Tabla1[],6,0)," ")</f>
        <v xml:space="preserve"> </v>
      </c>
      <c r="D432" s="30" t="str">
        <f>IFERROR(VLOOKUP(A432,Tabla1[],8,0)," ")</f>
        <v xml:space="preserve"> </v>
      </c>
      <c r="E432" s="31"/>
      <c r="F432" s="30" t="str">
        <f t="shared" si="7"/>
        <v xml:space="preserve"> </v>
      </c>
    </row>
    <row r="433" spans="1:6" ht="22.7" customHeight="1">
      <c r="A433" s="28"/>
      <c r="B433" s="29" t="str">
        <f>IFERROR(VLOOKUP(A433,Tabla1[],2,0)," ")</f>
        <v xml:space="preserve"> </v>
      </c>
      <c r="C433" s="29" t="str">
        <f>IFERROR(VLOOKUP(A433,Tabla1[],6,0)," ")</f>
        <v xml:space="preserve"> </v>
      </c>
      <c r="D433" s="30" t="str">
        <f>IFERROR(VLOOKUP(A433,Tabla1[],8,0)," ")</f>
        <v xml:space="preserve"> </v>
      </c>
      <c r="E433" s="31"/>
      <c r="F433" s="30" t="str">
        <f t="shared" si="7"/>
        <v xml:space="preserve"> </v>
      </c>
    </row>
    <row r="434" spans="1:6" ht="22.7" customHeight="1">
      <c r="A434" s="28"/>
      <c r="B434" s="29" t="str">
        <f>IFERROR(VLOOKUP(A434,Tabla1[],2,0)," ")</f>
        <v xml:space="preserve"> </v>
      </c>
      <c r="C434" s="29" t="str">
        <f>IFERROR(VLOOKUP(A434,Tabla1[],6,0)," ")</f>
        <v xml:space="preserve"> </v>
      </c>
      <c r="D434" s="30" t="str">
        <f>IFERROR(VLOOKUP(A434,Tabla1[],8,0)," ")</f>
        <v xml:space="preserve"> </v>
      </c>
      <c r="E434" s="31"/>
      <c r="F434" s="30" t="str">
        <f t="shared" si="7"/>
        <v xml:space="preserve"> </v>
      </c>
    </row>
    <row r="435" spans="1:6" ht="22.7" customHeight="1">
      <c r="A435" s="28"/>
      <c r="B435" s="29" t="str">
        <f>IFERROR(VLOOKUP(A435,Tabla1[],2,0)," ")</f>
        <v xml:space="preserve"> </v>
      </c>
      <c r="C435" s="29" t="str">
        <f>IFERROR(VLOOKUP(A435,Tabla1[],6,0)," ")</f>
        <v xml:space="preserve"> </v>
      </c>
      <c r="D435" s="30" t="str">
        <f>IFERROR(VLOOKUP(A435,Tabla1[],8,0)," ")</f>
        <v xml:space="preserve"> </v>
      </c>
      <c r="E435" s="31"/>
      <c r="F435" s="30" t="str">
        <f t="shared" si="7"/>
        <v xml:space="preserve"> </v>
      </c>
    </row>
    <row r="436" spans="1:6" ht="22.7" customHeight="1">
      <c r="A436" s="28"/>
      <c r="B436" s="29" t="str">
        <f>IFERROR(VLOOKUP(A436,Tabla1[],2,0)," ")</f>
        <v xml:space="preserve"> </v>
      </c>
      <c r="C436" s="29" t="str">
        <f>IFERROR(VLOOKUP(A436,Tabla1[],6,0)," ")</f>
        <v xml:space="preserve"> </v>
      </c>
      <c r="D436" s="30" t="str">
        <f>IFERROR(VLOOKUP(A436,Tabla1[],8,0)," ")</f>
        <v xml:space="preserve"> </v>
      </c>
      <c r="E436" s="31"/>
      <c r="F436" s="30" t="str">
        <f t="shared" si="7"/>
        <v xml:space="preserve"> </v>
      </c>
    </row>
    <row r="437" spans="1:6" ht="22.7" customHeight="1">
      <c r="A437" s="28"/>
      <c r="B437" s="29" t="str">
        <f>IFERROR(VLOOKUP(A437,Tabla1[],2,0)," ")</f>
        <v xml:space="preserve"> </v>
      </c>
      <c r="C437" s="29" t="str">
        <f>IFERROR(VLOOKUP(A437,Tabla1[],6,0)," ")</f>
        <v xml:space="preserve"> </v>
      </c>
      <c r="D437" s="30" t="str">
        <f>IFERROR(VLOOKUP(A437,Tabla1[],8,0)," ")</f>
        <v xml:space="preserve"> </v>
      </c>
      <c r="E437" s="31"/>
      <c r="F437" s="30" t="str">
        <f t="shared" si="7"/>
        <v xml:space="preserve"> </v>
      </c>
    </row>
    <row r="438" spans="1:6" ht="22.7" customHeight="1">
      <c r="A438" s="28"/>
      <c r="B438" s="29" t="str">
        <f>IFERROR(VLOOKUP(A438,Tabla1[],2,0)," ")</f>
        <v xml:space="preserve"> </v>
      </c>
      <c r="C438" s="29" t="str">
        <f>IFERROR(VLOOKUP(A438,Tabla1[],6,0)," ")</f>
        <v xml:space="preserve"> </v>
      </c>
      <c r="D438" s="30" t="str">
        <f>IFERROR(VLOOKUP(A438,Tabla1[],8,0)," ")</f>
        <v xml:space="preserve"> </v>
      </c>
      <c r="E438" s="31"/>
      <c r="F438" s="30" t="str">
        <f t="shared" si="7"/>
        <v xml:space="preserve"> </v>
      </c>
    </row>
    <row r="439" spans="1:6" ht="22.7" customHeight="1">
      <c r="A439" s="28"/>
      <c r="B439" s="29" t="str">
        <f>IFERROR(VLOOKUP(A439,Tabla1[],2,0)," ")</f>
        <v xml:space="preserve"> </v>
      </c>
      <c r="C439" s="29" t="str">
        <f>IFERROR(VLOOKUP(A439,Tabla1[],6,0)," ")</f>
        <v xml:space="preserve"> </v>
      </c>
      <c r="D439" s="30" t="str">
        <f>IFERROR(VLOOKUP(A439,Tabla1[],8,0)," ")</f>
        <v xml:space="preserve"> </v>
      </c>
      <c r="E439" s="31"/>
      <c r="F439" s="30" t="str">
        <f t="shared" si="7"/>
        <v xml:space="preserve"> </v>
      </c>
    </row>
    <row r="440" spans="1:6" ht="22.7" customHeight="1">
      <c r="A440" s="28"/>
      <c r="B440" s="29" t="str">
        <f>IFERROR(VLOOKUP(A440,Tabla1[],2,0)," ")</f>
        <v xml:space="preserve"> </v>
      </c>
      <c r="C440" s="29" t="str">
        <f>IFERROR(VLOOKUP(A440,Tabla1[],6,0)," ")</f>
        <v xml:space="preserve"> </v>
      </c>
      <c r="D440" s="30" t="str">
        <f>IFERROR(VLOOKUP(A440,Tabla1[],8,0)," ")</f>
        <v xml:space="preserve"> </v>
      </c>
      <c r="E440" s="31"/>
      <c r="F440" s="30" t="str">
        <f t="shared" si="7"/>
        <v xml:space="preserve"> </v>
      </c>
    </row>
    <row r="441" spans="1:6" ht="22.7" customHeight="1">
      <c r="A441" s="28"/>
      <c r="B441" s="29" t="str">
        <f>IFERROR(VLOOKUP(A441,Tabla1[],2,0)," ")</f>
        <v xml:space="preserve"> </v>
      </c>
      <c r="C441" s="29" t="str">
        <f>IFERROR(VLOOKUP(A441,Tabla1[],6,0)," ")</f>
        <v xml:space="preserve"> </v>
      </c>
      <c r="D441" s="30" t="str">
        <f>IFERROR(VLOOKUP(A441,Tabla1[],8,0)," ")</f>
        <v xml:space="preserve"> </v>
      </c>
      <c r="E441" s="31"/>
      <c r="F441" s="30" t="str">
        <f t="shared" si="7"/>
        <v xml:space="preserve"> </v>
      </c>
    </row>
    <row r="442" spans="1:6" ht="22.7" customHeight="1">
      <c r="A442" s="28"/>
      <c r="B442" s="29" t="str">
        <f>IFERROR(VLOOKUP(A442,Tabla1[],2,0)," ")</f>
        <v xml:space="preserve"> </v>
      </c>
      <c r="C442" s="29" t="str">
        <f>IFERROR(VLOOKUP(A442,Tabla1[],6,0)," ")</f>
        <v xml:space="preserve"> </v>
      </c>
      <c r="D442" s="30" t="str">
        <f>IFERROR(VLOOKUP(A442,Tabla1[],8,0)," ")</f>
        <v xml:space="preserve"> </v>
      </c>
      <c r="E442" s="31"/>
      <c r="F442" s="30" t="str">
        <f t="shared" si="7"/>
        <v xml:space="preserve"> </v>
      </c>
    </row>
    <row r="443" spans="1:6" ht="22.7" customHeight="1">
      <c r="A443" s="28"/>
      <c r="B443" s="29" t="str">
        <f>IFERROR(VLOOKUP(A443,Tabla1[],2,0)," ")</f>
        <v xml:space="preserve"> </v>
      </c>
      <c r="C443" s="29" t="str">
        <f>IFERROR(VLOOKUP(A443,Tabla1[],6,0)," ")</f>
        <v xml:space="preserve"> </v>
      </c>
      <c r="D443" s="30" t="str">
        <f>IFERROR(VLOOKUP(A443,Tabla1[],8,0)," ")</f>
        <v xml:space="preserve"> </v>
      </c>
      <c r="E443" s="31"/>
      <c r="F443" s="30" t="str">
        <f t="shared" si="7"/>
        <v xml:space="preserve"> </v>
      </c>
    </row>
    <row r="444" spans="1:6" ht="22.7" customHeight="1">
      <c r="A444" s="28"/>
      <c r="B444" s="29" t="str">
        <f>IFERROR(VLOOKUP(A444,Tabla1[],2,0)," ")</f>
        <v xml:space="preserve"> </v>
      </c>
      <c r="C444" s="29" t="str">
        <f>IFERROR(VLOOKUP(A444,Tabla1[],6,0)," ")</f>
        <v xml:space="preserve"> </v>
      </c>
      <c r="D444" s="30" t="str">
        <f>IFERROR(VLOOKUP(A444,Tabla1[],8,0)," ")</f>
        <v xml:space="preserve"> </v>
      </c>
      <c r="E444" s="31"/>
      <c r="F444" s="30" t="str">
        <f t="shared" si="7"/>
        <v xml:space="preserve"> </v>
      </c>
    </row>
    <row r="445" spans="1:6" ht="22.7" customHeight="1">
      <c r="A445" s="28"/>
      <c r="B445" s="29" t="str">
        <f>IFERROR(VLOOKUP(A445,Tabla1[],2,0)," ")</f>
        <v xml:space="preserve"> </v>
      </c>
      <c r="C445" s="29" t="str">
        <f>IFERROR(VLOOKUP(A445,Tabla1[],6,0)," ")</f>
        <v xml:space="preserve"> </v>
      </c>
      <c r="D445" s="30" t="str">
        <f>IFERROR(VLOOKUP(A445,Tabla1[],8,0)," ")</f>
        <v xml:space="preserve"> </v>
      </c>
      <c r="E445" s="31"/>
      <c r="F445" s="30" t="str">
        <f t="shared" si="7"/>
        <v xml:space="preserve"> </v>
      </c>
    </row>
    <row r="446" spans="1:6" ht="22.7" customHeight="1">
      <c r="A446" s="28"/>
      <c r="B446" s="29" t="str">
        <f>IFERROR(VLOOKUP(A446,Tabla1[],2,0)," ")</f>
        <v xml:space="preserve"> </v>
      </c>
      <c r="C446" s="29" t="str">
        <f>IFERROR(VLOOKUP(A446,Tabla1[],6,0)," ")</f>
        <v xml:space="preserve"> </v>
      </c>
      <c r="D446" s="30" t="str">
        <f>IFERROR(VLOOKUP(A446,Tabla1[],8,0)," ")</f>
        <v xml:space="preserve"> </v>
      </c>
      <c r="E446" s="31"/>
      <c r="F446" s="30" t="str">
        <f t="shared" si="7"/>
        <v xml:space="preserve"> </v>
      </c>
    </row>
    <row r="447" spans="1:6" ht="22.7" customHeight="1">
      <c r="A447" s="28"/>
      <c r="B447" s="29" t="str">
        <f>IFERROR(VLOOKUP(A447,Tabla1[],2,0)," ")</f>
        <v xml:space="preserve"> </v>
      </c>
      <c r="C447" s="29" t="str">
        <f>IFERROR(VLOOKUP(A447,Tabla1[],6,0)," ")</f>
        <v xml:space="preserve"> </v>
      </c>
      <c r="D447" s="30" t="str">
        <f>IFERROR(VLOOKUP(A447,Tabla1[],8,0)," ")</f>
        <v xml:space="preserve"> </v>
      </c>
      <c r="E447" s="31"/>
      <c r="F447" s="30" t="str">
        <f t="shared" si="7"/>
        <v xml:space="preserve"> </v>
      </c>
    </row>
    <row r="448" spans="1:6" ht="22.7" customHeight="1">
      <c r="A448" s="28"/>
      <c r="B448" s="29" t="str">
        <f>IFERROR(VLOOKUP(A448,Tabla1[],2,0)," ")</f>
        <v xml:space="preserve"> </v>
      </c>
      <c r="C448" s="29" t="str">
        <f>IFERROR(VLOOKUP(A448,Tabla1[],6,0)," ")</f>
        <v xml:space="preserve"> </v>
      </c>
      <c r="D448" s="30" t="str">
        <f>IFERROR(VLOOKUP(A448,Tabla1[],8,0)," ")</f>
        <v xml:space="preserve"> </v>
      </c>
      <c r="E448" s="31"/>
      <c r="F448" s="30" t="str">
        <f t="shared" si="7"/>
        <v xml:space="preserve"> </v>
      </c>
    </row>
    <row r="449" spans="1:6" ht="22.7" customHeight="1">
      <c r="A449" s="28"/>
      <c r="B449" s="29" t="str">
        <f>IFERROR(VLOOKUP(A449,Tabla1[],2,0)," ")</f>
        <v xml:space="preserve"> </v>
      </c>
      <c r="C449" s="29" t="str">
        <f>IFERROR(VLOOKUP(A449,Tabla1[],6,0)," ")</f>
        <v xml:space="preserve"> </v>
      </c>
      <c r="D449" s="30" t="str">
        <f>IFERROR(VLOOKUP(A449,Tabla1[],8,0)," ")</f>
        <v xml:space="preserve"> </v>
      </c>
      <c r="E449" s="31"/>
      <c r="F449" s="30" t="str">
        <f t="shared" si="7"/>
        <v xml:space="preserve"> </v>
      </c>
    </row>
    <row r="450" spans="1:6" ht="22.7" customHeight="1">
      <c r="A450" s="28"/>
      <c r="B450" s="29" t="str">
        <f>IFERROR(VLOOKUP(A450,Tabla1[],2,0)," ")</f>
        <v xml:space="preserve"> </v>
      </c>
      <c r="C450" s="29" t="str">
        <f>IFERROR(VLOOKUP(A450,Tabla1[],6,0)," ")</f>
        <v xml:space="preserve"> </v>
      </c>
      <c r="D450" s="30" t="str">
        <f>IFERROR(VLOOKUP(A450,Tabla1[],8,0)," ")</f>
        <v xml:space="preserve"> </v>
      </c>
      <c r="E450" s="31"/>
      <c r="F450" s="30" t="str">
        <f t="shared" si="7"/>
        <v xml:space="preserve"> </v>
      </c>
    </row>
    <row r="451" spans="1:6" ht="22.7" customHeight="1">
      <c r="A451" s="28"/>
      <c r="B451" s="29" t="str">
        <f>IFERROR(VLOOKUP(A451,Tabla1[],2,0)," ")</f>
        <v xml:space="preserve"> </v>
      </c>
      <c r="C451" s="29" t="str">
        <f>IFERROR(VLOOKUP(A451,Tabla1[],6,0)," ")</f>
        <v xml:space="preserve"> </v>
      </c>
      <c r="D451" s="30" t="str">
        <f>IFERROR(VLOOKUP(A451,Tabla1[],8,0)," ")</f>
        <v xml:space="preserve"> </v>
      </c>
      <c r="E451" s="31"/>
      <c r="F451" s="30" t="str">
        <f t="shared" si="7"/>
        <v xml:space="preserve"> </v>
      </c>
    </row>
    <row r="452" spans="1:6" ht="22.7" customHeight="1">
      <c r="A452" s="28"/>
      <c r="B452" s="29" t="str">
        <f>IFERROR(VLOOKUP(A452,Tabla1[],2,0)," ")</f>
        <v xml:space="preserve"> </v>
      </c>
      <c r="C452" s="29" t="str">
        <f>IFERROR(VLOOKUP(A452,Tabla1[],6,0)," ")</f>
        <v xml:space="preserve"> </v>
      </c>
      <c r="D452" s="30" t="str">
        <f>IFERROR(VLOOKUP(A452,Tabla1[],8,0)," ")</f>
        <v xml:space="preserve"> </v>
      </c>
      <c r="E452" s="31"/>
      <c r="F452" s="30" t="str">
        <f t="shared" ref="F452:F515" si="8">IFERROR((E452*D452), " ")</f>
        <v xml:space="preserve"> </v>
      </c>
    </row>
    <row r="453" spans="1:6" ht="22.7" customHeight="1">
      <c r="A453" s="28"/>
      <c r="B453" s="29" t="str">
        <f>IFERROR(VLOOKUP(A453,Tabla1[],2,0)," ")</f>
        <v xml:space="preserve"> </v>
      </c>
      <c r="C453" s="29" t="str">
        <f>IFERROR(VLOOKUP(A453,Tabla1[],6,0)," ")</f>
        <v xml:space="preserve"> </v>
      </c>
      <c r="D453" s="30" t="str">
        <f>IFERROR(VLOOKUP(A453,Tabla1[],8,0)," ")</f>
        <v xml:space="preserve"> </v>
      </c>
      <c r="E453" s="31"/>
      <c r="F453" s="30" t="str">
        <f t="shared" si="8"/>
        <v xml:space="preserve"> </v>
      </c>
    </row>
    <row r="454" spans="1:6" ht="22.7" customHeight="1">
      <c r="A454" s="28"/>
      <c r="B454" s="29" t="str">
        <f>IFERROR(VLOOKUP(A454,Tabla1[],2,0)," ")</f>
        <v xml:space="preserve"> </v>
      </c>
      <c r="C454" s="29" t="str">
        <f>IFERROR(VLOOKUP(A454,Tabla1[],6,0)," ")</f>
        <v xml:space="preserve"> </v>
      </c>
      <c r="D454" s="30" t="str">
        <f>IFERROR(VLOOKUP(A454,Tabla1[],8,0)," ")</f>
        <v xml:space="preserve"> </v>
      </c>
      <c r="E454" s="31"/>
      <c r="F454" s="30" t="str">
        <f t="shared" si="8"/>
        <v xml:space="preserve"> </v>
      </c>
    </row>
    <row r="455" spans="1:6" ht="22.7" customHeight="1">
      <c r="A455" s="28"/>
      <c r="B455" s="29" t="str">
        <f>IFERROR(VLOOKUP(A455,Tabla1[],2,0)," ")</f>
        <v xml:space="preserve"> </v>
      </c>
      <c r="C455" s="29" t="str">
        <f>IFERROR(VLOOKUP(A455,Tabla1[],6,0)," ")</f>
        <v xml:space="preserve"> </v>
      </c>
      <c r="D455" s="30" t="str">
        <f>IFERROR(VLOOKUP(A455,Tabla1[],8,0)," ")</f>
        <v xml:space="preserve"> </v>
      </c>
      <c r="E455" s="31"/>
      <c r="F455" s="30" t="str">
        <f t="shared" si="8"/>
        <v xml:space="preserve"> </v>
      </c>
    </row>
    <row r="456" spans="1:6" ht="22.7" customHeight="1">
      <c r="A456" s="28"/>
      <c r="B456" s="29" t="str">
        <f>IFERROR(VLOOKUP(A456,Tabla1[],2,0)," ")</f>
        <v xml:space="preserve"> </v>
      </c>
      <c r="C456" s="29" t="str">
        <f>IFERROR(VLOOKUP(A456,Tabla1[],6,0)," ")</f>
        <v xml:space="preserve"> </v>
      </c>
      <c r="D456" s="30" t="str">
        <f>IFERROR(VLOOKUP(A456,Tabla1[],8,0)," ")</f>
        <v xml:space="preserve"> </v>
      </c>
      <c r="E456" s="31"/>
      <c r="F456" s="30" t="str">
        <f t="shared" si="8"/>
        <v xml:space="preserve"> </v>
      </c>
    </row>
    <row r="457" spans="1:6" ht="22.7" customHeight="1">
      <c r="A457" s="28"/>
      <c r="B457" s="29" t="str">
        <f>IFERROR(VLOOKUP(A457,Tabla1[],2,0)," ")</f>
        <v xml:space="preserve"> </v>
      </c>
      <c r="C457" s="29" t="str">
        <f>IFERROR(VLOOKUP(A457,Tabla1[],6,0)," ")</f>
        <v xml:space="preserve"> </v>
      </c>
      <c r="D457" s="30" t="str">
        <f>IFERROR(VLOOKUP(A457,Tabla1[],8,0)," ")</f>
        <v xml:space="preserve"> </v>
      </c>
      <c r="E457" s="31"/>
      <c r="F457" s="30" t="str">
        <f t="shared" si="8"/>
        <v xml:space="preserve"> </v>
      </c>
    </row>
    <row r="458" spans="1:6" ht="22.7" customHeight="1">
      <c r="A458" s="28"/>
      <c r="B458" s="29" t="str">
        <f>IFERROR(VLOOKUP(A458,Tabla1[],2,0)," ")</f>
        <v xml:space="preserve"> </v>
      </c>
      <c r="C458" s="29" t="str">
        <f>IFERROR(VLOOKUP(A458,Tabla1[],6,0)," ")</f>
        <v xml:space="preserve"> </v>
      </c>
      <c r="D458" s="30" t="str">
        <f>IFERROR(VLOOKUP(A458,Tabla1[],8,0)," ")</f>
        <v xml:space="preserve"> </v>
      </c>
      <c r="E458" s="31"/>
      <c r="F458" s="30" t="str">
        <f t="shared" si="8"/>
        <v xml:space="preserve"> </v>
      </c>
    </row>
    <row r="459" spans="1:6" ht="22.7" customHeight="1">
      <c r="A459" s="28"/>
      <c r="B459" s="29" t="str">
        <f>IFERROR(VLOOKUP(A459,Tabla1[],2,0)," ")</f>
        <v xml:space="preserve"> </v>
      </c>
      <c r="C459" s="29" t="str">
        <f>IFERROR(VLOOKUP(A459,Tabla1[],6,0)," ")</f>
        <v xml:space="preserve"> </v>
      </c>
      <c r="D459" s="30" t="str">
        <f>IFERROR(VLOOKUP(A459,Tabla1[],8,0)," ")</f>
        <v xml:space="preserve"> </v>
      </c>
      <c r="E459" s="31"/>
      <c r="F459" s="30" t="str">
        <f t="shared" si="8"/>
        <v xml:space="preserve"> </v>
      </c>
    </row>
    <row r="460" spans="1:6" ht="22.7" customHeight="1">
      <c r="A460" s="28"/>
      <c r="B460" s="29" t="str">
        <f>IFERROR(VLOOKUP(A460,Tabla1[],2,0)," ")</f>
        <v xml:space="preserve"> </v>
      </c>
      <c r="C460" s="29" t="str">
        <f>IFERROR(VLOOKUP(A460,Tabla1[],6,0)," ")</f>
        <v xml:space="preserve"> </v>
      </c>
      <c r="D460" s="30" t="str">
        <f>IFERROR(VLOOKUP(A460,Tabla1[],8,0)," ")</f>
        <v xml:space="preserve"> </v>
      </c>
      <c r="E460" s="31"/>
      <c r="F460" s="30" t="str">
        <f t="shared" si="8"/>
        <v xml:space="preserve"> </v>
      </c>
    </row>
    <row r="461" spans="1:6" ht="22.7" customHeight="1">
      <c r="A461" s="28"/>
      <c r="B461" s="29" t="str">
        <f>IFERROR(VLOOKUP(A461,Tabla1[],2,0)," ")</f>
        <v xml:space="preserve"> </v>
      </c>
      <c r="C461" s="29" t="str">
        <f>IFERROR(VLOOKUP(A461,Tabla1[],6,0)," ")</f>
        <v xml:space="preserve"> </v>
      </c>
      <c r="D461" s="30" t="str">
        <f>IFERROR(VLOOKUP(A461,Tabla1[],8,0)," ")</f>
        <v xml:space="preserve"> </v>
      </c>
      <c r="E461" s="31"/>
      <c r="F461" s="30" t="str">
        <f t="shared" si="8"/>
        <v xml:space="preserve"> </v>
      </c>
    </row>
    <row r="462" spans="1:6" ht="22.7" customHeight="1">
      <c r="A462" s="28"/>
      <c r="B462" s="29" t="str">
        <f>IFERROR(VLOOKUP(A462,Tabla1[],2,0)," ")</f>
        <v xml:space="preserve"> </v>
      </c>
      <c r="C462" s="29" t="str">
        <f>IFERROR(VLOOKUP(A462,Tabla1[],6,0)," ")</f>
        <v xml:space="preserve"> </v>
      </c>
      <c r="D462" s="30" t="str">
        <f>IFERROR(VLOOKUP(A462,Tabla1[],8,0)," ")</f>
        <v xml:space="preserve"> </v>
      </c>
      <c r="E462" s="31"/>
      <c r="F462" s="30" t="str">
        <f t="shared" si="8"/>
        <v xml:space="preserve"> </v>
      </c>
    </row>
    <row r="463" spans="1:6" ht="22.7" customHeight="1">
      <c r="A463" s="28"/>
      <c r="B463" s="29" t="str">
        <f>IFERROR(VLOOKUP(A463,Tabla1[],2,0)," ")</f>
        <v xml:space="preserve"> </v>
      </c>
      <c r="C463" s="29" t="str">
        <f>IFERROR(VLOOKUP(A463,Tabla1[],6,0)," ")</f>
        <v xml:space="preserve"> </v>
      </c>
      <c r="D463" s="30" t="str">
        <f>IFERROR(VLOOKUP(A463,Tabla1[],8,0)," ")</f>
        <v xml:space="preserve"> </v>
      </c>
      <c r="E463" s="31"/>
      <c r="F463" s="30" t="str">
        <f t="shared" si="8"/>
        <v xml:space="preserve"> </v>
      </c>
    </row>
    <row r="464" spans="1:6" ht="22.7" customHeight="1">
      <c r="A464" s="28"/>
      <c r="B464" s="29" t="str">
        <f>IFERROR(VLOOKUP(A464,Tabla1[],2,0)," ")</f>
        <v xml:space="preserve"> </v>
      </c>
      <c r="C464" s="29" t="str">
        <f>IFERROR(VLOOKUP(A464,Tabla1[],6,0)," ")</f>
        <v xml:space="preserve"> </v>
      </c>
      <c r="D464" s="30" t="str">
        <f>IFERROR(VLOOKUP(A464,Tabla1[],8,0)," ")</f>
        <v xml:space="preserve"> </v>
      </c>
      <c r="E464" s="31"/>
      <c r="F464" s="30" t="str">
        <f t="shared" si="8"/>
        <v xml:space="preserve"> </v>
      </c>
    </row>
    <row r="465" spans="1:6" ht="22.7" customHeight="1">
      <c r="A465" s="28"/>
      <c r="B465" s="29" t="str">
        <f>IFERROR(VLOOKUP(A465,Tabla1[],2,0)," ")</f>
        <v xml:space="preserve"> </v>
      </c>
      <c r="C465" s="29" t="str">
        <f>IFERROR(VLOOKUP(A465,Tabla1[],6,0)," ")</f>
        <v xml:space="preserve"> </v>
      </c>
      <c r="D465" s="30" t="str">
        <f>IFERROR(VLOOKUP(A465,Tabla1[],8,0)," ")</f>
        <v xml:space="preserve"> </v>
      </c>
      <c r="E465" s="31"/>
      <c r="F465" s="30" t="str">
        <f t="shared" si="8"/>
        <v xml:space="preserve"> </v>
      </c>
    </row>
    <row r="466" spans="1:6" ht="22.7" customHeight="1">
      <c r="A466" s="28"/>
      <c r="B466" s="29" t="str">
        <f>IFERROR(VLOOKUP(A466,Tabla1[],2,0)," ")</f>
        <v xml:space="preserve"> </v>
      </c>
      <c r="C466" s="29" t="str">
        <f>IFERROR(VLOOKUP(A466,Tabla1[],6,0)," ")</f>
        <v xml:space="preserve"> </v>
      </c>
      <c r="D466" s="30" t="str">
        <f>IFERROR(VLOOKUP(A466,Tabla1[],8,0)," ")</f>
        <v xml:space="preserve"> </v>
      </c>
      <c r="E466" s="31"/>
      <c r="F466" s="30" t="str">
        <f t="shared" si="8"/>
        <v xml:space="preserve"> </v>
      </c>
    </row>
    <row r="467" spans="1:6" ht="22.7" customHeight="1">
      <c r="A467" s="28"/>
      <c r="B467" s="29" t="str">
        <f>IFERROR(VLOOKUP(A467,Tabla1[],2,0)," ")</f>
        <v xml:space="preserve"> </v>
      </c>
      <c r="C467" s="29" t="str">
        <f>IFERROR(VLOOKUP(A467,Tabla1[],6,0)," ")</f>
        <v xml:space="preserve"> </v>
      </c>
      <c r="D467" s="30" t="str">
        <f>IFERROR(VLOOKUP(A467,Tabla1[],8,0)," ")</f>
        <v xml:space="preserve"> </v>
      </c>
      <c r="E467" s="31"/>
      <c r="F467" s="30" t="str">
        <f t="shared" si="8"/>
        <v xml:space="preserve"> </v>
      </c>
    </row>
    <row r="468" spans="1:6" ht="22.7" customHeight="1">
      <c r="A468" s="28"/>
      <c r="B468" s="29" t="str">
        <f>IFERROR(VLOOKUP(A468,Tabla1[],2,0)," ")</f>
        <v xml:space="preserve"> </v>
      </c>
      <c r="C468" s="29" t="str">
        <f>IFERROR(VLOOKUP(A468,Tabla1[],6,0)," ")</f>
        <v xml:space="preserve"> </v>
      </c>
      <c r="D468" s="30" t="str">
        <f>IFERROR(VLOOKUP(A468,Tabla1[],8,0)," ")</f>
        <v xml:space="preserve"> </v>
      </c>
      <c r="E468" s="31"/>
      <c r="F468" s="30" t="str">
        <f t="shared" si="8"/>
        <v xml:space="preserve"> </v>
      </c>
    </row>
    <row r="469" spans="1:6" ht="22.7" customHeight="1">
      <c r="A469" s="28"/>
      <c r="B469" s="29" t="str">
        <f>IFERROR(VLOOKUP(A469,Tabla1[],2,0)," ")</f>
        <v xml:space="preserve"> </v>
      </c>
      <c r="C469" s="29" t="str">
        <f>IFERROR(VLOOKUP(A469,Tabla1[],6,0)," ")</f>
        <v xml:space="preserve"> </v>
      </c>
      <c r="D469" s="30" t="str">
        <f>IFERROR(VLOOKUP(A469,Tabla1[],8,0)," ")</f>
        <v xml:space="preserve"> </v>
      </c>
      <c r="E469" s="31"/>
      <c r="F469" s="30" t="str">
        <f t="shared" si="8"/>
        <v xml:space="preserve"> </v>
      </c>
    </row>
    <row r="470" spans="1:6" ht="22.7" customHeight="1">
      <c r="A470" s="28"/>
      <c r="B470" s="29" t="str">
        <f>IFERROR(VLOOKUP(A470,Tabla1[],2,0)," ")</f>
        <v xml:space="preserve"> </v>
      </c>
      <c r="C470" s="29" t="str">
        <f>IFERROR(VLOOKUP(A470,Tabla1[],6,0)," ")</f>
        <v xml:space="preserve"> </v>
      </c>
      <c r="D470" s="30" t="str">
        <f>IFERROR(VLOOKUP(A470,Tabla1[],8,0)," ")</f>
        <v xml:space="preserve"> </v>
      </c>
      <c r="E470" s="31"/>
      <c r="F470" s="30" t="str">
        <f t="shared" si="8"/>
        <v xml:space="preserve"> </v>
      </c>
    </row>
    <row r="471" spans="1:6" ht="22.7" customHeight="1">
      <c r="A471" s="28"/>
      <c r="B471" s="29" t="str">
        <f>IFERROR(VLOOKUP(A471,Tabla1[],2,0)," ")</f>
        <v xml:space="preserve"> </v>
      </c>
      <c r="C471" s="29" t="str">
        <f>IFERROR(VLOOKUP(A471,Tabla1[],6,0)," ")</f>
        <v xml:space="preserve"> </v>
      </c>
      <c r="D471" s="30" t="str">
        <f>IFERROR(VLOOKUP(A471,Tabla1[],8,0)," ")</f>
        <v xml:space="preserve"> </v>
      </c>
      <c r="E471" s="31"/>
      <c r="F471" s="30" t="str">
        <f t="shared" si="8"/>
        <v xml:space="preserve"> </v>
      </c>
    </row>
    <row r="472" spans="1:6" ht="22.7" customHeight="1">
      <c r="A472" s="28"/>
      <c r="B472" s="29" t="str">
        <f>IFERROR(VLOOKUP(A472,Tabla1[],2,0)," ")</f>
        <v xml:space="preserve"> </v>
      </c>
      <c r="C472" s="29" t="str">
        <f>IFERROR(VLOOKUP(A472,Tabla1[],6,0)," ")</f>
        <v xml:space="preserve"> </v>
      </c>
      <c r="D472" s="30" t="str">
        <f>IFERROR(VLOOKUP(A472,Tabla1[],8,0)," ")</f>
        <v xml:space="preserve"> </v>
      </c>
      <c r="E472" s="31"/>
      <c r="F472" s="30" t="str">
        <f t="shared" si="8"/>
        <v xml:space="preserve"> </v>
      </c>
    </row>
    <row r="473" spans="1:6" ht="22.7" customHeight="1">
      <c r="A473" s="28"/>
      <c r="B473" s="29" t="str">
        <f>IFERROR(VLOOKUP(A473,Tabla1[],2,0)," ")</f>
        <v xml:space="preserve"> </v>
      </c>
      <c r="C473" s="29" t="str">
        <f>IFERROR(VLOOKUP(A473,Tabla1[],6,0)," ")</f>
        <v xml:space="preserve"> </v>
      </c>
      <c r="D473" s="30" t="str">
        <f>IFERROR(VLOOKUP(A473,Tabla1[],8,0)," ")</f>
        <v xml:space="preserve"> </v>
      </c>
      <c r="E473" s="31"/>
      <c r="F473" s="30" t="str">
        <f t="shared" si="8"/>
        <v xml:space="preserve"> </v>
      </c>
    </row>
    <row r="474" spans="1:6" ht="22.7" customHeight="1">
      <c r="A474" s="28"/>
      <c r="B474" s="29" t="str">
        <f>IFERROR(VLOOKUP(A474,Tabla1[],2,0)," ")</f>
        <v xml:space="preserve"> </v>
      </c>
      <c r="C474" s="29" t="str">
        <f>IFERROR(VLOOKUP(A474,Tabla1[],6,0)," ")</f>
        <v xml:space="preserve"> </v>
      </c>
      <c r="D474" s="30" t="str">
        <f>IFERROR(VLOOKUP(A474,Tabla1[],8,0)," ")</f>
        <v xml:space="preserve"> </v>
      </c>
      <c r="E474" s="31"/>
      <c r="F474" s="30" t="str">
        <f t="shared" si="8"/>
        <v xml:space="preserve"> </v>
      </c>
    </row>
    <row r="475" spans="1:6" ht="22.7" customHeight="1">
      <c r="A475" s="28"/>
      <c r="B475" s="29" t="str">
        <f>IFERROR(VLOOKUP(A475,Tabla1[],2,0)," ")</f>
        <v xml:space="preserve"> </v>
      </c>
      <c r="C475" s="29" t="str">
        <f>IFERROR(VLOOKUP(A475,Tabla1[],6,0)," ")</f>
        <v xml:space="preserve"> </v>
      </c>
      <c r="D475" s="30" t="str">
        <f>IFERROR(VLOOKUP(A475,Tabla1[],8,0)," ")</f>
        <v xml:space="preserve"> </v>
      </c>
      <c r="E475" s="31"/>
      <c r="F475" s="30" t="str">
        <f t="shared" si="8"/>
        <v xml:space="preserve"> </v>
      </c>
    </row>
    <row r="476" spans="1:6" ht="22.7" customHeight="1">
      <c r="A476" s="28"/>
      <c r="B476" s="29" t="str">
        <f>IFERROR(VLOOKUP(A476,Tabla1[],2,0)," ")</f>
        <v xml:space="preserve"> </v>
      </c>
      <c r="C476" s="29" t="str">
        <f>IFERROR(VLOOKUP(A476,Tabla1[],6,0)," ")</f>
        <v xml:space="preserve"> </v>
      </c>
      <c r="D476" s="30" t="str">
        <f>IFERROR(VLOOKUP(A476,Tabla1[],8,0)," ")</f>
        <v xml:space="preserve"> </v>
      </c>
      <c r="E476" s="31"/>
      <c r="F476" s="30" t="str">
        <f t="shared" si="8"/>
        <v xml:space="preserve"> </v>
      </c>
    </row>
    <row r="477" spans="1:6" ht="22.7" customHeight="1">
      <c r="A477" s="28"/>
      <c r="B477" s="29" t="str">
        <f>IFERROR(VLOOKUP(A477,Tabla1[],2,0)," ")</f>
        <v xml:space="preserve"> </v>
      </c>
      <c r="C477" s="29" t="str">
        <f>IFERROR(VLOOKUP(A477,Tabla1[],6,0)," ")</f>
        <v xml:space="preserve"> </v>
      </c>
      <c r="D477" s="30" t="str">
        <f>IFERROR(VLOOKUP(A477,Tabla1[],8,0)," ")</f>
        <v xml:space="preserve"> </v>
      </c>
      <c r="E477" s="31"/>
      <c r="F477" s="30" t="str">
        <f t="shared" si="8"/>
        <v xml:space="preserve"> </v>
      </c>
    </row>
    <row r="478" spans="1:6" ht="22.7" customHeight="1">
      <c r="A478" s="28"/>
      <c r="B478" s="29" t="str">
        <f>IFERROR(VLOOKUP(A478,Tabla1[],2,0)," ")</f>
        <v xml:space="preserve"> </v>
      </c>
      <c r="C478" s="29" t="str">
        <f>IFERROR(VLOOKUP(A478,Tabla1[],6,0)," ")</f>
        <v xml:space="preserve"> </v>
      </c>
      <c r="D478" s="30" t="str">
        <f>IFERROR(VLOOKUP(A478,Tabla1[],8,0)," ")</f>
        <v xml:space="preserve"> </v>
      </c>
      <c r="E478" s="31"/>
      <c r="F478" s="30" t="str">
        <f t="shared" si="8"/>
        <v xml:space="preserve"> </v>
      </c>
    </row>
    <row r="479" spans="1:6" ht="22.7" customHeight="1">
      <c r="A479" s="28"/>
      <c r="B479" s="29" t="str">
        <f>IFERROR(VLOOKUP(A479,Tabla1[],2,0)," ")</f>
        <v xml:space="preserve"> </v>
      </c>
      <c r="C479" s="29" t="str">
        <f>IFERROR(VLOOKUP(A479,Tabla1[],6,0)," ")</f>
        <v xml:space="preserve"> </v>
      </c>
      <c r="D479" s="30" t="str">
        <f>IFERROR(VLOOKUP(A479,Tabla1[],8,0)," ")</f>
        <v xml:space="preserve"> </v>
      </c>
      <c r="E479" s="31"/>
      <c r="F479" s="30" t="str">
        <f t="shared" si="8"/>
        <v xml:space="preserve"> </v>
      </c>
    </row>
    <row r="480" spans="1:6" ht="22.7" customHeight="1">
      <c r="A480" s="28"/>
      <c r="B480" s="29" t="str">
        <f>IFERROR(VLOOKUP(A480,Tabla1[],2,0)," ")</f>
        <v xml:space="preserve"> </v>
      </c>
      <c r="C480" s="29" t="str">
        <f>IFERROR(VLOOKUP(A480,Tabla1[],6,0)," ")</f>
        <v xml:space="preserve"> </v>
      </c>
      <c r="D480" s="30" t="str">
        <f>IFERROR(VLOOKUP(A480,Tabla1[],8,0)," ")</f>
        <v xml:space="preserve"> </v>
      </c>
      <c r="E480" s="31"/>
      <c r="F480" s="30" t="str">
        <f t="shared" si="8"/>
        <v xml:space="preserve"> </v>
      </c>
    </row>
    <row r="481" spans="1:6" ht="22.7" customHeight="1">
      <c r="A481" s="28"/>
      <c r="B481" s="29" t="str">
        <f>IFERROR(VLOOKUP(A481,Tabla1[],2,0)," ")</f>
        <v xml:space="preserve"> </v>
      </c>
      <c r="C481" s="29" t="str">
        <f>IFERROR(VLOOKUP(A481,Tabla1[],6,0)," ")</f>
        <v xml:space="preserve"> </v>
      </c>
      <c r="D481" s="30" t="str">
        <f>IFERROR(VLOOKUP(A481,Tabla1[],8,0)," ")</f>
        <v xml:space="preserve"> </v>
      </c>
      <c r="E481" s="31"/>
      <c r="F481" s="30" t="str">
        <f t="shared" si="8"/>
        <v xml:space="preserve"> </v>
      </c>
    </row>
    <row r="482" spans="1:6" ht="22.7" customHeight="1">
      <c r="A482" s="28"/>
      <c r="B482" s="29" t="str">
        <f>IFERROR(VLOOKUP(A482,Tabla1[],2,0)," ")</f>
        <v xml:space="preserve"> </v>
      </c>
      <c r="C482" s="29" t="str">
        <f>IFERROR(VLOOKUP(A482,Tabla1[],6,0)," ")</f>
        <v xml:space="preserve"> </v>
      </c>
      <c r="D482" s="30" t="str">
        <f>IFERROR(VLOOKUP(A482,Tabla1[],8,0)," ")</f>
        <v xml:space="preserve"> </v>
      </c>
      <c r="E482" s="31"/>
      <c r="F482" s="30" t="str">
        <f t="shared" si="8"/>
        <v xml:space="preserve"> </v>
      </c>
    </row>
    <row r="483" spans="1:6" ht="22.7" customHeight="1">
      <c r="A483" s="28"/>
      <c r="B483" s="29" t="str">
        <f>IFERROR(VLOOKUP(A483,Tabla1[],2,0)," ")</f>
        <v xml:space="preserve"> </v>
      </c>
      <c r="C483" s="29" t="str">
        <f>IFERROR(VLOOKUP(A483,Tabla1[],6,0)," ")</f>
        <v xml:space="preserve"> </v>
      </c>
      <c r="D483" s="30" t="str">
        <f>IFERROR(VLOOKUP(A483,Tabla1[],8,0)," ")</f>
        <v xml:space="preserve"> </v>
      </c>
      <c r="E483" s="31"/>
      <c r="F483" s="30" t="str">
        <f t="shared" si="8"/>
        <v xml:space="preserve"> </v>
      </c>
    </row>
    <row r="484" spans="1:6" ht="22.7" customHeight="1">
      <c r="A484" s="28"/>
      <c r="B484" s="29" t="str">
        <f>IFERROR(VLOOKUP(A484,Tabla1[],2,0)," ")</f>
        <v xml:space="preserve"> </v>
      </c>
      <c r="C484" s="29" t="str">
        <f>IFERROR(VLOOKUP(A484,Tabla1[],6,0)," ")</f>
        <v xml:space="preserve"> </v>
      </c>
      <c r="D484" s="30" t="str">
        <f>IFERROR(VLOOKUP(A484,Tabla1[],8,0)," ")</f>
        <v xml:space="preserve"> </v>
      </c>
      <c r="E484" s="31"/>
      <c r="F484" s="30" t="str">
        <f t="shared" si="8"/>
        <v xml:space="preserve"> </v>
      </c>
    </row>
    <row r="485" spans="1:6" ht="22.7" customHeight="1">
      <c r="A485" s="28"/>
      <c r="B485" s="29" t="str">
        <f>IFERROR(VLOOKUP(A485,Tabla1[],2,0)," ")</f>
        <v xml:space="preserve"> </v>
      </c>
      <c r="C485" s="29" t="str">
        <f>IFERROR(VLOOKUP(A485,Tabla1[],6,0)," ")</f>
        <v xml:space="preserve"> </v>
      </c>
      <c r="D485" s="30" t="str">
        <f>IFERROR(VLOOKUP(A485,Tabla1[],8,0)," ")</f>
        <v xml:space="preserve"> </v>
      </c>
      <c r="E485" s="31"/>
      <c r="F485" s="30" t="str">
        <f t="shared" si="8"/>
        <v xml:space="preserve"> </v>
      </c>
    </row>
    <row r="486" spans="1:6" ht="22.7" customHeight="1">
      <c r="A486" s="28"/>
      <c r="B486" s="29" t="str">
        <f>IFERROR(VLOOKUP(A486,Tabla1[],2,0)," ")</f>
        <v xml:space="preserve"> </v>
      </c>
      <c r="C486" s="29" t="str">
        <f>IFERROR(VLOOKUP(A486,Tabla1[],6,0)," ")</f>
        <v xml:space="preserve"> </v>
      </c>
      <c r="D486" s="30" t="str">
        <f>IFERROR(VLOOKUP(A486,Tabla1[],8,0)," ")</f>
        <v xml:space="preserve"> </v>
      </c>
      <c r="E486" s="31"/>
      <c r="F486" s="30" t="str">
        <f t="shared" si="8"/>
        <v xml:space="preserve"> </v>
      </c>
    </row>
    <row r="487" spans="1:6" ht="22.7" customHeight="1">
      <c r="A487" s="28"/>
      <c r="B487" s="29" t="str">
        <f>IFERROR(VLOOKUP(A487,Tabla1[],2,0)," ")</f>
        <v xml:space="preserve"> </v>
      </c>
      <c r="C487" s="29" t="str">
        <f>IFERROR(VLOOKUP(A487,Tabla1[],6,0)," ")</f>
        <v xml:space="preserve"> </v>
      </c>
      <c r="D487" s="30" t="str">
        <f>IFERROR(VLOOKUP(A487,Tabla1[],8,0)," ")</f>
        <v xml:space="preserve"> </v>
      </c>
      <c r="E487" s="31"/>
      <c r="F487" s="30" t="str">
        <f t="shared" si="8"/>
        <v xml:space="preserve"> </v>
      </c>
    </row>
    <row r="488" spans="1:6" ht="22.7" customHeight="1">
      <c r="A488" s="28"/>
      <c r="B488" s="29" t="str">
        <f>IFERROR(VLOOKUP(A488,Tabla1[],2,0)," ")</f>
        <v xml:space="preserve"> </v>
      </c>
      <c r="C488" s="29" t="str">
        <f>IFERROR(VLOOKUP(A488,Tabla1[],6,0)," ")</f>
        <v xml:space="preserve"> </v>
      </c>
      <c r="D488" s="30" t="str">
        <f>IFERROR(VLOOKUP(A488,Tabla1[],8,0)," ")</f>
        <v xml:space="preserve"> </v>
      </c>
      <c r="E488" s="31"/>
      <c r="F488" s="30" t="str">
        <f t="shared" si="8"/>
        <v xml:space="preserve"> </v>
      </c>
    </row>
    <row r="489" spans="1:6" ht="22.7" customHeight="1">
      <c r="A489" s="28"/>
      <c r="B489" s="29" t="str">
        <f>IFERROR(VLOOKUP(A489,Tabla1[],2,0)," ")</f>
        <v xml:space="preserve"> </v>
      </c>
      <c r="C489" s="29" t="str">
        <f>IFERROR(VLOOKUP(A489,Tabla1[],6,0)," ")</f>
        <v xml:space="preserve"> </v>
      </c>
      <c r="D489" s="30" t="str">
        <f>IFERROR(VLOOKUP(A489,Tabla1[],8,0)," ")</f>
        <v xml:space="preserve"> </v>
      </c>
      <c r="E489" s="31"/>
      <c r="F489" s="30" t="str">
        <f t="shared" si="8"/>
        <v xml:space="preserve"> </v>
      </c>
    </row>
    <row r="490" spans="1:6" ht="22.7" customHeight="1">
      <c r="A490" s="28"/>
      <c r="B490" s="29" t="str">
        <f>IFERROR(VLOOKUP(A490,Tabla1[],2,0)," ")</f>
        <v xml:space="preserve"> </v>
      </c>
      <c r="C490" s="29" t="str">
        <f>IFERROR(VLOOKUP(A490,Tabla1[],6,0)," ")</f>
        <v xml:space="preserve"> </v>
      </c>
      <c r="D490" s="30" t="str">
        <f>IFERROR(VLOOKUP(A490,Tabla1[],8,0)," ")</f>
        <v xml:space="preserve"> </v>
      </c>
      <c r="E490" s="31"/>
      <c r="F490" s="30" t="str">
        <f t="shared" si="8"/>
        <v xml:space="preserve"> </v>
      </c>
    </row>
    <row r="491" spans="1:6" ht="22.7" customHeight="1">
      <c r="A491" s="28"/>
      <c r="B491" s="29" t="str">
        <f>IFERROR(VLOOKUP(A491,Tabla1[],2,0)," ")</f>
        <v xml:space="preserve"> </v>
      </c>
      <c r="C491" s="29" t="str">
        <f>IFERROR(VLOOKUP(A491,Tabla1[],6,0)," ")</f>
        <v xml:space="preserve"> </v>
      </c>
      <c r="D491" s="30" t="str">
        <f>IFERROR(VLOOKUP(A491,Tabla1[],8,0)," ")</f>
        <v xml:space="preserve"> </v>
      </c>
      <c r="E491" s="31"/>
      <c r="F491" s="30" t="str">
        <f t="shared" si="8"/>
        <v xml:space="preserve"> </v>
      </c>
    </row>
    <row r="492" spans="1:6" ht="22.7" customHeight="1">
      <c r="A492" s="28"/>
      <c r="B492" s="29" t="str">
        <f>IFERROR(VLOOKUP(A492,Tabla1[],2,0)," ")</f>
        <v xml:space="preserve"> </v>
      </c>
      <c r="C492" s="29" t="str">
        <f>IFERROR(VLOOKUP(A492,Tabla1[],6,0)," ")</f>
        <v xml:space="preserve"> </v>
      </c>
      <c r="D492" s="30" t="str">
        <f>IFERROR(VLOOKUP(A492,Tabla1[],8,0)," ")</f>
        <v xml:space="preserve"> </v>
      </c>
      <c r="E492" s="31"/>
      <c r="F492" s="30" t="str">
        <f t="shared" si="8"/>
        <v xml:space="preserve"> </v>
      </c>
    </row>
    <row r="493" spans="1:6" ht="22.7" customHeight="1">
      <c r="A493" s="28"/>
      <c r="B493" s="29" t="str">
        <f>IFERROR(VLOOKUP(A493,Tabla1[],2,0)," ")</f>
        <v xml:space="preserve"> </v>
      </c>
      <c r="C493" s="29" t="str">
        <f>IFERROR(VLOOKUP(A493,Tabla1[],6,0)," ")</f>
        <v xml:space="preserve"> </v>
      </c>
      <c r="D493" s="30" t="str">
        <f>IFERROR(VLOOKUP(A493,Tabla1[],8,0)," ")</f>
        <v xml:space="preserve"> </v>
      </c>
      <c r="E493" s="31"/>
      <c r="F493" s="30" t="str">
        <f t="shared" si="8"/>
        <v xml:space="preserve"> </v>
      </c>
    </row>
    <row r="494" spans="1:6" ht="22.7" customHeight="1">
      <c r="A494" s="28"/>
      <c r="B494" s="29" t="str">
        <f>IFERROR(VLOOKUP(A494,Tabla1[],2,0)," ")</f>
        <v xml:space="preserve"> </v>
      </c>
      <c r="C494" s="29" t="str">
        <f>IFERROR(VLOOKUP(A494,Tabla1[],6,0)," ")</f>
        <v xml:space="preserve"> </v>
      </c>
      <c r="D494" s="30" t="str">
        <f>IFERROR(VLOOKUP(A494,Tabla1[],8,0)," ")</f>
        <v xml:space="preserve"> </v>
      </c>
      <c r="E494" s="31"/>
      <c r="F494" s="30" t="str">
        <f t="shared" si="8"/>
        <v xml:space="preserve"> </v>
      </c>
    </row>
    <row r="495" spans="1:6" ht="22.7" customHeight="1">
      <c r="A495" s="28"/>
      <c r="B495" s="29" t="str">
        <f>IFERROR(VLOOKUP(A495,Tabla1[],2,0)," ")</f>
        <v xml:space="preserve"> </v>
      </c>
      <c r="C495" s="29" t="str">
        <f>IFERROR(VLOOKUP(A495,Tabla1[],6,0)," ")</f>
        <v xml:space="preserve"> </v>
      </c>
      <c r="D495" s="30" t="str">
        <f>IFERROR(VLOOKUP(A495,Tabla1[],8,0)," ")</f>
        <v xml:space="preserve"> </v>
      </c>
      <c r="E495" s="31"/>
      <c r="F495" s="30" t="str">
        <f t="shared" si="8"/>
        <v xml:space="preserve"> </v>
      </c>
    </row>
    <row r="496" spans="1:6" ht="22.7" customHeight="1">
      <c r="A496" s="28"/>
      <c r="B496" s="29" t="str">
        <f>IFERROR(VLOOKUP(A496,Tabla1[],2,0)," ")</f>
        <v xml:space="preserve"> </v>
      </c>
      <c r="C496" s="29" t="str">
        <f>IFERROR(VLOOKUP(A496,Tabla1[],6,0)," ")</f>
        <v xml:space="preserve"> </v>
      </c>
      <c r="D496" s="30" t="str">
        <f>IFERROR(VLOOKUP(A496,Tabla1[],8,0)," ")</f>
        <v xml:space="preserve"> </v>
      </c>
      <c r="E496" s="31"/>
      <c r="F496" s="30" t="str">
        <f t="shared" si="8"/>
        <v xml:space="preserve"> </v>
      </c>
    </row>
    <row r="497" spans="1:6" ht="22.7" customHeight="1">
      <c r="A497" s="28"/>
      <c r="B497" s="29" t="str">
        <f>IFERROR(VLOOKUP(A497,Tabla1[],2,0)," ")</f>
        <v xml:space="preserve"> </v>
      </c>
      <c r="C497" s="29" t="str">
        <f>IFERROR(VLOOKUP(A497,Tabla1[],6,0)," ")</f>
        <v xml:space="preserve"> </v>
      </c>
      <c r="D497" s="30" t="str">
        <f>IFERROR(VLOOKUP(A497,Tabla1[],8,0)," ")</f>
        <v xml:space="preserve"> </v>
      </c>
      <c r="E497" s="31"/>
      <c r="F497" s="30" t="str">
        <f t="shared" si="8"/>
        <v xml:space="preserve"> </v>
      </c>
    </row>
    <row r="498" spans="1:6" ht="22.7" customHeight="1">
      <c r="A498" s="28"/>
      <c r="B498" s="29" t="str">
        <f>IFERROR(VLOOKUP(A498,Tabla1[],2,0)," ")</f>
        <v xml:space="preserve"> </v>
      </c>
      <c r="C498" s="29" t="str">
        <f>IFERROR(VLOOKUP(A498,Tabla1[],6,0)," ")</f>
        <v xml:space="preserve"> </v>
      </c>
      <c r="D498" s="30" t="str">
        <f>IFERROR(VLOOKUP(A498,Tabla1[],8,0)," ")</f>
        <v xml:space="preserve"> </v>
      </c>
      <c r="E498" s="31"/>
      <c r="F498" s="30" t="str">
        <f t="shared" si="8"/>
        <v xml:space="preserve"> </v>
      </c>
    </row>
    <row r="499" spans="1:6" ht="22.7" customHeight="1">
      <c r="A499" s="28"/>
      <c r="B499" s="29" t="str">
        <f>IFERROR(VLOOKUP(A499,Tabla1[],2,0)," ")</f>
        <v xml:space="preserve"> </v>
      </c>
      <c r="C499" s="29" t="str">
        <f>IFERROR(VLOOKUP(A499,Tabla1[],6,0)," ")</f>
        <v xml:space="preserve"> </v>
      </c>
      <c r="D499" s="30" t="str">
        <f>IFERROR(VLOOKUP(A499,Tabla1[],8,0)," ")</f>
        <v xml:space="preserve"> </v>
      </c>
      <c r="E499" s="31"/>
      <c r="F499" s="30" t="str">
        <f t="shared" si="8"/>
        <v xml:space="preserve"> </v>
      </c>
    </row>
    <row r="500" spans="1:6" ht="22.7" customHeight="1">
      <c r="A500" s="28"/>
      <c r="B500" s="29" t="str">
        <f>IFERROR(VLOOKUP(A500,Tabla1[],2,0)," ")</f>
        <v xml:space="preserve"> </v>
      </c>
      <c r="C500" s="29" t="str">
        <f>IFERROR(VLOOKUP(A500,Tabla1[],6,0)," ")</f>
        <v xml:space="preserve"> </v>
      </c>
      <c r="D500" s="30" t="str">
        <f>IFERROR(VLOOKUP(A500,Tabla1[],8,0)," ")</f>
        <v xml:space="preserve"> </v>
      </c>
      <c r="E500" s="31"/>
      <c r="F500" s="30" t="str">
        <f t="shared" si="8"/>
        <v xml:space="preserve"> </v>
      </c>
    </row>
    <row r="501" spans="1:6" ht="22.7" customHeight="1">
      <c r="A501" s="28"/>
      <c r="B501" s="29" t="str">
        <f>IFERROR(VLOOKUP(A501,Tabla1[],2,0)," ")</f>
        <v xml:space="preserve"> </v>
      </c>
      <c r="C501" s="29" t="str">
        <f>IFERROR(VLOOKUP(A501,Tabla1[],6,0)," ")</f>
        <v xml:space="preserve"> </v>
      </c>
      <c r="D501" s="30" t="str">
        <f>IFERROR(VLOOKUP(A501,Tabla1[],8,0)," ")</f>
        <v xml:space="preserve"> </v>
      </c>
      <c r="E501" s="31"/>
      <c r="F501" s="30" t="str">
        <f t="shared" si="8"/>
        <v xml:space="preserve"> </v>
      </c>
    </row>
    <row r="502" spans="1:6" ht="22.7" customHeight="1">
      <c r="A502" s="28"/>
      <c r="B502" s="29" t="str">
        <f>IFERROR(VLOOKUP(A502,Tabla1[],2,0)," ")</f>
        <v xml:space="preserve"> </v>
      </c>
      <c r="C502" s="29" t="str">
        <f>IFERROR(VLOOKUP(A502,Tabla1[],6,0)," ")</f>
        <v xml:space="preserve"> </v>
      </c>
      <c r="D502" s="30" t="str">
        <f>IFERROR(VLOOKUP(A502,Tabla1[],8,0)," ")</f>
        <v xml:space="preserve"> </v>
      </c>
      <c r="E502" s="31"/>
      <c r="F502" s="30" t="str">
        <f t="shared" si="8"/>
        <v xml:space="preserve"> </v>
      </c>
    </row>
    <row r="503" spans="1:6" ht="22.7" customHeight="1">
      <c r="A503" s="28"/>
      <c r="B503" s="29" t="str">
        <f>IFERROR(VLOOKUP(A503,Tabla1[],2,0)," ")</f>
        <v xml:space="preserve"> </v>
      </c>
      <c r="C503" s="29" t="str">
        <f>IFERROR(VLOOKUP(A503,Tabla1[],6,0)," ")</f>
        <v xml:space="preserve"> </v>
      </c>
      <c r="D503" s="30" t="str">
        <f>IFERROR(VLOOKUP(A503,Tabla1[],8,0)," ")</f>
        <v xml:space="preserve"> </v>
      </c>
      <c r="E503" s="31"/>
      <c r="F503" s="30" t="str">
        <f t="shared" si="8"/>
        <v xml:space="preserve"> </v>
      </c>
    </row>
    <row r="504" spans="1:6" ht="22.7" customHeight="1">
      <c r="A504" s="28"/>
      <c r="B504" s="29" t="str">
        <f>IFERROR(VLOOKUP(A504,Tabla1[],2,0)," ")</f>
        <v xml:space="preserve"> </v>
      </c>
      <c r="C504" s="29" t="str">
        <f>IFERROR(VLOOKUP(A504,Tabla1[],6,0)," ")</f>
        <v xml:space="preserve"> </v>
      </c>
      <c r="D504" s="30" t="str">
        <f>IFERROR(VLOOKUP(A504,Tabla1[],8,0)," ")</f>
        <v xml:space="preserve"> </v>
      </c>
      <c r="E504" s="31"/>
      <c r="F504" s="30" t="str">
        <f t="shared" si="8"/>
        <v xml:space="preserve"> </v>
      </c>
    </row>
    <row r="505" spans="1:6" ht="22.7" customHeight="1">
      <c r="A505" s="28"/>
      <c r="B505" s="29" t="str">
        <f>IFERROR(VLOOKUP(A505,Tabla1[],2,0)," ")</f>
        <v xml:space="preserve"> </v>
      </c>
      <c r="C505" s="29" t="str">
        <f>IFERROR(VLOOKUP(A505,Tabla1[],6,0)," ")</f>
        <v xml:space="preserve"> </v>
      </c>
      <c r="D505" s="30" t="str">
        <f>IFERROR(VLOOKUP(A505,Tabla1[],8,0)," ")</f>
        <v xml:space="preserve"> </v>
      </c>
      <c r="E505" s="31"/>
      <c r="F505" s="30" t="str">
        <f t="shared" si="8"/>
        <v xml:space="preserve"> </v>
      </c>
    </row>
    <row r="506" spans="1:6" ht="22.7" customHeight="1">
      <c r="A506" s="28"/>
      <c r="B506" s="29" t="str">
        <f>IFERROR(VLOOKUP(A506,Tabla1[],2,0)," ")</f>
        <v xml:space="preserve"> </v>
      </c>
      <c r="C506" s="29" t="str">
        <f>IFERROR(VLOOKUP(A506,Tabla1[],6,0)," ")</f>
        <v xml:space="preserve"> </v>
      </c>
      <c r="D506" s="30" t="str">
        <f>IFERROR(VLOOKUP(A506,Tabla1[],8,0)," ")</f>
        <v xml:space="preserve"> </v>
      </c>
      <c r="E506" s="31"/>
      <c r="F506" s="30" t="str">
        <f t="shared" si="8"/>
        <v xml:space="preserve"> </v>
      </c>
    </row>
    <row r="507" spans="1:6" ht="22.7" customHeight="1">
      <c r="A507" s="28"/>
      <c r="B507" s="29" t="str">
        <f>IFERROR(VLOOKUP(A507,Tabla1[],2,0)," ")</f>
        <v xml:space="preserve"> </v>
      </c>
      <c r="C507" s="29" t="str">
        <f>IFERROR(VLOOKUP(A507,Tabla1[],6,0)," ")</f>
        <v xml:space="preserve"> </v>
      </c>
      <c r="D507" s="30" t="str">
        <f>IFERROR(VLOOKUP(A507,Tabla1[],8,0)," ")</f>
        <v xml:space="preserve"> </v>
      </c>
      <c r="E507" s="31"/>
      <c r="F507" s="30" t="str">
        <f t="shared" si="8"/>
        <v xml:space="preserve"> </v>
      </c>
    </row>
    <row r="508" spans="1:6" ht="22.7" customHeight="1">
      <c r="A508" s="28"/>
      <c r="B508" s="29" t="str">
        <f>IFERROR(VLOOKUP(A508,Tabla1[],2,0)," ")</f>
        <v xml:space="preserve"> </v>
      </c>
      <c r="C508" s="29" t="str">
        <f>IFERROR(VLOOKUP(A508,Tabla1[],6,0)," ")</f>
        <v xml:space="preserve"> </v>
      </c>
      <c r="D508" s="30" t="str">
        <f>IFERROR(VLOOKUP(A508,Tabla1[],8,0)," ")</f>
        <v xml:space="preserve"> </v>
      </c>
      <c r="E508" s="31"/>
      <c r="F508" s="30" t="str">
        <f t="shared" si="8"/>
        <v xml:space="preserve"> </v>
      </c>
    </row>
    <row r="509" spans="1:6" ht="22.7" customHeight="1">
      <c r="A509" s="28"/>
      <c r="B509" s="29" t="str">
        <f>IFERROR(VLOOKUP(A509,Tabla1[],2,0)," ")</f>
        <v xml:space="preserve"> </v>
      </c>
      <c r="C509" s="29" t="str">
        <f>IFERROR(VLOOKUP(A509,Tabla1[],6,0)," ")</f>
        <v xml:space="preserve"> </v>
      </c>
      <c r="D509" s="30" t="str">
        <f>IFERROR(VLOOKUP(A509,Tabla1[],8,0)," ")</f>
        <v xml:space="preserve"> </v>
      </c>
      <c r="E509" s="31"/>
      <c r="F509" s="30" t="str">
        <f t="shared" si="8"/>
        <v xml:space="preserve"> </v>
      </c>
    </row>
    <row r="510" spans="1:6" ht="22.7" customHeight="1">
      <c r="A510" s="28"/>
      <c r="B510" s="29" t="str">
        <f>IFERROR(VLOOKUP(A510,Tabla1[],2,0)," ")</f>
        <v xml:space="preserve"> </v>
      </c>
      <c r="C510" s="29" t="str">
        <f>IFERROR(VLOOKUP(A510,Tabla1[],6,0)," ")</f>
        <v xml:space="preserve"> </v>
      </c>
      <c r="D510" s="30" t="str">
        <f>IFERROR(VLOOKUP(A510,Tabla1[],8,0)," ")</f>
        <v xml:space="preserve"> </v>
      </c>
      <c r="E510" s="31"/>
      <c r="F510" s="30" t="str">
        <f t="shared" si="8"/>
        <v xml:space="preserve"> </v>
      </c>
    </row>
    <row r="511" spans="1:6" ht="22.7" customHeight="1">
      <c r="A511" s="28"/>
      <c r="B511" s="29" t="str">
        <f>IFERROR(VLOOKUP(A511,Tabla1[],2,0)," ")</f>
        <v xml:space="preserve"> </v>
      </c>
      <c r="C511" s="29" t="str">
        <f>IFERROR(VLOOKUP(A511,Tabla1[],6,0)," ")</f>
        <v xml:space="preserve"> </v>
      </c>
      <c r="D511" s="30" t="str">
        <f>IFERROR(VLOOKUP(A511,Tabla1[],8,0)," ")</f>
        <v xml:space="preserve"> </v>
      </c>
      <c r="E511" s="31"/>
      <c r="F511" s="30" t="str">
        <f t="shared" si="8"/>
        <v xml:space="preserve"> </v>
      </c>
    </row>
    <row r="512" spans="1:6" ht="22.7" customHeight="1">
      <c r="A512" s="28"/>
      <c r="B512" s="29" t="str">
        <f>IFERROR(VLOOKUP(A512,Tabla1[],2,0)," ")</f>
        <v xml:space="preserve"> </v>
      </c>
      <c r="C512" s="29" t="str">
        <f>IFERROR(VLOOKUP(A512,Tabla1[],6,0)," ")</f>
        <v xml:space="preserve"> </v>
      </c>
      <c r="D512" s="30" t="str">
        <f>IFERROR(VLOOKUP(A512,Tabla1[],8,0)," ")</f>
        <v xml:space="preserve"> </v>
      </c>
      <c r="E512" s="31"/>
      <c r="F512" s="30" t="str">
        <f t="shared" si="8"/>
        <v xml:space="preserve"> </v>
      </c>
    </row>
    <row r="513" spans="1:6" ht="22.7" customHeight="1">
      <c r="A513" s="28"/>
      <c r="B513" s="29" t="str">
        <f>IFERROR(VLOOKUP(A513,Tabla1[],2,0)," ")</f>
        <v xml:space="preserve"> </v>
      </c>
      <c r="C513" s="29" t="str">
        <f>IFERROR(VLOOKUP(A513,Tabla1[],6,0)," ")</f>
        <v xml:space="preserve"> </v>
      </c>
      <c r="D513" s="30" t="str">
        <f>IFERROR(VLOOKUP(A513,Tabla1[],8,0)," ")</f>
        <v xml:space="preserve"> </v>
      </c>
      <c r="E513" s="31"/>
      <c r="F513" s="30" t="str">
        <f t="shared" si="8"/>
        <v xml:space="preserve"> </v>
      </c>
    </row>
    <row r="514" spans="1:6" ht="22.7" customHeight="1">
      <c r="A514" s="28"/>
      <c r="B514" s="29" t="str">
        <f>IFERROR(VLOOKUP(A514,Tabla1[],2,0)," ")</f>
        <v xml:space="preserve"> </v>
      </c>
      <c r="C514" s="29" t="str">
        <f>IFERROR(VLOOKUP(A514,Tabla1[],6,0)," ")</f>
        <v xml:space="preserve"> </v>
      </c>
      <c r="D514" s="30" t="str">
        <f>IFERROR(VLOOKUP(A514,Tabla1[],8,0)," ")</f>
        <v xml:space="preserve"> </v>
      </c>
      <c r="E514" s="31"/>
      <c r="F514" s="30" t="str">
        <f t="shared" si="8"/>
        <v xml:space="preserve"> </v>
      </c>
    </row>
    <row r="515" spans="1:6" ht="22.7" customHeight="1">
      <c r="A515" s="28"/>
      <c r="B515" s="29" t="str">
        <f>IFERROR(VLOOKUP(A515,Tabla1[],2,0)," ")</f>
        <v xml:space="preserve"> </v>
      </c>
      <c r="C515" s="29" t="str">
        <f>IFERROR(VLOOKUP(A515,Tabla1[],6,0)," ")</f>
        <v xml:space="preserve"> </v>
      </c>
      <c r="D515" s="30" t="str">
        <f>IFERROR(VLOOKUP(A515,Tabla1[],8,0)," ")</f>
        <v xml:space="preserve"> </v>
      </c>
      <c r="E515" s="31"/>
      <c r="F515" s="30" t="str">
        <f t="shared" si="8"/>
        <v xml:space="preserve"> </v>
      </c>
    </row>
    <row r="516" spans="1:6" ht="22.7" customHeight="1">
      <c r="A516" s="28"/>
      <c r="B516" s="29" t="str">
        <f>IFERROR(VLOOKUP(A516,Tabla1[],2,0)," ")</f>
        <v xml:space="preserve"> </v>
      </c>
      <c r="C516" s="29" t="str">
        <f>IFERROR(VLOOKUP(A516,Tabla1[],6,0)," ")</f>
        <v xml:space="preserve"> </v>
      </c>
      <c r="D516" s="30" t="str">
        <f>IFERROR(VLOOKUP(A516,Tabla1[],8,0)," ")</f>
        <v xml:space="preserve"> </v>
      </c>
      <c r="E516" s="31"/>
      <c r="F516" s="30" t="str">
        <f t="shared" ref="F516:F579" si="9">IFERROR((E516*D516), " ")</f>
        <v xml:space="preserve"> </v>
      </c>
    </row>
    <row r="517" spans="1:6" ht="22.7" customHeight="1">
      <c r="A517" s="28"/>
      <c r="B517" s="29" t="str">
        <f>IFERROR(VLOOKUP(A517,Tabla1[],2,0)," ")</f>
        <v xml:space="preserve"> </v>
      </c>
      <c r="C517" s="29" t="str">
        <f>IFERROR(VLOOKUP(A517,Tabla1[],6,0)," ")</f>
        <v xml:space="preserve"> </v>
      </c>
      <c r="D517" s="30" t="str">
        <f>IFERROR(VLOOKUP(A517,Tabla1[],8,0)," ")</f>
        <v xml:space="preserve"> </v>
      </c>
      <c r="E517" s="31"/>
      <c r="F517" s="30" t="str">
        <f t="shared" si="9"/>
        <v xml:space="preserve"> </v>
      </c>
    </row>
    <row r="518" spans="1:6" ht="22.7" customHeight="1">
      <c r="A518" s="28"/>
      <c r="B518" s="29" t="str">
        <f>IFERROR(VLOOKUP(A518,Tabla1[],2,0)," ")</f>
        <v xml:space="preserve"> </v>
      </c>
      <c r="C518" s="29" t="str">
        <f>IFERROR(VLOOKUP(A518,Tabla1[],6,0)," ")</f>
        <v xml:space="preserve"> </v>
      </c>
      <c r="D518" s="30" t="str">
        <f>IFERROR(VLOOKUP(A518,Tabla1[],8,0)," ")</f>
        <v xml:space="preserve"> </v>
      </c>
      <c r="E518" s="31"/>
      <c r="F518" s="30" t="str">
        <f t="shared" si="9"/>
        <v xml:space="preserve"> </v>
      </c>
    </row>
    <row r="519" spans="1:6" ht="22.7" customHeight="1">
      <c r="A519" s="28"/>
      <c r="B519" s="29" t="str">
        <f>IFERROR(VLOOKUP(A519,Tabla1[],2,0)," ")</f>
        <v xml:space="preserve"> </v>
      </c>
      <c r="C519" s="29" t="str">
        <f>IFERROR(VLOOKUP(A519,Tabla1[],6,0)," ")</f>
        <v xml:space="preserve"> </v>
      </c>
      <c r="D519" s="30" t="str">
        <f>IFERROR(VLOOKUP(A519,Tabla1[],8,0)," ")</f>
        <v xml:space="preserve"> </v>
      </c>
      <c r="E519" s="31"/>
      <c r="F519" s="30" t="str">
        <f t="shared" si="9"/>
        <v xml:space="preserve"> </v>
      </c>
    </row>
    <row r="520" spans="1:6" ht="22.7" customHeight="1">
      <c r="A520" s="28"/>
      <c r="B520" s="29" t="str">
        <f>IFERROR(VLOOKUP(A520,Tabla1[],2,0)," ")</f>
        <v xml:space="preserve"> </v>
      </c>
      <c r="C520" s="29" t="str">
        <f>IFERROR(VLOOKUP(A520,Tabla1[],6,0)," ")</f>
        <v xml:space="preserve"> </v>
      </c>
      <c r="D520" s="30" t="str">
        <f>IFERROR(VLOOKUP(A520,Tabla1[],8,0)," ")</f>
        <v xml:space="preserve"> </v>
      </c>
      <c r="E520" s="31"/>
      <c r="F520" s="30" t="str">
        <f t="shared" si="9"/>
        <v xml:space="preserve"> </v>
      </c>
    </row>
    <row r="521" spans="1:6" ht="22.7" customHeight="1">
      <c r="A521" s="28"/>
      <c r="B521" s="29" t="str">
        <f>IFERROR(VLOOKUP(A521,Tabla1[],2,0)," ")</f>
        <v xml:space="preserve"> </v>
      </c>
      <c r="C521" s="29" t="str">
        <f>IFERROR(VLOOKUP(A521,Tabla1[],6,0)," ")</f>
        <v xml:space="preserve"> </v>
      </c>
      <c r="D521" s="30" t="str">
        <f>IFERROR(VLOOKUP(A521,Tabla1[],8,0)," ")</f>
        <v xml:space="preserve"> </v>
      </c>
      <c r="E521" s="31"/>
      <c r="F521" s="30" t="str">
        <f t="shared" si="9"/>
        <v xml:space="preserve"> </v>
      </c>
    </row>
    <row r="522" spans="1:6" ht="22.7" customHeight="1">
      <c r="A522" s="28"/>
      <c r="B522" s="29" t="str">
        <f>IFERROR(VLOOKUP(A522,Tabla1[],2,0)," ")</f>
        <v xml:space="preserve"> </v>
      </c>
      <c r="C522" s="29" t="str">
        <f>IFERROR(VLOOKUP(A522,Tabla1[],6,0)," ")</f>
        <v xml:space="preserve"> </v>
      </c>
      <c r="D522" s="30" t="str">
        <f>IFERROR(VLOOKUP(A522,Tabla1[],8,0)," ")</f>
        <v xml:space="preserve"> </v>
      </c>
      <c r="E522" s="31"/>
      <c r="F522" s="30" t="str">
        <f t="shared" si="9"/>
        <v xml:space="preserve"> </v>
      </c>
    </row>
    <row r="523" spans="1:6" ht="22.7" customHeight="1">
      <c r="A523" s="28"/>
      <c r="B523" s="29" t="str">
        <f>IFERROR(VLOOKUP(A523,Tabla1[],2,0)," ")</f>
        <v xml:space="preserve"> </v>
      </c>
      <c r="C523" s="29" t="str">
        <f>IFERROR(VLOOKUP(A523,Tabla1[],6,0)," ")</f>
        <v xml:space="preserve"> </v>
      </c>
      <c r="D523" s="30" t="str">
        <f>IFERROR(VLOOKUP(A523,Tabla1[],8,0)," ")</f>
        <v xml:space="preserve"> </v>
      </c>
      <c r="E523" s="31"/>
      <c r="F523" s="30" t="str">
        <f t="shared" si="9"/>
        <v xml:space="preserve"> </v>
      </c>
    </row>
    <row r="524" spans="1:6" ht="22.7" customHeight="1">
      <c r="A524" s="28"/>
      <c r="B524" s="29" t="str">
        <f>IFERROR(VLOOKUP(A524,Tabla1[],2,0)," ")</f>
        <v xml:space="preserve"> </v>
      </c>
      <c r="C524" s="29" t="str">
        <f>IFERROR(VLOOKUP(A524,Tabla1[],6,0)," ")</f>
        <v xml:space="preserve"> </v>
      </c>
      <c r="D524" s="30" t="str">
        <f>IFERROR(VLOOKUP(A524,Tabla1[],8,0)," ")</f>
        <v xml:space="preserve"> </v>
      </c>
      <c r="E524" s="31"/>
      <c r="F524" s="30" t="str">
        <f t="shared" si="9"/>
        <v xml:space="preserve"> </v>
      </c>
    </row>
    <row r="525" spans="1:6" ht="22.7" customHeight="1">
      <c r="A525" s="28"/>
      <c r="B525" s="29" t="str">
        <f>IFERROR(VLOOKUP(A525,Tabla1[],2,0)," ")</f>
        <v xml:space="preserve"> </v>
      </c>
      <c r="C525" s="29" t="str">
        <f>IFERROR(VLOOKUP(A525,Tabla1[],6,0)," ")</f>
        <v xml:space="preserve"> </v>
      </c>
      <c r="D525" s="30" t="str">
        <f>IFERROR(VLOOKUP(A525,Tabla1[],8,0)," ")</f>
        <v xml:space="preserve"> </v>
      </c>
      <c r="E525" s="31"/>
      <c r="F525" s="30" t="str">
        <f t="shared" si="9"/>
        <v xml:space="preserve"> </v>
      </c>
    </row>
    <row r="526" spans="1:6" ht="22.7" customHeight="1">
      <c r="A526" s="28"/>
      <c r="B526" s="29" t="str">
        <f>IFERROR(VLOOKUP(A526,Tabla1[],2,0)," ")</f>
        <v xml:space="preserve"> </v>
      </c>
      <c r="C526" s="29" t="str">
        <f>IFERROR(VLOOKUP(A526,Tabla1[],6,0)," ")</f>
        <v xml:space="preserve"> </v>
      </c>
      <c r="D526" s="30" t="str">
        <f>IFERROR(VLOOKUP(A526,Tabla1[],8,0)," ")</f>
        <v xml:space="preserve"> </v>
      </c>
      <c r="E526" s="31"/>
      <c r="F526" s="30" t="str">
        <f t="shared" si="9"/>
        <v xml:space="preserve"> </v>
      </c>
    </row>
    <row r="527" spans="1:6" ht="22.7" customHeight="1">
      <c r="A527" s="28"/>
      <c r="B527" s="29" t="str">
        <f>IFERROR(VLOOKUP(A527,Tabla1[],2,0)," ")</f>
        <v xml:space="preserve"> </v>
      </c>
      <c r="C527" s="29" t="str">
        <f>IFERROR(VLOOKUP(A527,Tabla1[],6,0)," ")</f>
        <v xml:space="preserve"> </v>
      </c>
      <c r="D527" s="30" t="str">
        <f>IFERROR(VLOOKUP(A527,Tabla1[],8,0)," ")</f>
        <v xml:space="preserve"> </v>
      </c>
      <c r="E527" s="31"/>
      <c r="F527" s="30" t="str">
        <f t="shared" si="9"/>
        <v xml:space="preserve"> </v>
      </c>
    </row>
    <row r="528" spans="1:6" ht="22.7" customHeight="1">
      <c r="A528" s="28"/>
      <c r="B528" s="29" t="str">
        <f>IFERROR(VLOOKUP(A528,Tabla1[],2,0)," ")</f>
        <v xml:space="preserve"> </v>
      </c>
      <c r="C528" s="29" t="str">
        <f>IFERROR(VLOOKUP(A528,Tabla1[],6,0)," ")</f>
        <v xml:space="preserve"> </v>
      </c>
      <c r="D528" s="30" t="str">
        <f>IFERROR(VLOOKUP(A528,Tabla1[],8,0)," ")</f>
        <v xml:space="preserve"> </v>
      </c>
      <c r="E528" s="31"/>
      <c r="F528" s="30" t="str">
        <f t="shared" si="9"/>
        <v xml:space="preserve"> </v>
      </c>
    </row>
    <row r="529" spans="1:6" ht="22.7" customHeight="1">
      <c r="A529" s="28"/>
      <c r="B529" s="29" t="str">
        <f>IFERROR(VLOOKUP(A529,Tabla1[],2,0)," ")</f>
        <v xml:space="preserve"> </v>
      </c>
      <c r="C529" s="29" t="str">
        <f>IFERROR(VLOOKUP(A529,Tabla1[],6,0)," ")</f>
        <v xml:space="preserve"> </v>
      </c>
      <c r="D529" s="30" t="str">
        <f>IFERROR(VLOOKUP(A529,Tabla1[],8,0)," ")</f>
        <v xml:space="preserve"> </v>
      </c>
      <c r="E529" s="31"/>
      <c r="F529" s="30" t="str">
        <f t="shared" si="9"/>
        <v xml:space="preserve"> </v>
      </c>
    </row>
    <row r="530" spans="1:6" ht="22.7" customHeight="1">
      <c r="A530" s="28"/>
      <c r="B530" s="29" t="str">
        <f>IFERROR(VLOOKUP(A530,Tabla1[],2,0)," ")</f>
        <v xml:space="preserve"> </v>
      </c>
      <c r="C530" s="29" t="str">
        <f>IFERROR(VLOOKUP(A530,Tabla1[],6,0)," ")</f>
        <v xml:space="preserve"> </v>
      </c>
      <c r="D530" s="30" t="str">
        <f>IFERROR(VLOOKUP(A530,Tabla1[],8,0)," ")</f>
        <v xml:space="preserve"> </v>
      </c>
      <c r="E530" s="31"/>
      <c r="F530" s="30" t="str">
        <f t="shared" si="9"/>
        <v xml:space="preserve"> </v>
      </c>
    </row>
    <row r="531" spans="1:6" ht="22.7" customHeight="1">
      <c r="A531" s="28"/>
      <c r="B531" s="29" t="str">
        <f>IFERROR(VLOOKUP(A531,Tabla1[],2,0)," ")</f>
        <v xml:space="preserve"> </v>
      </c>
      <c r="C531" s="29" t="str">
        <f>IFERROR(VLOOKUP(A531,Tabla1[],6,0)," ")</f>
        <v xml:space="preserve"> </v>
      </c>
      <c r="D531" s="30" t="str">
        <f>IFERROR(VLOOKUP(A531,Tabla1[],8,0)," ")</f>
        <v xml:space="preserve"> </v>
      </c>
      <c r="E531" s="31"/>
      <c r="F531" s="30" t="str">
        <f t="shared" si="9"/>
        <v xml:space="preserve"> </v>
      </c>
    </row>
    <row r="532" spans="1:6" ht="22.7" customHeight="1">
      <c r="A532" s="28"/>
      <c r="B532" s="29" t="str">
        <f>IFERROR(VLOOKUP(A532,Tabla1[],2,0)," ")</f>
        <v xml:space="preserve"> </v>
      </c>
      <c r="C532" s="29" t="str">
        <f>IFERROR(VLOOKUP(A532,Tabla1[],6,0)," ")</f>
        <v xml:space="preserve"> </v>
      </c>
      <c r="D532" s="30" t="str">
        <f>IFERROR(VLOOKUP(A532,Tabla1[],8,0)," ")</f>
        <v xml:space="preserve"> </v>
      </c>
      <c r="E532" s="31"/>
      <c r="F532" s="30" t="str">
        <f t="shared" si="9"/>
        <v xml:space="preserve"> </v>
      </c>
    </row>
    <row r="533" spans="1:6" ht="22.7" customHeight="1">
      <c r="A533" s="28"/>
      <c r="B533" s="29" t="str">
        <f>IFERROR(VLOOKUP(A533,Tabla1[],2,0)," ")</f>
        <v xml:space="preserve"> </v>
      </c>
      <c r="C533" s="29" t="str">
        <f>IFERROR(VLOOKUP(A533,Tabla1[],6,0)," ")</f>
        <v xml:space="preserve"> </v>
      </c>
      <c r="D533" s="30" t="str">
        <f>IFERROR(VLOOKUP(A533,Tabla1[],8,0)," ")</f>
        <v xml:space="preserve"> </v>
      </c>
      <c r="E533" s="31"/>
      <c r="F533" s="30" t="str">
        <f t="shared" si="9"/>
        <v xml:space="preserve"> </v>
      </c>
    </row>
    <row r="534" spans="1:6" ht="22.7" customHeight="1">
      <c r="A534" s="28"/>
      <c r="B534" s="29" t="str">
        <f>IFERROR(VLOOKUP(A534,Tabla1[],2,0)," ")</f>
        <v xml:space="preserve"> </v>
      </c>
      <c r="C534" s="29" t="str">
        <f>IFERROR(VLOOKUP(A534,Tabla1[],6,0)," ")</f>
        <v xml:space="preserve"> </v>
      </c>
      <c r="D534" s="30" t="str">
        <f>IFERROR(VLOOKUP(A534,Tabla1[],8,0)," ")</f>
        <v xml:space="preserve"> </v>
      </c>
      <c r="E534" s="31"/>
      <c r="F534" s="30" t="str">
        <f t="shared" si="9"/>
        <v xml:space="preserve"> </v>
      </c>
    </row>
    <row r="535" spans="1:6" ht="22.7" customHeight="1">
      <c r="A535" s="28"/>
      <c r="B535" s="29" t="str">
        <f>IFERROR(VLOOKUP(A535,Tabla1[],2,0)," ")</f>
        <v xml:space="preserve"> </v>
      </c>
      <c r="C535" s="29" t="str">
        <f>IFERROR(VLOOKUP(A535,Tabla1[],6,0)," ")</f>
        <v xml:space="preserve"> </v>
      </c>
      <c r="D535" s="30" t="str">
        <f>IFERROR(VLOOKUP(A535,Tabla1[],8,0)," ")</f>
        <v xml:space="preserve"> </v>
      </c>
      <c r="E535" s="31"/>
      <c r="F535" s="30" t="str">
        <f t="shared" si="9"/>
        <v xml:space="preserve"> </v>
      </c>
    </row>
    <row r="536" spans="1:6" ht="22.7" customHeight="1">
      <c r="A536" s="28"/>
      <c r="B536" s="29" t="str">
        <f>IFERROR(VLOOKUP(A536,Tabla1[],2,0)," ")</f>
        <v xml:space="preserve"> </v>
      </c>
      <c r="C536" s="29" t="str">
        <f>IFERROR(VLOOKUP(A536,Tabla1[],6,0)," ")</f>
        <v xml:space="preserve"> </v>
      </c>
      <c r="D536" s="30" t="str">
        <f>IFERROR(VLOOKUP(A536,Tabla1[],8,0)," ")</f>
        <v xml:space="preserve"> </v>
      </c>
      <c r="E536" s="31"/>
      <c r="F536" s="30" t="str">
        <f t="shared" si="9"/>
        <v xml:space="preserve"> </v>
      </c>
    </row>
    <row r="537" spans="1:6" ht="22.7" customHeight="1">
      <c r="A537" s="28"/>
      <c r="B537" s="29" t="str">
        <f>IFERROR(VLOOKUP(A537,Tabla1[],2,0)," ")</f>
        <v xml:space="preserve"> </v>
      </c>
      <c r="C537" s="29" t="str">
        <f>IFERROR(VLOOKUP(A537,Tabla1[],6,0)," ")</f>
        <v xml:space="preserve"> </v>
      </c>
      <c r="D537" s="30" t="str">
        <f>IFERROR(VLOOKUP(A537,Tabla1[],8,0)," ")</f>
        <v xml:space="preserve"> </v>
      </c>
      <c r="E537" s="31"/>
      <c r="F537" s="30" t="str">
        <f t="shared" si="9"/>
        <v xml:space="preserve"> </v>
      </c>
    </row>
    <row r="538" spans="1:6" ht="22.7" customHeight="1">
      <c r="A538" s="28"/>
      <c r="B538" s="29" t="str">
        <f>IFERROR(VLOOKUP(A538,Tabla1[],2,0)," ")</f>
        <v xml:space="preserve"> </v>
      </c>
      <c r="C538" s="29" t="str">
        <f>IFERROR(VLOOKUP(A538,Tabla1[],6,0)," ")</f>
        <v xml:space="preserve"> </v>
      </c>
      <c r="D538" s="30" t="str">
        <f>IFERROR(VLOOKUP(A538,Tabla1[],8,0)," ")</f>
        <v xml:space="preserve"> </v>
      </c>
      <c r="E538" s="31"/>
      <c r="F538" s="30" t="str">
        <f t="shared" si="9"/>
        <v xml:space="preserve"> </v>
      </c>
    </row>
    <row r="539" spans="1:6" ht="22.7" customHeight="1">
      <c r="A539" s="28"/>
      <c r="B539" s="29" t="str">
        <f>IFERROR(VLOOKUP(A539,Tabla1[],2,0)," ")</f>
        <v xml:space="preserve"> </v>
      </c>
      <c r="C539" s="29" t="str">
        <f>IFERROR(VLOOKUP(A539,Tabla1[],6,0)," ")</f>
        <v xml:space="preserve"> </v>
      </c>
      <c r="D539" s="30" t="str">
        <f>IFERROR(VLOOKUP(A539,Tabla1[],8,0)," ")</f>
        <v xml:space="preserve"> </v>
      </c>
      <c r="E539" s="31"/>
      <c r="F539" s="30" t="str">
        <f t="shared" si="9"/>
        <v xml:space="preserve"> </v>
      </c>
    </row>
    <row r="540" spans="1:6" ht="22.7" customHeight="1">
      <c r="A540" s="28"/>
      <c r="B540" s="29" t="str">
        <f>IFERROR(VLOOKUP(A540,Tabla1[],2,0)," ")</f>
        <v xml:space="preserve"> </v>
      </c>
      <c r="C540" s="29" t="str">
        <f>IFERROR(VLOOKUP(A540,Tabla1[],6,0)," ")</f>
        <v xml:space="preserve"> </v>
      </c>
      <c r="D540" s="30" t="str">
        <f>IFERROR(VLOOKUP(A540,Tabla1[],8,0)," ")</f>
        <v xml:space="preserve"> </v>
      </c>
      <c r="E540" s="31"/>
      <c r="F540" s="30" t="str">
        <f t="shared" si="9"/>
        <v xml:space="preserve"> </v>
      </c>
    </row>
    <row r="541" spans="1:6" ht="22.7" customHeight="1">
      <c r="A541" s="28"/>
      <c r="B541" s="29" t="str">
        <f>IFERROR(VLOOKUP(A541,Tabla1[],2,0)," ")</f>
        <v xml:space="preserve"> </v>
      </c>
      <c r="C541" s="29" t="str">
        <f>IFERROR(VLOOKUP(A541,Tabla1[],6,0)," ")</f>
        <v xml:space="preserve"> </v>
      </c>
      <c r="D541" s="30" t="str">
        <f>IFERROR(VLOOKUP(A541,Tabla1[],8,0)," ")</f>
        <v xml:space="preserve"> </v>
      </c>
      <c r="E541" s="31"/>
      <c r="F541" s="30" t="str">
        <f t="shared" si="9"/>
        <v xml:space="preserve"> </v>
      </c>
    </row>
    <row r="542" spans="1:6" ht="22.7" customHeight="1">
      <c r="A542" s="28"/>
      <c r="B542" s="29" t="str">
        <f>IFERROR(VLOOKUP(A542,Tabla1[],2,0)," ")</f>
        <v xml:space="preserve"> </v>
      </c>
      <c r="C542" s="29" t="str">
        <f>IFERROR(VLOOKUP(A542,Tabla1[],6,0)," ")</f>
        <v xml:space="preserve"> </v>
      </c>
      <c r="D542" s="30" t="str">
        <f>IFERROR(VLOOKUP(A542,Tabla1[],8,0)," ")</f>
        <v xml:space="preserve"> </v>
      </c>
      <c r="E542" s="31"/>
      <c r="F542" s="30" t="str">
        <f t="shared" si="9"/>
        <v xml:space="preserve"> </v>
      </c>
    </row>
    <row r="543" spans="1:6" ht="22.7" customHeight="1">
      <c r="A543" s="28"/>
      <c r="B543" s="29" t="str">
        <f>IFERROR(VLOOKUP(A543,Tabla1[],2,0)," ")</f>
        <v xml:space="preserve"> </v>
      </c>
      <c r="C543" s="29" t="str">
        <f>IFERROR(VLOOKUP(A543,Tabla1[],6,0)," ")</f>
        <v xml:space="preserve"> </v>
      </c>
      <c r="D543" s="30" t="str">
        <f>IFERROR(VLOOKUP(A543,Tabla1[],8,0)," ")</f>
        <v xml:space="preserve"> </v>
      </c>
      <c r="E543" s="31"/>
      <c r="F543" s="30" t="str">
        <f t="shared" si="9"/>
        <v xml:space="preserve"> </v>
      </c>
    </row>
    <row r="544" spans="1:6" ht="22.7" customHeight="1">
      <c r="A544" s="28"/>
      <c r="B544" s="29" t="str">
        <f>IFERROR(VLOOKUP(A544,Tabla1[],2,0)," ")</f>
        <v xml:space="preserve"> </v>
      </c>
      <c r="C544" s="29" t="str">
        <f>IFERROR(VLOOKUP(A544,Tabla1[],6,0)," ")</f>
        <v xml:space="preserve"> </v>
      </c>
      <c r="D544" s="30" t="str">
        <f>IFERROR(VLOOKUP(A544,Tabla1[],8,0)," ")</f>
        <v xml:space="preserve"> </v>
      </c>
      <c r="E544" s="31"/>
      <c r="F544" s="30" t="str">
        <f t="shared" si="9"/>
        <v xml:space="preserve"> </v>
      </c>
    </row>
    <row r="545" spans="1:6" ht="22.7" customHeight="1">
      <c r="A545" s="28"/>
      <c r="B545" s="29" t="str">
        <f>IFERROR(VLOOKUP(A545,Tabla1[],2,0)," ")</f>
        <v xml:space="preserve"> </v>
      </c>
      <c r="C545" s="29" t="str">
        <f>IFERROR(VLOOKUP(A545,Tabla1[],6,0)," ")</f>
        <v xml:space="preserve"> </v>
      </c>
      <c r="D545" s="30" t="str">
        <f>IFERROR(VLOOKUP(A545,Tabla1[],8,0)," ")</f>
        <v xml:space="preserve"> </v>
      </c>
      <c r="E545" s="31"/>
      <c r="F545" s="30" t="str">
        <f t="shared" si="9"/>
        <v xml:space="preserve"> </v>
      </c>
    </row>
    <row r="546" spans="1:6" ht="22.7" customHeight="1">
      <c r="A546" s="28"/>
      <c r="B546" s="29" t="str">
        <f>IFERROR(VLOOKUP(A546,Tabla1[],2,0)," ")</f>
        <v xml:space="preserve"> </v>
      </c>
      <c r="C546" s="29" t="str">
        <f>IFERROR(VLOOKUP(A546,Tabla1[],6,0)," ")</f>
        <v xml:space="preserve"> </v>
      </c>
      <c r="D546" s="30" t="str">
        <f>IFERROR(VLOOKUP(A546,Tabla1[],8,0)," ")</f>
        <v xml:space="preserve"> </v>
      </c>
      <c r="E546" s="31"/>
      <c r="F546" s="30" t="str">
        <f t="shared" si="9"/>
        <v xml:space="preserve"> </v>
      </c>
    </row>
    <row r="547" spans="1:6" ht="22.7" customHeight="1">
      <c r="A547" s="28"/>
      <c r="B547" s="29" t="str">
        <f>IFERROR(VLOOKUP(A547,Tabla1[],2,0)," ")</f>
        <v xml:space="preserve"> </v>
      </c>
      <c r="C547" s="29" t="str">
        <f>IFERROR(VLOOKUP(A547,Tabla1[],6,0)," ")</f>
        <v xml:space="preserve"> </v>
      </c>
      <c r="D547" s="30" t="str">
        <f>IFERROR(VLOOKUP(A547,Tabla1[],8,0)," ")</f>
        <v xml:space="preserve"> </v>
      </c>
      <c r="E547" s="31"/>
      <c r="F547" s="30" t="str">
        <f t="shared" si="9"/>
        <v xml:space="preserve"> </v>
      </c>
    </row>
    <row r="548" spans="1:6" ht="22.7" customHeight="1">
      <c r="A548" s="28"/>
      <c r="B548" s="29" t="str">
        <f>IFERROR(VLOOKUP(A548,Tabla1[],2,0)," ")</f>
        <v xml:space="preserve"> </v>
      </c>
      <c r="C548" s="29" t="str">
        <f>IFERROR(VLOOKUP(A548,Tabla1[],6,0)," ")</f>
        <v xml:space="preserve"> </v>
      </c>
      <c r="D548" s="30" t="str">
        <f>IFERROR(VLOOKUP(A548,Tabla1[],8,0)," ")</f>
        <v xml:space="preserve"> </v>
      </c>
      <c r="E548" s="31"/>
      <c r="F548" s="30" t="str">
        <f t="shared" si="9"/>
        <v xml:space="preserve"> </v>
      </c>
    </row>
    <row r="549" spans="1:6" ht="22.7" customHeight="1">
      <c r="A549" s="28"/>
      <c r="B549" s="29" t="str">
        <f>IFERROR(VLOOKUP(A549,Tabla1[],2,0)," ")</f>
        <v xml:space="preserve"> </v>
      </c>
      <c r="C549" s="29" t="str">
        <f>IFERROR(VLOOKUP(A549,Tabla1[],6,0)," ")</f>
        <v xml:space="preserve"> </v>
      </c>
      <c r="D549" s="30" t="str">
        <f>IFERROR(VLOOKUP(A549,Tabla1[],8,0)," ")</f>
        <v xml:space="preserve"> </v>
      </c>
      <c r="E549" s="31"/>
      <c r="F549" s="30" t="str">
        <f t="shared" si="9"/>
        <v xml:space="preserve"> </v>
      </c>
    </row>
    <row r="550" spans="1:6" ht="22.7" customHeight="1">
      <c r="A550" s="28"/>
      <c r="B550" s="29" t="str">
        <f>IFERROR(VLOOKUP(A550,Tabla1[],2,0)," ")</f>
        <v xml:space="preserve"> </v>
      </c>
      <c r="C550" s="29" t="str">
        <f>IFERROR(VLOOKUP(A550,Tabla1[],6,0)," ")</f>
        <v xml:space="preserve"> </v>
      </c>
      <c r="D550" s="30" t="str">
        <f>IFERROR(VLOOKUP(A550,Tabla1[],8,0)," ")</f>
        <v xml:space="preserve"> </v>
      </c>
      <c r="E550" s="31"/>
      <c r="F550" s="30" t="str">
        <f t="shared" si="9"/>
        <v xml:space="preserve"> </v>
      </c>
    </row>
    <row r="551" spans="1:6" ht="22.7" customHeight="1">
      <c r="A551" s="28"/>
      <c r="B551" s="29" t="str">
        <f>IFERROR(VLOOKUP(A551,Tabla1[],2,0)," ")</f>
        <v xml:space="preserve"> </v>
      </c>
      <c r="C551" s="29" t="str">
        <f>IFERROR(VLOOKUP(A551,Tabla1[],6,0)," ")</f>
        <v xml:space="preserve"> </v>
      </c>
      <c r="D551" s="30" t="str">
        <f>IFERROR(VLOOKUP(A551,Tabla1[],8,0)," ")</f>
        <v xml:space="preserve"> </v>
      </c>
      <c r="E551" s="31"/>
      <c r="F551" s="30" t="str">
        <f t="shared" si="9"/>
        <v xml:space="preserve"> </v>
      </c>
    </row>
    <row r="552" spans="1:6" ht="22.7" customHeight="1">
      <c r="A552" s="28"/>
      <c r="B552" s="29" t="str">
        <f>IFERROR(VLOOKUP(A552,Tabla1[],2,0)," ")</f>
        <v xml:space="preserve"> </v>
      </c>
      <c r="C552" s="29" t="str">
        <f>IFERROR(VLOOKUP(A552,Tabla1[],6,0)," ")</f>
        <v xml:space="preserve"> </v>
      </c>
      <c r="D552" s="30" t="str">
        <f>IFERROR(VLOOKUP(A552,Tabla1[],8,0)," ")</f>
        <v xml:space="preserve"> </v>
      </c>
      <c r="E552" s="31"/>
      <c r="F552" s="30" t="str">
        <f t="shared" si="9"/>
        <v xml:space="preserve"> </v>
      </c>
    </row>
    <row r="553" spans="1:6" ht="22.7" customHeight="1">
      <c r="A553" s="28"/>
      <c r="B553" s="29" t="str">
        <f>IFERROR(VLOOKUP(A553,Tabla1[],2,0)," ")</f>
        <v xml:space="preserve"> </v>
      </c>
      <c r="C553" s="29" t="str">
        <f>IFERROR(VLOOKUP(A553,Tabla1[],6,0)," ")</f>
        <v xml:space="preserve"> </v>
      </c>
      <c r="D553" s="30" t="str">
        <f>IFERROR(VLOOKUP(A553,Tabla1[],8,0)," ")</f>
        <v xml:space="preserve"> </v>
      </c>
      <c r="E553" s="31"/>
      <c r="F553" s="30" t="str">
        <f t="shared" si="9"/>
        <v xml:space="preserve"> </v>
      </c>
    </row>
    <row r="554" spans="1:6" ht="22.7" customHeight="1">
      <c r="A554" s="28"/>
      <c r="B554" s="29" t="str">
        <f>IFERROR(VLOOKUP(A554,Tabla1[],2,0)," ")</f>
        <v xml:space="preserve"> </v>
      </c>
      <c r="C554" s="29" t="str">
        <f>IFERROR(VLOOKUP(A554,Tabla1[],6,0)," ")</f>
        <v xml:space="preserve"> </v>
      </c>
      <c r="D554" s="30" t="str">
        <f>IFERROR(VLOOKUP(A554,Tabla1[],8,0)," ")</f>
        <v xml:space="preserve"> </v>
      </c>
      <c r="E554" s="31"/>
      <c r="F554" s="30" t="str">
        <f t="shared" si="9"/>
        <v xml:space="preserve"> </v>
      </c>
    </row>
    <row r="555" spans="1:6" ht="22.7" customHeight="1">
      <c r="A555" s="28"/>
      <c r="B555" s="29" t="str">
        <f>IFERROR(VLOOKUP(A555,Tabla1[],2,0)," ")</f>
        <v xml:space="preserve"> </v>
      </c>
      <c r="C555" s="29" t="str">
        <f>IFERROR(VLOOKUP(A555,Tabla1[],6,0)," ")</f>
        <v xml:space="preserve"> </v>
      </c>
      <c r="D555" s="30" t="str">
        <f>IFERROR(VLOOKUP(A555,Tabla1[],8,0)," ")</f>
        <v xml:space="preserve"> </v>
      </c>
      <c r="E555" s="31"/>
      <c r="F555" s="30" t="str">
        <f t="shared" si="9"/>
        <v xml:space="preserve"> </v>
      </c>
    </row>
    <row r="556" spans="1:6" ht="22.7" customHeight="1">
      <c r="A556" s="28"/>
      <c r="B556" s="29" t="str">
        <f>IFERROR(VLOOKUP(A556,Tabla1[],2,0)," ")</f>
        <v xml:space="preserve"> </v>
      </c>
      <c r="C556" s="29" t="str">
        <f>IFERROR(VLOOKUP(A556,Tabla1[],6,0)," ")</f>
        <v xml:space="preserve"> </v>
      </c>
      <c r="D556" s="30" t="str">
        <f>IFERROR(VLOOKUP(A556,Tabla1[],8,0)," ")</f>
        <v xml:space="preserve"> </v>
      </c>
      <c r="E556" s="31"/>
      <c r="F556" s="30" t="str">
        <f t="shared" si="9"/>
        <v xml:space="preserve"> </v>
      </c>
    </row>
    <row r="557" spans="1:6" ht="22.7" customHeight="1">
      <c r="A557" s="28"/>
      <c r="B557" s="29" t="str">
        <f>IFERROR(VLOOKUP(A557,Tabla1[],2,0)," ")</f>
        <v xml:space="preserve"> </v>
      </c>
      <c r="C557" s="29" t="str">
        <f>IFERROR(VLOOKUP(A557,Tabla1[],6,0)," ")</f>
        <v xml:space="preserve"> </v>
      </c>
      <c r="D557" s="30" t="str">
        <f>IFERROR(VLOOKUP(A557,Tabla1[],8,0)," ")</f>
        <v xml:space="preserve"> </v>
      </c>
      <c r="E557" s="31"/>
      <c r="F557" s="30" t="str">
        <f t="shared" si="9"/>
        <v xml:space="preserve"> </v>
      </c>
    </row>
    <row r="558" spans="1:6" ht="22.7" customHeight="1">
      <c r="A558" s="28"/>
      <c r="B558" s="29" t="str">
        <f>IFERROR(VLOOKUP(A558,Tabla1[],2,0)," ")</f>
        <v xml:space="preserve"> </v>
      </c>
      <c r="C558" s="29" t="str">
        <f>IFERROR(VLOOKUP(A558,Tabla1[],6,0)," ")</f>
        <v xml:space="preserve"> </v>
      </c>
      <c r="D558" s="30" t="str">
        <f>IFERROR(VLOOKUP(A558,Tabla1[],8,0)," ")</f>
        <v xml:space="preserve"> </v>
      </c>
      <c r="E558" s="31"/>
      <c r="F558" s="30" t="str">
        <f t="shared" si="9"/>
        <v xml:space="preserve"> </v>
      </c>
    </row>
    <row r="559" spans="1:6" ht="22.7" customHeight="1">
      <c r="A559" s="28"/>
      <c r="B559" s="29" t="str">
        <f>IFERROR(VLOOKUP(A559,Tabla1[],2,0)," ")</f>
        <v xml:space="preserve"> </v>
      </c>
      <c r="C559" s="29" t="str">
        <f>IFERROR(VLOOKUP(A559,Tabla1[],6,0)," ")</f>
        <v xml:space="preserve"> </v>
      </c>
      <c r="D559" s="30" t="str">
        <f>IFERROR(VLOOKUP(A559,Tabla1[],8,0)," ")</f>
        <v xml:space="preserve"> </v>
      </c>
      <c r="E559" s="31"/>
      <c r="F559" s="30" t="str">
        <f t="shared" si="9"/>
        <v xml:space="preserve"> </v>
      </c>
    </row>
    <row r="560" spans="1:6" ht="22.7" customHeight="1">
      <c r="A560" s="28"/>
      <c r="B560" s="29" t="str">
        <f>IFERROR(VLOOKUP(A560,Tabla1[],2,0)," ")</f>
        <v xml:space="preserve"> </v>
      </c>
      <c r="C560" s="29" t="str">
        <f>IFERROR(VLOOKUP(A560,Tabla1[],6,0)," ")</f>
        <v xml:space="preserve"> </v>
      </c>
      <c r="D560" s="30" t="str">
        <f>IFERROR(VLOOKUP(A560,Tabla1[],8,0)," ")</f>
        <v xml:space="preserve"> </v>
      </c>
      <c r="E560" s="31"/>
      <c r="F560" s="30" t="str">
        <f t="shared" si="9"/>
        <v xml:space="preserve"> </v>
      </c>
    </row>
    <row r="561" spans="1:6" ht="22.7" customHeight="1">
      <c r="A561" s="28"/>
      <c r="B561" s="29" t="str">
        <f>IFERROR(VLOOKUP(A561,Tabla1[],2,0)," ")</f>
        <v xml:space="preserve"> </v>
      </c>
      <c r="C561" s="29" t="str">
        <f>IFERROR(VLOOKUP(A561,Tabla1[],6,0)," ")</f>
        <v xml:space="preserve"> </v>
      </c>
      <c r="D561" s="30" t="str">
        <f>IFERROR(VLOOKUP(A561,Tabla1[],8,0)," ")</f>
        <v xml:space="preserve"> </v>
      </c>
      <c r="E561" s="31"/>
      <c r="F561" s="30" t="str">
        <f t="shared" si="9"/>
        <v xml:space="preserve"> </v>
      </c>
    </row>
    <row r="562" spans="1:6" ht="22.7" customHeight="1">
      <c r="A562" s="28"/>
      <c r="B562" s="29" t="str">
        <f>IFERROR(VLOOKUP(A562,Tabla1[],2,0)," ")</f>
        <v xml:space="preserve"> </v>
      </c>
      <c r="C562" s="29" t="str">
        <f>IFERROR(VLOOKUP(A562,Tabla1[],6,0)," ")</f>
        <v xml:space="preserve"> </v>
      </c>
      <c r="D562" s="30" t="str">
        <f>IFERROR(VLOOKUP(A562,Tabla1[],8,0)," ")</f>
        <v xml:space="preserve"> </v>
      </c>
      <c r="E562" s="31"/>
      <c r="F562" s="30" t="str">
        <f t="shared" si="9"/>
        <v xml:space="preserve"> </v>
      </c>
    </row>
    <row r="563" spans="1:6" ht="22.7" customHeight="1">
      <c r="A563" s="28"/>
      <c r="B563" s="29" t="str">
        <f>IFERROR(VLOOKUP(A563,Tabla1[],2,0)," ")</f>
        <v xml:space="preserve"> </v>
      </c>
      <c r="C563" s="29" t="str">
        <f>IFERROR(VLOOKUP(A563,Tabla1[],6,0)," ")</f>
        <v xml:space="preserve"> </v>
      </c>
      <c r="D563" s="30" t="str">
        <f>IFERROR(VLOOKUP(A563,Tabla1[],8,0)," ")</f>
        <v xml:space="preserve"> </v>
      </c>
      <c r="E563" s="31"/>
      <c r="F563" s="30" t="str">
        <f t="shared" si="9"/>
        <v xml:space="preserve"> </v>
      </c>
    </row>
    <row r="564" spans="1:6" ht="22.7" customHeight="1">
      <c r="A564" s="28"/>
      <c r="B564" s="29" t="str">
        <f>IFERROR(VLOOKUP(A564,Tabla1[],2,0)," ")</f>
        <v xml:space="preserve"> </v>
      </c>
      <c r="C564" s="29" t="str">
        <f>IFERROR(VLOOKUP(A564,Tabla1[],6,0)," ")</f>
        <v xml:space="preserve"> </v>
      </c>
      <c r="D564" s="30" t="str">
        <f>IFERROR(VLOOKUP(A564,Tabla1[],8,0)," ")</f>
        <v xml:space="preserve"> </v>
      </c>
      <c r="E564" s="31"/>
      <c r="F564" s="30" t="str">
        <f t="shared" si="9"/>
        <v xml:space="preserve"> </v>
      </c>
    </row>
    <row r="565" spans="1:6" ht="22.7" customHeight="1">
      <c r="A565" s="28"/>
      <c r="B565" s="29" t="str">
        <f>IFERROR(VLOOKUP(A565,Tabla1[],2,0)," ")</f>
        <v xml:space="preserve"> </v>
      </c>
      <c r="C565" s="29" t="str">
        <f>IFERROR(VLOOKUP(A565,Tabla1[],6,0)," ")</f>
        <v xml:space="preserve"> </v>
      </c>
      <c r="D565" s="30" t="str">
        <f>IFERROR(VLOOKUP(A565,Tabla1[],8,0)," ")</f>
        <v xml:space="preserve"> </v>
      </c>
      <c r="E565" s="31"/>
      <c r="F565" s="30" t="str">
        <f t="shared" si="9"/>
        <v xml:space="preserve"> </v>
      </c>
    </row>
    <row r="566" spans="1:6" ht="22.7" customHeight="1">
      <c r="A566" s="28"/>
      <c r="B566" s="29" t="str">
        <f>IFERROR(VLOOKUP(A566,Tabla1[],2,0)," ")</f>
        <v xml:space="preserve"> </v>
      </c>
      <c r="C566" s="29" t="str">
        <f>IFERROR(VLOOKUP(A566,Tabla1[],6,0)," ")</f>
        <v xml:space="preserve"> </v>
      </c>
      <c r="D566" s="30" t="str">
        <f>IFERROR(VLOOKUP(A566,Tabla1[],8,0)," ")</f>
        <v xml:space="preserve"> </v>
      </c>
      <c r="E566" s="31"/>
      <c r="F566" s="30" t="str">
        <f t="shared" si="9"/>
        <v xml:space="preserve"> </v>
      </c>
    </row>
    <row r="567" spans="1:6" ht="22.7" customHeight="1">
      <c r="A567" s="28"/>
      <c r="B567" s="29" t="str">
        <f>IFERROR(VLOOKUP(A567,Tabla1[],2,0)," ")</f>
        <v xml:space="preserve"> </v>
      </c>
      <c r="C567" s="29" t="str">
        <f>IFERROR(VLOOKUP(A567,Tabla1[],6,0)," ")</f>
        <v xml:space="preserve"> </v>
      </c>
      <c r="D567" s="30" t="str">
        <f>IFERROR(VLOOKUP(A567,Tabla1[],8,0)," ")</f>
        <v xml:space="preserve"> </v>
      </c>
      <c r="E567" s="31"/>
      <c r="F567" s="30" t="str">
        <f t="shared" si="9"/>
        <v xml:space="preserve"> </v>
      </c>
    </row>
    <row r="568" spans="1:6" ht="22.7" customHeight="1">
      <c r="A568" s="28"/>
      <c r="B568" s="29" t="str">
        <f>IFERROR(VLOOKUP(A568,Tabla1[],2,0)," ")</f>
        <v xml:space="preserve"> </v>
      </c>
      <c r="C568" s="29" t="str">
        <f>IFERROR(VLOOKUP(A568,Tabla1[],6,0)," ")</f>
        <v xml:space="preserve"> </v>
      </c>
      <c r="D568" s="30" t="str">
        <f>IFERROR(VLOOKUP(A568,Tabla1[],8,0)," ")</f>
        <v xml:space="preserve"> </v>
      </c>
      <c r="E568" s="31"/>
      <c r="F568" s="30" t="str">
        <f t="shared" si="9"/>
        <v xml:space="preserve"> </v>
      </c>
    </row>
    <row r="569" spans="1:6" ht="22.7" customHeight="1">
      <c r="A569" s="28"/>
      <c r="B569" s="29" t="str">
        <f>IFERROR(VLOOKUP(A569,Tabla1[],2,0)," ")</f>
        <v xml:space="preserve"> </v>
      </c>
      <c r="C569" s="29" t="str">
        <f>IFERROR(VLOOKUP(A569,Tabla1[],6,0)," ")</f>
        <v xml:space="preserve"> </v>
      </c>
      <c r="D569" s="30" t="str">
        <f>IFERROR(VLOOKUP(A569,Tabla1[],8,0)," ")</f>
        <v xml:space="preserve"> </v>
      </c>
      <c r="E569" s="31"/>
      <c r="F569" s="30" t="str">
        <f t="shared" si="9"/>
        <v xml:space="preserve"> </v>
      </c>
    </row>
    <row r="570" spans="1:6" ht="22.7" customHeight="1">
      <c r="A570" s="28"/>
      <c r="B570" s="29" t="str">
        <f>IFERROR(VLOOKUP(A570,Tabla1[],2,0)," ")</f>
        <v xml:space="preserve"> </v>
      </c>
      <c r="C570" s="29" t="str">
        <f>IFERROR(VLOOKUP(A570,Tabla1[],6,0)," ")</f>
        <v xml:space="preserve"> </v>
      </c>
      <c r="D570" s="30" t="str">
        <f>IFERROR(VLOOKUP(A570,Tabla1[],8,0)," ")</f>
        <v xml:space="preserve"> </v>
      </c>
      <c r="E570" s="31"/>
      <c r="F570" s="30" t="str">
        <f t="shared" si="9"/>
        <v xml:space="preserve"> </v>
      </c>
    </row>
    <row r="571" spans="1:6" ht="22.7" customHeight="1">
      <c r="A571" s="28"/>
      <c r="B571" s="29" t="str">
        <f>IFERROR(VLOOKUP(A571,Tabla1[],2,0)," ")</f>
        <v xml:space="preserve"> </v>
      </c>
      <c r="C571" s="29" t="str">
        <f>IFERROR(VLOOKUP(A571,Tabla1[],6,0)," ")</f>
        <v xml:space="preserve"> </v>
      </c>
      <c r="D571" s="30" t="str">
        <f>IFERROR(VLOOKUP(A571,Tabla1[],8,0)," ")</f>
        <v xml:space="preserve"> </v>
      </c>
      <c r="E571" s="31"/>
      <c r="F571" s="30" t="str">
        <f t="shared" si="9"/>
        <v xml:space="preserve"> </v>
      </c>
    </row>
    <row r="572" spans="1:6" ht="22.7" customHeight="1">
      <c r="A572" s="28"/>
      <c r="B572" s="29" t="str">
        <f>IFERROR(VLOOKUP(A572,Tabla1[],2,0)," ")</f>
        <v xml:space="preserve"> </v>
      </c>
      <c r="C572" s="29" t="str">
        <f>IFERROR(VLOOKUP(A572,Tabla1[],6,0)," ")</f>
        <v xml:space="preserve"> </v>
      </c>
      <c r="D572" s="30" t="str">
        <f>IFERROR(VLOOKUP(A572,Tabla1[],8,0)," ")</f>
        <v xml:space="preserve"> </v>
      </c>
      <c r="E572" s="31"/>
      <c r="F572" s="30" t="str">
        <f t="shared" si="9"/>
        <v xml:space="preserve"> </v>
      </c>
    </row>
    <row r="573" spans="1:6" ht="22.7" customHeight="1">
      <c r="A573" s="28"/>
      <c r="B573" s="29" t="str">
        <f>IFERROR(VLOOKUP(A573,Tabla1[],2,0)," ")</f>
        <v xml:space="preserve"> </v>
      </c>
      <c r="C573" s="29" t="str">
        <f>IFERROR(VLOOKUP(A573,Tabla1[],6,0)," ")</f>
        <v xml:space="preserve"> </v>
      </c>
      <c r="D573" s="30" t="str">
        <f>IFERROR(VLOOKUP(A573,Tabla1[],8,0)," ")</f>
        <v xml:space="preserve"> </v>
      </c>
      <c r="E573" s="31"/>
      <c r="F573" s="30" t="str">
        <f t="shared" si="9"/>
        <v xml:space="preserve"> </v>
      </c>
    </row>
    <row r="574" spans="1:6" ht="22.7" customHeight="1">
      <c r="A574" s="28"/>
      <c r="B574" s="29" t="str">
        <f>IFERROR(VLOOKUP(A574,Tabla1[],2,0)," ")</f>
        <v xml:space="preserve"> </v>
      </c>
      <c r="C574" s="29" t="str">
        <f>IFERROR(VLOOKUP(A574,Tabla1[],6,0)," ")</f>
        <v xml:space="preserve"> </v>
      </c>
      <c r="D574" s="30" t="str">
        <f>IFERROR(VLOOKUP(A574,Tabla1[],8,0)," ")</f>
        <v xml:space="preserve"> </v>
      </c>
      <c r="E574" s="31"/>
      <c r="F574" s="30" t="str">
        <f t="shared" si="9"/>
        <v xml:space="preserve"> </v>
      </c>
    </row>
    <row r="575" spans="1:6" ht="22.7" customHeight="1">
      <c r="A575" s="28"/>
      <c r="B575" s="29" t="str">
        <f>IFERROR(VLOOKUP(A575,Tabla1[],2,0)," ")</f>
        <v xml:space="preserve"> </v>
      </c>
      <c r="C575" s="29" t="str">
        <f>IFERROR(VLOOKUP(A575,Tabla1[],6,0)," ")</f>
        <v xml:space="preserve"> </v>
      </c>
      <c r="D575" s="30" t="str">
        <f>IFERROR(VLOOKUP(A575,Tabla1[],8,0)," ")</f>
        <v xml:space="preserve"> </v>
      </c>
      <c r="E575" s="31"/>
      <c r="F575" s="30" t="str">
        <f t="shared" si="9"/>
        <v xml:space="preserve"> </v>
      </c>
    </row>
    <row r="576" spans="1:6" ht="22.7" customHeight="1">
      <c r="A576" s="28"/>
      <c r="B576" s="29" t="str">
        <f>IFERROR(VLOOKUP(A576,Tabla1[],2,0)," ")</f>
        <v xml:space="preserve"> </v>
      </c>
      <c r="C576" s="29" t="str">
        <f>IFERROR(VLOOKUP(A576,Tabla1[],6,0)," ")</f>
        <v xml:space="preserve"> </v>
      </c>
      <c r="D576" s="30" t="str">
        <f>IFERROR(VLOOKUP(A576,Tabla1[],8,0)," ")</f>
        <v xml:space="preserve"> </v>
      </c>
      <c r="E576" s="31"/>
      <c r="F576" s="30" t="str">
        <f t="shared" si="9"/>
        <v xml:space="preserve"> </v>
      </c>
    </row>
    <row r="577" spans="1:6" ht="22.7" customHeight="1">
      <c r="A577" s="28"/>
      <c r="B577" s="29" t="str">
        <f>IFERROR(VLOOKUP(A577,Tabla1[],2,0)," ")</f>
        <v xml:space="preserve"> </v>
      </c>
      <c r="C577" s="29" t="str">
        <f>IFERROR(VLOOKUP(A577,Tabla1[],6,0)," ")</f>
        <v xml:space="preserve"> </v>
      </c>
      <c r="D577" s="30" t="str">
        <f>IFERROR(VLOOKUP(A577,Tabla1[],8,0)," ")</f>
        <v xml:space="preserve"> </v>
      </c>
      <c r="E577" s="31"/>
      <c r="F577" s="30" t="str">
        <f t="shared" si="9"/>
        <v xml:space="preserve"> </v>
      </c>
    </row>
    <row r="578" spans="1:6" ht="22.7" customHeight="1">
      <c r="A578" s="28"/>
      <c r="B578" s="29" t="str">
        <f>IFERROR(VLOOKUP(A578,Tabla1[],2,0)," ")</f>
        <v xml:space="preserve"> </v>
      </c>
      <c r="C578" s="29" t="str">
        <f>IFERROR(VLOOKUP(A578,Tabla1[],6,0)," ")</f>
        <v xml:space="preserve"> </v>
      </c>
      <c r="D578" s="30" t="str">
        <f>IFERROR(VLOOKUP(A578,Tabla1[],8,0)," ")</f>
        <v xml:space="preserve"> </v>
      </c>
      <c r="E578" s="31"/>
      <c r="F578" s="30" t="str">
        <f t="shared" si="9"/>
        <v xml:space="preserve"> </v>
      </c>
    </row>
    <row r="579" spans="1:6" ht="22.7" customHeight="1">
      <c r="A579" s="28"/>
      <c r="B579" s="29" t="str">
        <f>IFERROR(VLOOKUP(A579,Tabla1[],2,0)," ")</f>
        <v xml:space="preserve"> </v>
      </c>
      <c r="C579" s="29" t="str">
        <f>IFERROR(VLOOKUP(A579,Tabla1[],6,0)," ")</f>
        <v xml:space="preserve"> </v>
      </c>
      <c r="D579" s="30" t="str">
        <f>IFERROR(VLOOKUP(A579,Tabla1[],8,0)," ")</f>
        <v xml:space="preserve"> </v>
      </c>
      <c r="E579" s="31"/>
      <c r="F579" s="30" t="str">
        <f t="shared" si="9"/>
        <v xml:space="preserve"> </v>
      </c>
    </row>
    <row r="580" spans="1:6" ht="22.7" customHeight="1">
      <c r="A580" s="28"/>
      <c r="B580" s="29" t="str">
        <f>IFERROR(VLOOKUP(A580,Tabla1[],2,0)," ")</f>
        <v xml:space="preserve"> </v>
      </c>
      <c r="C580" s="29" t="str">
        <f>IFERROR(VLOOKUP(A580,Tabla1[],6,0)," ")</f>
        <v xml:space="preserve"> </v>
      </c>
      <c r="D580" s="30" t="str">
        <f>IFERROR(VLOOKUP(A580,Tabla1[],8,0)," ")</f>
        <v xml:space="preserve"> </v>
      </c>
      <c r="E580" s="31"/>
      <c r="F580" s="30" t="str">
        <f t="shared" ref="F580:F643" si="10">IFERROR((E580*D580), " ")</f>
        <v xml:space="preserve"> </v>
      </c>
    </row>
    <row r="581" spans="1:6" ht="22.7" customHeight="1">
      <c r="A581" s="28"/>
      <c r="B581" s="29" t="str">
        <f>IFERROR(VLOOKUP(A581,Tabla1[],2,0)," ")</f>
        <v xml:space="preserve"> </v>
      </c>
      <c r="C581" s="29" t="str">
        <f>IFERROR(VLOOKUP(A581,Tabla1[],6,0)," ")</f>
        <v xml:space="preserve"> </v>
      </c>
      <c r="D581" s="30" t="str">
        <f>IFERROR(VLOOKUP(A581,Tabla1[],8,0)," ")</f>
        <v xml:space="preserve"> </v>
      </c>
      <c r="E581" s="31"/>
      <c r="F581" s="30" t="str">
        <f t="shared" si="10"/>
        <v xml:space="preserve"> </v>
      </c>
    </row>
    <row r="582" spans="1:6" ht="22.7" customHeight="1">
      <c r="A582" s="28"/>
      <c r="B582" s="29" t="str">
        <f>IFERROR(VLOOKUP(A582,Tabla1[],2,0)," ")</f>
        <v xml:space="preserve"> </v>
      </c>
      <c r="C582" s="29" t="str">
        <f>IFERROR(VLOOKUP(A582,Tabla1[],6,0)," ")</f>
        <v xml:space="preserve"> </v>
      </c>
      <c r="D582" s="30" t="str">
        <f>IFERROR(VLOOKUP(A582,Tabla1[],8,0)," ")</f>
        <v xml:space="preserve"> </v>
      </c>
      <c r="E582" s="31"/>
      <c r="F582" s="30" t="str">
        <f t="shared" si="10"/>
        <v xml:space="preserve"> </v>
      </c>
    </row>
    <row r="583" spans="1:6" ht="22.7" customHeight="1">
      <c r="A583" s="28"/>
      <c r="B583" s="29" t="str">
        <f>IFERROR(VLOOKUP(A583,Tabla1[],2,0)," ")</f>
        <v xml:space="preserve"> </v>
      </c>
      <c r="C583" s="29" t="str">
        <f>IFERROR(VLOOKUP(A583,Tabla1[],6,0)," ")</f>
        <v xml:space="preserve"> </v>
      </c>
      <c r="D583" s="30" t="str">
        <f>IFERROR(VLOOKUP(A583,Tabla1[],8,0)," ")</f>
        <v xml:space="preserve"> </v>
      </c>
      <c r="E583" s="31"/>
      <c r="F583" s="30" t="str">
        <f t="shared" si="10"/>
        <v xml:space="preserve"> </v>
      </c>
    </row>
    <row r="584" spans="1:6" ht="22.7" customHeight="1">
      <c r="A584" s="28"/>
      <c r="B584" s="29" t="str">
        <f>IFERROR(VLOOKUP(A584,Tabla1[],2,0)," ")</f>
        <v xml:space="preserve"> </v>
      </c>
      <c r="C584" s="29" t="str">
        <f>IFERROR(VLOOKUP(A584,Tabla1[],6,0)," ")</f>
        <v xml:space="preserve"> </v>
      </c>
      <c r="D584" s="30" t="str">
        <f>IFERROR(VLOOKUP(A584,Tabla1[],8,0)," ")</f>
        <v xml:space="preserve"> </v>
      </c>
      <c r="E584" s="31"/>
      <c r="F584" s="30" t="str">
        <f t="shared" si="10"/>
        <v xml:space="preserve"> </v>
      </c>
    </row>
    <row r="585" spans="1:6" ht="22.7" customHeight="1">
      <c r="A585" s="28"/>
      <c r="B585" s="29" t="str">
        <f>IFERROR(VLOOKUP(A585,Tabla1[],2,0)," ")</f>
        <v xml:space="preserve"> </v>
      </c>
      <c r="C585" s="29" t="str">
        <f>IFERROR(VLOOKUP(A585,Tabla1[],6,0)," ")</f>
        <v xml:space="preserve"> </v>
      </c>
      <c r="D585" s="30" t="str">
        <f>IFERROR(VLOOKUP(A585,Tabla1[],8,0)," ")</f>
        <v xml:space="preserve"> </v>
      </c>
      <c r="E585" s="31"/>
      <c r="F585" s="30" t="str">
        <f t="shared" si="10"/>
        <v xml:space="preserve"> </v>
      </c>
    </row>
    <row r="586" spans="1:6" ht="22.7" customHeight="1">
      <c r="A586" s="28"/>
      <c r="B586" s="29" t="str">
        <f>IFERROR(VLOOKUP(A586,Tabla1[],2,0)," ")</f>
        <v xml:space="preserve"> </v>
      </c>
      <c r="C586" s="29" t="str">
        <f>IFERROR(VLOOKUP(A586,Tabla1[],6,0)," ")</f>
        <v xml:space="preserve"> </v>
      </c>
      <c r="D586" s="30" t="str">
        <f>IFERROR(VLOOKUP(A586,Tabla1[],8,0)," ")</f>
        <v xml:space="preserve"> </v>
      </c>
      <c r="E586" s="31"/>
      <c r="F586" s="30" t="str">
        <f t="shared" si="10"/>
        <v xml:space="preserve"> </v>
      </c>
    </row>
    <row r="587" spans="1:6" ht="22.7" customHeight="1">
      <c r="A587" s="28"/>
      <c r="B587" s="29" t="str">
        <f>IFERROR(VLOOKUP(A587,Tabla1[],2,0)," ")</f>
        <v xml:space="preserve"> </v>
      </c>
      <c r="C587" s="29" t="str">
        <f>IFERROR(VLOOKUP(A587,Tabla1[],6,0)," ")</f>
        <v xml:space="preserve"> </v>
      </c>
      <c r="D587" s="30" t="str">
        <f>IFERROR(VLOOKUP(A587,Tabla1[],8,0)," ")</f>
        <v xml:space="preserve"> </v>
      </c>
      <c r="E587" s="31"/>
      <c r="F587" s="30" t="str">
        <f t="shared" si="10"/>
        <v xml:space="preserve"> </v>
      </c>
    </row>
    <row r="588" spans="1:6" ht="22.7" customHeight="1">
      <c r="A588" s="28"/>
      <c r="B588" s="29" t="str">
        <f>IFERROR(VLOOKUP(A588,Tabla1[],2,0)," ")</f>
        <v xml:space="preserve"> </v>
      </c>
      <c r="C588" s="29" t="str">
        <f>IFERROR(VLOOKUP(A588,Tabla1[],6,0)," ")</f>
        <v xml:space="preserve"> </v>
      </c>
      <c r="D588" s="30" t="str">
        <f>IFERROR(VLOOKUP(A588,Tabla1[],8,0)," ")</f>
        <v xml:space="preserve"> </v>
      </c>
      <c r="E588" s="31"/>
      <c r="F588" s="30" t="str">
        <f t="shared" si="10"/>
        <v xml:space="preserve"> </v>
      </c>
    </row>
    <row r="589" spans="1:6" ht="22.7" customHeight="1">
      <c r="A589" s="28"/>
      <c r="B589" s="29" t="str">
        <f>IFERROR(VLOOKUP(A589,Tabla1[],2,0)," ")</f>
        <v xml:space="preserve"> </v>
      </c>
      <c r="C589" s="29" t="str">
        <f>IFERROR(VLOOKUP(A589,Tabla1[],6,0)," ")</f>
        <v xml:space="preserve"> </v>
      </c>
      <c r="D589" s="30" t="str">
        <f>IFERROR(VLOOKUP(A589,Tabla1[],8,0)," ")</f>
        <v xml:space="preserve"> </v>
      </c>
      <c r="E589" s="31"/>
      <c r="F589" s="30" t="str">
        <f t="shared" si="10"/>
        <v xml:space="preserve"> </v>
      </c>
    </row>
    <row r="590" spans="1:6" ht="22.7" customHeight="1">
      <c r="A590" s="28"/>
      <c r="B590" s="29" t="str">
        <f>IFERROR(VLOOKUP(A590,Tabla1[],2,0)," ")</f>
        <v xml:space="preserve"> </v>
      </c>
      <c r="C590" s="29" t="str">
        <f>IFERROR(VLOOKUP(A590,Tabla1[],6,0)," ")</f>
        <v xml:space="preserve"> </v>
      </c>
      <c r="D590" s="30" t="str">
        <f>IFERROR(VLOOKUP(A590,Tabla1[],8,0)," ")</f>
        <v xml:space="preserve"> </v>
      </c>
      <c r="E590" s="31"/>
      <c r="F590" s="30" t="str">
        <f t="shared" si="10"/>
        <v xml:space="preserve"> </v>
      </c>
    </row>
    <row r="591" spans="1:6" ht="22.7" customHeight="1">
      <c r="A591" s="28"/>
      <c r="B591" s="29" t="str">
        <f>IFERROR(VLOOKUP(A591,Tabla1[],2,0)," ")</f>
        <v xml:space="preserve"> </v>
      </c>
      <c r="C591" s="29" t="str">
        <f>IFERROR(VLOOKUP(A591,Tabla1[],6,0)," ")</f>
        <v xml:space="preserve"> </v>
      </c>
      <c r="D591" s="30" t="str">
        <f>IFERROR(VLOOKUP(A591,Tabla1[],8,0)," ")</f>
        <v xml:space="preserve"> </v>
      </c>
      <c r="E591" s="31"/>
      <c r="F591" s="30" t="str">
        <f t="shared" si="10"/>
        <v xml:space="preserve"> </v>
      </c>
    </row>
    <row r="592" spans="1:6" ht="22.7" customHeight="1">
      <c r="A592" s="28"/>
      <c r="B592" s="29" t="str">
        <f>IFERROR(VLOOKUP(A592,Tabla1[],2,0)," ")</f>
        <v xml:space="preserve"> </v>
      </c>
      <c r="C592" s="29" t="str">
        <f>IFERROR(VLOOKUP(A592,Tabla1[],6,0)," ")</f>
        <v xml:space="preserve"> </v>
      </c>
      <c r="D592" s="30" t="str">
        <f>IFERROR(VLOOKUP(A592,Tabla1[],8,0)," ")</f>
        <v xml:space="preserve"> </v>
      </c>
      <c r="E592" s="31"/>
      <c r="F592" s="30" t="str">
        <f t="shared" si="10"/>
        <v xml:space="preserve"> </v>
      </c>
    </row>
    <row r="593" spans="1:6" ht="22.7" customHeight="1">
      <c r="A593" s="28"/>
      <c r="B593" s="29" t="str">
        <f>IFERROR(VLOOKUP(A593,Tabla1[],2,0)," ")</f>
        <v xml:space="preserve"> </v>
      </c>
      <c r="C593" s="29" t="str">
        <f>IFERROR(VLOOKUP(A593,Tabla1[],6,0)," ")</f>
        <v xml:space="preserve"> </v>
      </c>
      <c r="D593" s="30" t="str">
        <f>IFERROR(VLOOKUP(A593,Tabla1[],8,0)," ")</f>
        <v xml:space="preserve"> </v>
      </c>
      <c r="E593" s="31"/>
      <c r="F593" s="30" t="str">
        <f t="shared" si="10"/>
        <v xml:space="preserve"> </v>
      </c>
    </row>
    <row r="594" spans="1:6" ht="22.7" customHeight="1">
      <c r="A594" s="28"/>
      <c r="B594" s="29" t="str">
        <f>IFERROR(VLOOKUP(A594,Tabla1[],2,0)," ")</f>
        <v xml:space="preserve"> </v>
      </c>
      <c r="C594" s="29" t="str">
        <f>IFERROR(VLOOKUP(A594,Tabla1[],6,0)," ")</f>
        <v xml:space="preserve"> </v>
      </c>
      <c r="D594" s="30" t="str">
        <f>IFERROR(VLOOKUP(A594,Tabla1[],8,0)," ")</f>
        <v xml:space="preserve"> </v>
      </c>
      <c r="E594" s="31"/>
      <c r="F594" s="30" t="str">
        <f t="shared" si="10"/>
        <v xml:space="preserve"> </v>
      </c>
    </row>
    <row r="595" spans="1:6" ht="22.7" customHeight="1">
      <c r="A595" s="28"/>
      <c r="B595" s="29" t="str">
        <f>IFERROR(VLOOKUP(A595,Tabla1[],2,0)," ")</f>
        <v xml:space="preserve"> </v>
      </c>
      <c r="C595" s="29" t="str">
        <f>IFERROR(VLOOKUP(A595,Tabla1[],6,0)," ")</f>
        <v xml:space="preserve"> </v>
      </c>
      <c r="D595" s="30" t="str">
        <f>IFERROR(VLOOKUP(A595,Tabla1[],8,0)," ")</f>
        <v xml:space="preserve"> </v>
      </c>
      <c r="E595" s="31"/>
      <c r="F595" s="30" t="str">
        <f t="shared" si="10"/>
        <v xml:space="preserve"> </v>
      </c>
    </row>
    <row r="596" spans="1:6" ht="22.7" customHeight="1">
      <c r="A596" s="28"/>
      <c r="B596" s="29" t="str">
        <f>IFERROR(VLOOKUP(A596,Tabla1[],2,0)," ")</f>
        <v xml:space="preserve"> </v>
      </c>
      <c r="C596" s="29" t="str">
        <f>IFERROR(VLOOKUP(A596,Tabla1[],6,0)," ")</f>
        <v xml:space="preserve"> </v>
      </c>
      <c r="D596" s="30" t="str">
        <f>IFERROR(VLOOKUP(A596,Tabla1[],8,0)," ")</f>
        <v xml:space="preserve"> </v>
      </c>
      <c r="E596" s="31"/>
      <c r="F596" s="30" t="str">
        <f t="shared" si="10"/>
        <v xml:space="preserve"> </v>
      </c>
    </row>
    <row r="597" spans="1:6" ht="22.7" customHeight="1">
      <c r="A597" s="28"/>
      <c r="B597" s="29" t="str">
        <f>IFERROR(VLOOKUP(A597,Tabla1[],2,0)," ")</f>
        <v xml:space="preserve"> </v>
      </c>
      <c r="C597" s="29" t="str">
        <f>IFERROR(VLOOKUP(A597,Tabla1[],6,0)," ")</f>
        <v xml:space="preserve"> </v>
      </c>
      <c r="D597" s="30" t="str">
        <f>IFERROR(VLOOKUP(A597,Tabla1[],8,0)," ")</f>
        <v xml:space="preserve"> </v>
      </c>
      <c r="E597" s="31"/>
      <c r="F597" s="30" t="str">
        <f t="shared" si="10"/>
        <v xml:space="preserve"> </v>
      </c>
    </row>
    <row r="598" spans="1:6" ht="22.7" customHeight="1">
      <c r="A598" s="28"/>
      <c r="B598" s="29" t="str">
        <f>IFERROR(VLOOKUP(A598,Tabla1[],2,0)," ")</f>
        <v xml:space="preserve"> </v>
      </c>
      <c r="C598" s="29" t="str">
        <f>IFERROR(VLOOKUP(A598,Tabla1[],6,0)," ")</f>
        <v xml:space="preserve"> </v>
      </c>
      <c r="D598" s="30" t="str">
        <f>IFERROR(VLOOKUP(A598,Tabla1[],8,0)," ")</f>
        <v xml:space="preserve"> </v>
      </c>
      <c r="E598" s="31"/>
      <c r="F598" s="30" t="str">
        <f t="shared" si="10"/>
        <v xml:space="preserve"> </v>
      </c>
    </row>
    <row r="599" spans="1:6" ht="22.7" customHeight="1">
      <c r="A599" s="28"/>
      <c r="B599" s="29" t="str">
        <f>IFERROR(VLOOKUP(A599,Tabla1[],2,0)," ")</f>
        <v xml:space="preserve"> </v>
      </c>
      <c r="C599" s="29" t="str">
        <f>IFERROR(VLOOKUP(A599,Tabla1[],6,0)," ")</f>
        <v xml:space="preserve"> </v>
      </c>
      <c r="D599" s="30" t="str">
        <f>IFERROR(VLOOKUP(A599,Tabla1[],8,0)," ")</f>
        <v xml:space="preserve"> </v>
      </c>
      <c r="E599" s="31"/>
      <c r="F599" s="30" t="str">
        <f t="shared" si="10"/>
        <v xml:space="preserve"> </v>
      </c>
    </row>
    <row r="600" spans="1:6" ht="22.7" customHeight="1">
      <c r="A600" s="28"/>
      <c r="B600" s="29" t="str">
        <f>IFERROR(VLOOKUP(A600,Tabla1[],2,0)," ")</f>
        <v xml:space="preserve"> </v>
      </c>
      <c r="C600" s="29" t="str">
        <f>IFERROR(VLOOKUP(A600,Tabla1[],6,0)," ")</f>
        <v xml:space="preserve"> </v>
      </c>
      <c r="D600" s="30" t="str">
        <f>IFERROR(VLOOKUP(A600,Tabla1[],8,0)," ")</f>
        <v xml:space="preserve"> </v>
      </c>
      <c r="E600" s="31"/>
      <c r="F600" s="30" t="str">
        <f t="shared" si="10"/>
        <v xml:space="preserve"> </v>
      </c>
    </row>
    <row r="601" spans="1:6" ht="22.7" customHeight="1">
      <c r="A601" s="28"/>
      <c r="B601" s="29" t="str">
        <f>IFERROR(VLOOKUP(A601,Tabla1[],2,0)," ")</f>
        <v xml:space="preserve"> </v>
      </c>
      <c r="C601" s="29" t="str">
        <f>IFERROR(VLOOKUP(A601,Tabla1[],6,0)," ")</f>
        <v xml:space="preserve"> </v>
      </c>
      <c r="D601" s="30" t="str">
        <f>IFERROR(VLOOKUP(A601,Tabla1[],8,0)," ")</f>
        <v xml:space="preserve"> </v>
      </c>
      <c r="E601" s="31"/>
      <c r="F601" s="30" t="str">
        <f t="shared" si="10"/>
        <v xml:space="preserve"> </v>
      </c>
    </row>
    <row r="602" spans="1:6" ht="22.7" customHeight="1">
      <c r="A602" s="28"/>
      <c r="B602" s="29" t="str">
        <f>IFERROR(VLOOKUP(A602,Tabla1[],2,0)," ")</f>
        <v xml:space="preserve"> </v>
      </c>
      <c r="C602" s="29" t="str">
        <f>IFERROR(VLOOKUP(A602,Tabla1[],6,0)," ")</f>
        <v xml:space="preserve"> </v>
      </c>
      <c r="D602" s="30" t="str">
        <f>IFERROR(VLOOKUP(A602,Tabla1[],8,0)," ")</f>
        <v xml:space="preserve"> </v>
      </c>
      <c r="E602" s="31"/>
      <c r="F602" s="30" t="str">
        <f t="shared" si="10"/>
        <v xml:space="preserve"> </v>
      </c>
    </row>
    <row r="603" spans="1:6" ht="22.7" customHeight="1">
      <c r="A603" s="28"/>
      <c r="B603" s="29" t="str">
        <f>IFERROR(VLOOKUP(A603,Tabla1[],2,0)," ")</f>
        <v xml:space="preserve"> </v>
      </c>
      <c r="C603" s="29" t="str">
        <f>IFERROR(VLOOKUP(A603,Tabla1[],6,0)," ")</f>
        <v xml:space="preserve"> </v>
      </c>
      <c r="D603" s="30" t="str">
        <f>IFERROR(VLOOKUP(A603,Tabla1[],8,0)," ")</f>
        <v xml:space="preserve"> </v>
      </c>
      <c r="E603" s="31"/>
      <c r="F603" s="30" t="str">
        <f t="shared" si="10"/>
        <v xml:space="preserve"> </v>
      </c>
    </row>
    <row r="604" spans="1:6" ht="22.7" customHeight="1">
      <c r="A604" s="28"/>
      <c r="B604" s="29" t="str">
        <f>IFERROR(VLOOKUP(A604,Tabla1[],2,0)," ")</f>
        <v xml:space="preserve"> </v>
      </c>
      <c r="C604" s="29" t="str">
        <f>IFERROR(VLOOKUP(A604,Tabla1[],6,0)," ")</f>
        <v xml:space="preserve"> </v>
      </c>
      <c r="D604" s="30" t="str">
        <f>IFERROR(VLOOKUP(A604,Tabla1[],8,0)," ")</f>
        <v xml:space="preserve"> </v>
      </c>
      <c r="E604" s="31"/>
      <c r="F604" s="30" t="str">
        <f t="shared" si="10"/>
        <v xml:space="preserve"> </v>
      </c>
    </row>
    <row r="605" spans="1:6" ht="22.7" customHeight="1">
      <c r="A605" s="28"/>
      <c r="B605" s="29" t="str">
        <f>IFERROR(VLOOKUP(A605,Tabla1[],2,0)," ")</f>
        <v xml:space="preserve"> </v>
      </c>
      <c r="C605" s="29" t="str">
        <f>IFERROR(VLOOKUP(A605,Tabla1[],6,0)," ")</f>
        <v xml:space="preserve"> </v>
      </c>
      <c r="D605" s="30" t="str">
        <f>IFERROR(VLOOKUP(A605,Tabla1[],8,0)," ")</f>
        <v xml:space="preserve"> </v>
      </c>
      <c r="E605" s="31"/>
      <c r="F605" s="30" t="str">
        <f t="shared" si="10"/>
        <v xml:space="preserve"> </v>
      </c>
    </row>
    <row r="606" spans="1:6" ht="22.7" customHeight="1">
      <c r="A606" s="28"/>
      <c r="B606" s="29" t="str">
        <f>IFERROR(VLOOKUP(A606,Tabla1[],2,0)," ")</f>
        <v xml:space="preserve"> </v>
      </c>
      <c r="C606" s="29" t="str">
        <f>IFERROR(VLOOKUP(A606,Tabla1[],6,0)," ")</f>
        <v xml:space="preserve"> </v>
      </c>
      <c r="D606" s="30" t="str">
        <f>IFERROR(VLOOKUP(A606,Tabla1[],8,0)," ")</f>
        <v xml:space="preserve"> </v>
      </c>
      <c r="E606" s="31"/>
      <c r="F606" s="30" t="str">
        <f t="shared" si="10"/>
        <v xml:space="preserve"> </v>
      </c>
    </row>
    <row r="607" spans="1:6" ht="22.7" customHeight="1">
      <c r="A607" s="28"/>
      <c r="B607" s="29" t="str">
        <f>IFERROR(VLOOKUP(A607,Tabla1[],2,0)," ")</f>
        <v xml:space="preserve"> </v>
      </c>
      <c r="C607" s="29" t="str">
        <f>IFERROR(VLOOKUP(A607,Tabla1[],6,0)," ")</f>
        <v xml:space="preserve"> </v>
      </c>
      <c r="D607" s="30" t="str">
        <f>IFERROR(VLOOKUP(A607,Tabla1[],8,0)," ")</f>
        <v xml:space="preserve"> </v>
      </c>
      <c r="E607" s="31"/>
      <c r="F607" s="30" t="str">
        <f t="shared" si="10"/>
        <v xml:space="preserve"> </v>
      </c>
    </row>
    <row r="608" spans="1:6" ht="22.7" customHeight="1">
      <c r="A608" s="28"/>
      <c r="B608" s="29" t="str">
        <f>IFERROR(VLOOKUP(A608,Tabla1[],2,0)," ")</f>
        <v xml:space="preserve"> </v>
      </c>
      <c r="C608" s="29" t="str">
        <f>IFERROR(VLOOKUP(A608,Tabla1[],6,0)," ")</f>
        <v xml:space="preserve"> </v>
      </c>
      <c r="D608" s="30" t="str">
        <f>IFERROR(VLOOKUP(A608,Tabla1[],8,0)," ")</f>
        <v xml:space="preserve"> </v>
      </c>
      <c r="E608" s="31"/>
      <c r="F608" s="30" t="str">
        <f t="shared" si="10"/>
        <v xml:space="preserve"> </v>
      </c>
    </row>
    <row r="609" spans="1:6" ht="22.7" customHeight="1">
      <c r="A609" s="28"/>
      <c r="B609" s="29" t="str">
        <f>IFERROR(VLOOKUP(A609,Tabla1[],2,0)," ")</f>
        <v xml:space="preserve"> </v>
      </c>
      <c r="C609" s="29" t="str">
        <f>IFERROR(VLOOKUP(A609,Tabla1[],6,0)," ")</f>
        <v xml:space="preserve"> </v>
      </c>
      <c r="D609" s="30" t="str">
        <f>IFERROR(VLOOKUP(A609,Tabla1[],8,0)," ")</f>
        <v xml:space="preserve"> </v>
      </c>
      <c r="E609" s="31"/>
      <c r="F609" s="30" t="str">
        <f t="shared" si="10"/>
        <v xml:space="preserve"> </v>
      </c>
    </row>
    <row r="610" spans="1:6" ht="22.7" customHeight="1">
      <c r="A610" s="28"/>
      <c r="B610" s="29" t="str">
        <f>IFERROR(VLOOKUP(A610,Tabla1[],2,0)," ")</f>
        <v xml:space="preserve"> </v>
      </c>
      <c r="C610" s="29" t="str">
        <f>IFERROR(VLOOKUP(A610,Tabla1[],6,0)," ")</f>
        <v xml:space="preserve"> </v>
      </c>
      <c r="D610" s="30" t="str">
        <f>IFERROR(VLOOKUP(A610,Tabla1[],8,0)," ")</f>
        <v xml:space="preserve"> </v>
      </c>
      <c r="E610" s="31"/>
      <c r="F610" s="30" t="str">
        <f t="shared" si="10"/>
        <v xml:space="preserve"> </v>
      </c>
    </row>
    <row r="611" spans="1:6" ht="22.7" customHeight="1">
      <c r="A611" s="28"/>
      <c r="B611" s="29" t="str">
        <f>IFERROR(VLOOKUP(A611,Tabla1[],2,0)," ")</f>
        <v xml:space="preserve"> </v>
      </c>
      <c r="C611" s="29" t="str">
        <f>IFERROR(VLOOKUP(A611,Tabla1[],6,0)," ")</f>
        <v xml:space="preserve"> </v>
      </c>
      <c r="D611" s="30" t="str">
        <f>IFERROR(VLOOKUP(A611,Tabla1[],8,0)," ")</f>
        <v xml:space="preserve"> </v>
      </c>
      <c r="E611" s="31"/>
      <c r="F611" s="30" t="str">
        <f t="shared" si="10"/>
        <v xml:space="preserve"> </v>
      </c>
    </row>
    <row r="612" spans="1:6" ht="22.7" customHeight="1">
      <c r="A612" s="28"/>
      <c r="B612" s="29" t="str">
        <f>IFERROR(VLOOKUP(A612,Tabla1[],2,0)," ")</f>
        <v xml:space="preserve"> </v>
      </c>
      <c r="C612" s="29" t="str">
        <f>IFERROR(VLOOKUP(A612,Tabla1[],6,0)," ")</f>
        <v xml:space="preserve"> </v>
      </c>
      <c r="D612" s="30" t="str">
        <f>IFERROR(VLOOKUP(A612,Tabla1[],8,0)," ")</f>
        <v xml:space="preserve"> </v>
      </c>
      <c r="E612" s="31"/>
      <c r="F612" s="30" t="str">
        <f t="shared" si="10"/>
        <v xml:space="preserve"> </v>
      </c>
    </row>
    <row r="613" spans="1:6" ht="22.7" customHeight="1">
      <c r="A613" s="28"/>
      <c r="B613" s="29" t="str">
        <f>IFERROR(VLOOKUP(A613,Tabla1[],2,0)," ")</f>
        <v xml:space="preserve"> </v>
      </c>
      <c r="C613" s="29" t="str">
        <f>IFERROR(VLOOKUP(A613,Tabla1[],6,0)," ")</f>
        <v xml:space="preserve"> </v>
      </c>
      <c r="D613" s="30" t="str">
        <f>IFERROR(VLOOKUP(A613,Tabla1[],8,0)," ")</f>
        <v xml:space="preserve"> </v>
      </c>
      <c r="E613" s="31"/>
      <c r="F613" s="30" t="str">
        <f t="shared" si="10"/>
        <v xml:space="preserve"> </v>
      </c>
    </row>
    <row r="614" spans="1:6" ht="22.7" customHeight="1">
      <c r="A614" s="28"/>
      <c r="B614" s="29" t="str">
        <f>IFERROR(VLOOKUP(A614,Tabla1[],2,0)," ")</f>
        <v xml:space="preserve"> </v>
      </c>
      <c r="C614" s="29" t="str">
        <f>IFERROR(VLOOKUP(A614,Tabla1[],6,0)," ")</f>
        <v xml:space="preserve"> </v>
      </c>
      <c r="D614" s="30" t="str">
        <f>IFERROR(VLOOKUP(A614,Tabla1[],8,0)," ")</f>
        <v xml:space="preserve"> </v>
      </c>
      <c r="E614" s="31"/>
      <c r="F614" s="30" t="str">
        <f t="shared" si="10"/>
        <v xml:space="preserve"> </v>
      </c>
    </row>
    <row r="615" spans="1:6" ht="22.7" customHeight="1">
      <c r="A615" s="28"/>
      <c r="B615" s="29" t="str">
        <f>IFERROR(VLOOKUP(A615,Tabla1[],2,0)," ")</f>
        <v xml:space="preserve"> </v>
      </c>
      <c r="C615" s="29" t="str">
        <f>IFERROR(VLOOKUP(A615,Tabla1[],6,0)," ")</f>
        <v xml:space="preserve"> </v>
      </c>
      <c r="D615" s="30" t="str">
        <f>IFERROR(VLOOKUP(A615,Tabla1[],8,0)," ")</f>
        <v xml:space="preserve"> </v>
      </c>
      <c r="E615" s="31"/>
      <c r="F615" s="30" t="str">
        <f t="shared" si="10"/>
        <v xml:space="preserve"> </v>
      </c>
    </row>
    <row r="616" spans="1:6" ht="22.7" customHeight="1">
      <c r="A616" s="28"/>
      <c r="B616" s="29" t="str">
        <f>IFERROR(VLOOKUP(A616,Tabla1[],2,0)," ")</f>
        <v xml:space="preserve"> </v>
      </c>
      <c r="C616" s="29" t="str">
        <f>IFERROR(VLOOKUP(A616,Tabla1[],6,0)," ")</f>
        <v xml:space="preserve"> </v>
      </c>
      <c r="D616" s="30" t="str">
        <f>IFERROR(VLOOKUP(A616,Tabla1[],8,0)," ")</f>
        <v xml:space="preserve"> </v>
      </c>
      <c r="E616" s="31"/>
      <c r="F616" s="30" t="str">
        <f t="shared" si="10"/>
        <v xml:space="preserve"> </v>
      </c>
    </row>
    <row r="617" spans="1:6" ht="22.7" customHeight="1">
      <c r="A617" s="28"/>
      <c r="B617" s="29" t="str">
        <f>IFERROR(VLOOKUP(A617,Tabla1[],2,0)," ")</f>
        <v xml:space="preserve"> </v>
      </c>
      <c r="C617" s="29" t="str">
        <f>IFERROR(VLOOKUP(A617,Tabla1[],6,0)," ")</f>
        <v xml:space="preserve"> </v>
      </c>
      <c r="D617" s="30" t="str">
        <f>IFERROR(VLOOKUP(A617,Tabla1[],8,0)," ")</f>
        <v xml:space="preserve"> </v>
      </c>
      <c r="E617" s="31"/>
      <c r="F617" s="30" t="str">
        <f t="shared" si="10"/>
        <v xml:space="preserve"> </v>
      </c>
    </row>
    <row r="618" spans="1:6" ht="22.7" customHeight="1">
      <c r="A618" s="28"/>
      <c r="B618" s="29" t="str">
        <f>IFERROR(VLOOKUP(A618,Tabla1[],2,0)," ")</f>
        <v xml:space="preserve"> </v>
      </c>
      <c r="C618" s="29" t="str">
        <f>IFERROR(VLOOKUP(A618,Tabla1[],6,0)," ")</f>
        <v xml:space="preserve"> </v>
      </c>
      <c r="D618" s="30" t="str">
        <f>IFERROR(VLOOKUP(A618,Tabla1[],8,0)," ")</f>
        <v xml:space="preserve"> </v>
      </c>
      <c r="E618" s="31"/>
      <c r="F618" s="30" t="str">
        <f t="shared" si="10"/>
        <v xml:space="preserve"> </v>
      </c>
    </row>
    <row r="619" spans="1:6" ht="22.7" customHeight="1">
      <c r="A619" s="28"/>
      <c r="B619" s="29" t="str">
        <f>IFERROR(VLOOKUP(A619,Tabla1[],2,0)," ")</f>
        <v xml:space="preserve"> </v>
      </c>
      <c r="C619" s="29" t="str">
        <f>IFERROR(VLOOKUP(A619,Tabla1[],6,0)," ")</f>
        <v xml:space="preserve"> </v>
      </c>
      <c r="D619" s="30" t="str">
        <f>IFERROR(VLOOKUP(A619,Tabla1[],8,0)," ")</f>
        <v xml:space="preserve"> </v>
      </c>
      <c r="E619" s="31"/>
      <c r="F619" s="30" t="str">
        <f t="shared" si="10"/>
        <v xml:space="preserve"> </v>
      </c>
    </row>
    <row r="620" spans="1:6" ht="22.7" customHeight="1">
      <c r="A620" s="28"/>
      <c r="B620" s="29" t="str">
        <f>IFERROR(VLOOKUP(A620,Tabla1[],2,0)," ")</f>
        <v xml:space="preserve"> </v>
      </c>
      <c r="C620" s="29" t="str">
        <f>IFERROR(VLOOKUP(A620,Tabla1[],6,0)," ")</f>
        <v xml:space="preserve"> </v>
      </c>
      <c r="D620" s="30" t="str">
        <f>IFERROR(VLOOKUP(A620,Tabla1[],8,0)," ")</f>
        <v xml:space="preserve"> </v>
      </c>
      <c r="E620" s="31"/>
      <c r="F620" s="30" t="str">
        <f t="shared" si="10"/>
        <v xml:space="preserve"> </v>
      </c>
    </row>
    <row r="621" spans="1:6" ht="22.7" customHeight="1">
      <c r="A621" s="28"/>
      <c r="B621" s="29" t="str">
        <f>IFERROR(VLOOKUP(A621,Tabla1[],2,0)," ")</f>
        <v xml:space="preserve"> </v>
      </c>
      <c r="C621" s="29" t="str">
        <f>IFERROR(VLOOKUP(A621,Tabla1[],6,0)," ")</f>
        <v xml:space="preserve"> </v>
      </c>
      <c r="D621" s="30" t="str">
        <f>IFERROR(VLOOKUP(A621,Tabla1[],8,0)," ")</f>
        <v xml:space="preserve"> </v>
      </c>
      <c r="E621" s="31"/>
      <c r="F621" s="30" t="str">
        <f t="shared" si="10"/>
        <v xml:space="preserve"> </v>
      </c>
    </row>
    <row r="622" spans="1:6" ht="22.7" customHeight="1">
      <c r="A622" s="28"/>
      <c r="B622" s="29" t="str">
        <f>IFERROR(VLOOKUP(A622,Tabla1[],2,0)," ")</f>
        <v xml:space="preserve"> </v>
      </c>
      <c r="C622" s="29" t="str">
        <f>IFERROR(VLOOKUP(A622,Tabla1[],6,0)," ")</f>
        <v xml:space="preserve"> </v>
      </c>
      <c r="D622" s="30" t="str">
        <f>IFERROR(VLOOKUP(A622,Tabla1[],8,0)," ")</f>
        <v xml:space="preserve"> </v>
      </c>
      <c r="E622" s="31"/>
      <c r="F622" s="30" t="str">
        <f t="shared" si="10"/>
        <v xml:space="preserve"> </v>
      </c>
    </row>
    <row r="623" spans="1:6" ht="22.7" customHeight="1">
      <c r="A623" s="28"/>
      <c r="B623" s="29" t="str">
        <f>IFERROR(VLOOKUP(A623,Tabla1[],2,0)," ")</f>
        <v xml:space="preserve"> </v>
      </c>
      <c r="C623" s="29" t="str">
        <f>IFERROR(VLOOKUP(A623,Tabla1[],6,0)," ")</f>
        <v xml:space="preserve"> </v>
      </c>
      <c r="D623" s="30" t="str">
        <f>IFERROR(VLOOKUP(A623,Tabla1[],8,0)," ")</f>
        <v xml:space="preserve"> </v>
      </c>
      <c r="E623" s="31"/>
      <c r="F623" s="30" t="str">
        <f t="shared" si="10"/>
        <v xml:space="preserve"> </v>
      </c>
    </row>
    <row r="624" spans="1:6" ht="22.7" customHeight="1">
      <c r="A624" s="28"/>
      <c r="B624" s="29" t="str">
        <f>IFERROR(VLOOKUP(A624,Tabla1[],2,0)," ")</f>
        <v xml:space="preserve"> </v>
      </c>
      <c r="C624" s="29" t="str">
        <f>IFERROR(VLOOKUP(A624,Tabla1[],6,0)," ")</f>
        <v xml:space="preserve"> </v>
      </c>
      <c r="D624" s="30" t="str">
        <f>IFERROR(VLOOKUP(A624,Tabla1[],8,0)," ")</f>
        <v xml:space="preserve"> </v>
      </c>
      <c r="E624" s="31"/>
      <c r="F624" s="30" t="str">
        <f t="shared" si="10"/>
        <v xml:space="preserve"> </v>
      </c>
    </row>
    <row r="625" spans="1:6" ht="22.7" customHeight="1">
      <c r="A625" s="28"/>
      <c r="B625" s="29" t="str">
        <f>IFERROR(VLOOKUP(A625,Tabla1[],2,0)," ")</f>
        <v xml:space="preserve"> </v>
      </c>
      <c r="C625" s="29" t="str">
        <f>IFERROR(VLOOKUP(A625,Tabla1[],6,0)," ")</f>
        <v xml:space="preserve"> </v>
      </c>
      <c r="D625" s="30" t="str">
        <f>IFERROR(VLOOKUP(A625,Tabla1[],8,0)," ")</f>
        <v xml:space="preserve"> </v>
      </c>
      <c r="E625" s="31"/>
      <c r="F625" s="30" t="str">
        <f t="shared" si="10"/>
        <v xml:space="preserve"> </v>
      </c>
    </row>
    <row r="626" spans="1:6" ht="22.7" customHeight="1">
      <c r="A626" s="28"/>
      <c r="B626" s="29" t="str">
        <f>IFERROR(VLOOKUP(A626,Tabla1[],2,0)," ")</f>
        <v xml:space="preserve"> </v>
      </c>
      <c r="C626" s="29" t="str">
        <f>IFERROR(VLOOKUP(A626,Tabla1[],6,0)," ")</f>
        <v xml:space="preserve"> </v>
      </c>
      <c r="D626" s="30" t="str">
        <f>IFERROR(VLOOKUP(A626,Tabla1[],8,0)," ")</f>
        <v xml:space="preserve"> </v>
      </c>
      <c r="E626" s="31"/>
      <c r="F626" s="30" t="str">
        <f t="shared" si="10"/>
        <v xml:space="preserve"> </v>
      </c>
    </row>
    <row r="627" spans="1:6" ht="22.7" customHeight="1">
      <c r="A627" s="28"/>
      <c r="B627" s="29" t="str">
        <f>IFERROR(VLOOKUP(A627,Tabla1[],2,0)," ")</f>
        <v xml:space="preserve"> </v>
      </c>
      <c r="C627" s="29" t="str">
        <f>IFERROR(VLOOKUP(A627,Tabla1[],6,0)," ")</f>
        <v xml:space="preserve"> </v>
      </c>
      <c r="D627" s="30" t="str">
        <f>IFERROR(VLOOKUP(A627,Tabla1[],8,0)," ")</f>
        <v xml:space="preserve"> </v>
      </c>
      <c r="E627" s="31"/>
      <c r="F627" s="30" t="str">
        <f t="shared" si="10"/>
        <v xml:space="preserve"> </v>
      </c>
    </row>
    <row r="628" spans="1:6" ht="22.7" customHeight="1">
      <c r="A628" s="28"/>
      <c r="B628" s="29" t="str">
        <f>IFERROR(VLOOKUP(A628,Tabla1[],2,0)," ")</f>
        <v xml:space="preserve"> </v>
      </c>
      <c r="C628" s="29" t="str">
        <f>IFERROR(VLOOKUP(A628,Tabla1[],6,0)," ")</f>
        <v xml:space="preserve"> </v>
      </c>
      <c r="D628" s="30" t="str">
        <f>IFERROR(VLOOKUP(A628,Tabla1[],8,0)," ")</f>
        <v xml:space="preserve"> </v>
      </c>
      <c r="E628" s="31"/>
      <c r="F628" s="30" t="str">
        <f t="shared" si="10"/>
        <v xml:space="preserve"> </v>
      </c>
    </row>
    <row r="629" spans="1:6" ht="22.7" customHeight="1">
      <c r="A629" s="28"/>
      <c r="B629" s="29" t="str">
        <f>IFERROR(VLOOKUP(A629,Tabla1[],2,0)," ")</f>
        <v xml:space="preserve"> </v>
      </c>
      <c r="C629" s="29" t="str">
        <f>IFERROR(VLOOKUP(A629,Tabla1[],6,0)," ")</f>
        <v xml:space="preserve"> </v>
      </c>
      <c r="D629" s="30" t="str">
        <f>IFERROR(VLOOKUP(A629,Tabla1[],8,0)," ")</f>
        <v xml:space="preserve"> </v>
      </c>
      <c r="E629" s="31"/>
      <c r="F629" s="30" t="str">
        <f t="shared" si="10"/>
        <v xml:space="preserve"> </v>
      </c>
    </row>
    <row r="630" spans="1:6" ht="22.7" customHeight="1">
      <c r="A630" s="28"/>
      <c r="B630" s="29" t="str">
        <f>IFERROR(VLOOKUP(A630,Tabla1[],2,0)," ")</f>
        <v xml:space="preserve"> </v>
      </c>
      <c r="C630" s="29" t="str">
        <f>IFERROR(VLOOKUP(A630,Tabla1[],6,0)," ")</f>
        <v xml:space="preserve"> </v>
      </c>
      <c r="D630" s="30" t="str">
        <f>IFERROR(VLOOKUP(A630,Tabla1[],8,0)," ")</f>
        <v xml:space="preserve"> </v>
      </c>
      <c r="E630" s="31"/>
      <c r="F630" s="30" t="str">
        <f t="shared" si="10"/>
        <v xml:space="preserve"> </v>
      </c>
    </row>
    <row r="631" spans="1:6" ht="22.7" customHeight="1">
      <c r="A631" s="28"/>
      <c r="B631" s="29" t="str">
        <f>IFERROR(VLOOKUP(A631,Tabla1[],2,0)," ")</f>
        <v xml:space="preserve"> </v>
      </c>
      <c r="C631" s="29" t="str">
        <f>IFERROR(VLOOKUP(A631,Tabla1[],6,0)," ")</f>
        <v xml:space="preserve"> </v>
      </c>
      <c r="D631" s="30" t="str">
        <f>IFERROR(VLOOKUP(A631,Tabla1[],8,0)," ")</f>
        <v xml:space="preserve"> </v>
      </c>
      <c r="E631" s="31"/>
      <c r="F631" s="30" t="str">
        <f t="shared" si="10"/>
        <v xml:space="preserve"> </v>
      </c>
    </row>
    <row r="632" spans="1:6" ht="22.7" customHeight="1">
      <c r="A632" s="28"/>
      <c r="B632" s="29" t="str">
        <f>IFERROR(VLOOKUP(A632,Tabla1[],2,0)," ")</f>
        <v xml:space="preserve"> </v>
      </c>
      <c r="C632" s="29" t="str">
        <f>IFERROR(VLOOKUP(A632,Tabla1[],6,0)," ")</f>
        <v xml:space="preserve"> </v>
      </c>
      <c r="D632" s="30" t="str">
        <f>IFERROR(VLOOKUP(A632,Tabla1[],8,0)," ")</f>
        <v xml:space="preserve"> </v>
      </c>
      <c r="E632" s="31"/>
      <c r="F632" s="30" t="str">
        <f t="shared" si="10"/>
        <v xml:space="preserve"> </v>
      </c>
    </row>
    <row r="633" spans="1:6" ht="22.7" customHeight="1">
      <c r="A633" s="28"/>
      <c r="B633" s="29" t="str">
        <f>IFERROR(VLOOKUP(A633,Tabla1[],2,0)," ")</f>
        <v xml:space="preserve"> </v>
      </c>
      <c r="C633" s="29" t="str">
        <f>IFERROR(VLOOKUP(A633,Tabla1[],6,0)," ")</f>
        <v xml:space="preserve"> </v>
      </c>
      <c r="D633" s="30" t="str">
        <f>IFERROR(VLOOKUP(A633,Tabla1[],8,0)," ")</f>
        <v xml:space="preserve"> </v>
      </c>
      <c r="E633" s="31"/>
      <c r="F633" s="30" t="str">
        <f t="shared" si="10"/>
        <v xml:space="preserve"> </v>
      </c>
    </row>
    <row r="634" spans="1:6" ht="22.7" customHeight="1">
      <c r="A634" s="28"/>
      <c r="B634" s="29" t="str">
        <f>IFERROR(VLOOKUP(A634,Tabla1[],2,0)," ")</f>
        <v xml:space="preserve"> </v>
      </c>
      <c r="C634" s="29" t="str">
        <f>IFERROR(VLOOKUP(A634,Tabla1[],6,0)," ")</f>
        <v xml:space="preserve"> </v>
      </c>
      <c r="D634" s="30" t="str">
        <f>IFERROR(VLOOKUP(A634,Tabla1[],8,0)," ")</f>
        <v xml:space="preserve"> </v>
      </c>
      <c r="E634" s="31"/>
      <c r="F634" s="30" t="str">
        <f t="shared" si="10"/>
        <v xml:space="preserve"> </v>
      </c>
    </row>
    <row r="635" spans="1:6" ht="22.7" customHeight="1">
      <c r="A635" s="28"/>
      <c r="B635" s="29" t="str">
        <f>IFERROR(VLOOKUP(A635,Tabla1[],2,0)," ")</f>
        <v xml:space="preserve"> </v>
      </c>
      <c r="C635" s="29" t="str">
        <f>IFERROR(VLOOKUP(A635,Tabla1[],6,0)," ")</f>
        <v xml:space="preserve"> </v>
      </c>
      <c r="D635" s="30" t="str">
        <f>IFERROR(VLOOKUP(A635,Tabla1[],8,0)," ")</f>
        <v xml:space="preserve"> </v>
      </c>
      <c r="E635" s="31"/>
      <c r="F635" s="30" t="str">
        <f t="shared" si="10"/>
        <v xml:space="preserve"> </v>
      </c>
    </row>
    <row r="636" spans="1:6" ht="22.7" customHeight="1">
      <c r="A636" s="28"/>
      <c r="B636" s="29" t="str">
        <f>IFERROR(VLOOKUP(A636,Tabla1[],2,0)," ")</f>
        <v xml:space="preserve"> </v>
      </c>
      <c r="C636" s="29" t="str">
        <f>IFERROR(VLOOKUP(A636,Tabla1[],6,0)," ")</f>
        <v xml:space="preserve"> </v>
      </c>
      <c r="D636" s="30" t="str">
        <f>IFERROR(VLOOKUP(A636,Tabla1[],8,0)," ")</f>
        <v xml:space="preserve"> </v>
      </c>
      <c r="E636" s="31"/>
      <c r="F636" s="30" t="str">
        <f t="shared" si="10"/>
        <v xml:space="preserve"> </v>
      </c>
    </row>
    <row r="637" spans="1:6" ht="22.7" customHeight="1">
      <c r="A637" s="28"/>
      <c r="B637" s="29" t="str">
        <f>IFERROR(VLOOKUP(A637,Tabla1[],2,0)," ")</f>
        <v xml:space="preserve"> </v>
      </c>
      <c r="C637" s="29" t="str">
        <f>IFERROR(VLOOKUP(A637,Tabla1[],6,0)," ")</f>
        <v xml:space="preserve"> </v>
      </c>
      <c r="D637" s="30" t="str">
        <f>IFERROR(VLOOKUP(A637,Tabla1[],8,0)," ")</f>
        <v xml:space="preserve"> </v>
      </c>
      <c r="E637" s="31"/>
      <c r="F637" s="30" t="str">
        <f t="shared" si="10"/>
        <v xml:space="preserve"> </v>
      </c>
    </row>
    <row r="638" spans="1:6" ht="22.7" customHeight="1">
      <c r="A638" s="28"/>
      <c r="B638" s="29" t="str">
        <f>IFERROR(VLOOKUP(A638,Tabla1[],2,0)," ")</f>
        <v xml:space="preserve"> </v>
      </c>
      <c r="C638" s="29" t="str">
        <f>IFERROR(VLOOKUP(A638,Tabla1[],6,0)," ")</f>
        <v xml:space="preserve"> </v>
      </c>
      <c r="D638" s="30" t="str">
        <f>IFERROR(VLOOKUP(A638,Tabla1[],8,0)," ")</f>
        <v xml:space="preserve"> </v>
      </c>
      <c r="E638" s="31"/>
      <c r="F638" s="30" t="str">
        <f t="shared" si="10"/>
        <v xml:space="preserve"> </v>
      </c>
    </row>
    <row r="639" spans="1:6" ht="22.7" customHeight="1">
      <c r="A639" s="28"/>
      <c r="B639" s="29" t="str">
        <f>IFERROR(VLOOKUP(A639,Tabla1[],2,0)," ")</f>
        <v xml:space="preserve"> </v>
      </c>
      <c r="C639" s="29" t="str">
        <f>IFERROR(VLOOKUP(A639,Tabla1[],6,0)," ")</f>
        <v xml:space="preserve"> </v>
      </c>
      <c r="D639" s="30" t="str">
        <f>IFERROR(VLOOKUP(A639,Tabla1[],8,0)," ")</f>
        <v xml:space="preserve"> </v>
      </c>
      <c r="E639" s="31"/>
      <c r="F639" s="30" t="str">
        <f t="shared" si="10"/>
        <v xml:space="preserve"> </v>
      </c>
    </row>
    <row r="640" spans="1:6" ht="22.7" customHeight="1">
      <c r="A640" s="28"/>
      <c r="B640" s="29" t="str">
        <f>IFERROR(VLOOKUP(A640,Tabla1[],2,0)," ")</f>
        <v xml:space="preserve"> </v>
      </c>
      <c r="C640" s="29" t="str">
        <f>IFERROR(VLOOKUP(A640,Tabla1[],6,0)," ")</f>
        <v xml:space="preserve"> </v>
      </c>
      <c r="D640" s="30" t="str">
        <f>IFERROR(VLOOKUP(A640,Tabla1[],8,0)," ")</f>
        <v xml:space="preserve"> </v>
      </c>
      <c r="E640" s="31"/>
      <c r="F640" s="30" t="str">
        <f t="shared" si="10"/>
        <v xml:space="preserve"> </v>
      </c>
    </row>
    <row r="641" spans="1:6" ht="22.7" customHeight="1">
      <c r="A641" s="28"/>
      <c r="B641" s="29" t="str">
        <f>IFERROR(VLOOKUP(A641,Tabla1[],2,0)," ")</f>
        <v xml:space="preserve"> </v>
      </c>
      <c r="C641" s="29" t="str">
        <f>IFERROR(VLOOKUP(A641,Tabla1[],6,0)," ")</f>
        <v xml:space="preserve"> </v>
      </c>
      <c r="D641" s="30" t="str">
        <f>IFERROR(VLOOKUP(A641,Tabla1[],8,0)," ")</f>
        <v xml:space="preserve"> </v>
      </c>
      <c r="E641" s="31"/>
      <c r="F641" s="30" t="str">
        <f t="shared" si="10"/>
        <v xml:space="preserve"> </v>
      </c>
    </row>
    <row r="642" spans="1:6" ht="22.7" customHeight="1">
      <c r="A642" s="28"/>
      <c r="B642" s="29" t="str">
        <f>IFERROR(VLOOKUP(A642,Tabla1[],2,0)," ")</f>
        <v xml:space="preserve"> </v>
      </c>
      <c r="C642" s="29" t="str">
        <f>IFERROR(VLOOKUP(A642,Tabla1[],6,0)," ")</f>
        <v xml:space="preserve"> </v>
      </c>
      <c r="D642" s="30" t="str">
        <f>IFERROR(VLOOKUP(A642,Tabla1[],8,0)," ")</f>
        <v xml:space="preserve"> </v>
      </c>
      <c r="E642" s="31"/>
      <c r="F642" s="30" t="str">
        <f t="shared" si="10"/>
        <v xml:space="preserve"> </v>
      </c>
    </row>
    <row r="643" spans="1:6" ht="22.7" customHeight="1">
      <c r="A643" s="28"/>
      <c r="B643" s="29" t="str">
        <f>IFERROR(VLOOKUP(A643,Tabla1[],2,0)," ")</f>
        <v xml:space="preserve"> </v>
      </c>
      <c r="C643" s="29" t="str">
        <f>IFERROR(VLOOKUP(A643,Tabla1[],6,0)," ")</f>
        <v xml:space="preserve"> </v>
      </c>
      <c r="D643" s="30" t="str">
        <f>IFERROR(VLOOKUP(A643,Tabla1[],8,0)," ")</f>
        <v xml:space="preserve"> </v>
      </c>
      <c r="E643" s="31"/>
      <c r="F643" s="30" t="str">
        <f t="shared" si="10"/>
        <v xml:space="preserve"> </v>
      </c>
    </row>
    <row r="644" spans="1:6" ht="22.7" customHeight="1">
      <c r="A644" s="28"/>
      <c r="B644" s="29" t="str">
        <f>IFERROR(VLOOKUP(A644,Tabla1[],2,0)," ")</f>
        <v xml:space="preserve"> </v>
      </c>
      <c r="C644" s="29" t="str">
        <f>IFERROR(VLOOKUP(A644,Tabla1[],6,0)," ")</f>
        <v xml:space="preserve"> </v>
      </c>
      <c r="D644" s="30" t="str">
        <f>IFERROR(VLOOKUP(A644,Tabla1[],8,0)," ")</f>
        <v xml:space="preserve"> </v>
      </c>
      <c r="E644" s="31"/>
      <c r="F644" s="30" t="str">
        <f t="shared" ref="F644:F707" si="11">IFERROR((E644*D644), " ")</f>
        <v xml:space="preserve"> </v>
      </c>
    </row>
    <row r="645" spans="1:6" ht="22.7" customHeight="1">
      <c r="A645" s="28"/>
      <c r="B645" s="29" t="str">
        <f>IFERROR(VLOOKUP(A645,Tabla1[],2,0)," ")</f>
        <v xml:space="preserve"> </v>
      </c>
      <c r="C645" s="29" t="str">
        <f>IFERROR(VLOOKUP(A645,Tabla1[],6,0)," ")</f>
        <v xml:space="preserve"> </v>
      </c>
      <c r="D645" s="30" t="str">
        <f>IFERROR(VLOOKUP(A645,Tabla1[],8,0)," ")</f>
        <v xml:space="preserve"> </v>
      </c>
      <c r="E645" s="31"/>
      <c r="F645" s="30" t="str">
        <f t="shared" si="11"/>
        <v xml:space="preserve"> </v>
      </c>
    </row>
    <row r="646" spans="1:6" ht="22.7" customHeight="1">
      <c r="A646" s="28"/>
      <c r="B646" s="29" t="str">
        <f>IFERROR(VLOOKUP(A646,Tabla1[],2,0)," ")</f>
        <v xml:space="preserve"> </v>
      </c>
      <c r="C646" s="29" t="str">
        <f>IFERROR(VLOOKUP(A646,Tabla1[],6,0)," ")</f>
        <v xml:space="preserve"> </v>
      </c>
      <c r="D646" s="30" t="str">
        <f>IFERROR(VLOOKUP(A646,Tabla1[],8,0)," ")</f>
        <v xml:space="preserve"> </v>
      </c>
      <c r="E646" s="31"/>
      <c r="F646" s="30" t="str">
        <f t="shared" si="11"/>
        <v xml:space="preserve"> </v>
      </c>
    </row>
    <row r="647" spans="1:6" ht="22.7" customHeight="1">
      <c r="A647" s="28"/>
      <c r="B647" s="29" t="str">
        <f>IFERROR(VLOOKUP(A647,Tabla1[],2,0)," ")</f>
        <v xml:space="preserve"> </v>
      </c>
      <c r="C647" s="29" t="str">
        <f>IFERROR(VLOOKUP(A647,Tabla1[],6,0)," ")</f>
        <v xml:space="preserve"> </v>
      </c>
      <c r="D647" s="30" t="str">
        <f>IFERROR(VLOOKUP(A647,Tabla1[],8,0)," ")</f>
        <v xml:space="preserve"> </v>
      </c>
      <c r="E647" s="31"/>
      <c r="F647" s="30" t="str">
        <f t="shared" si="11"/>
        <v xml:space="preserve"> </v>
      </c>
    </row>
    <row r="648" spans="1:6" ht="22.7" customHeight="1">
      <c r="A648" s="28"/>
      <c r="B648" s="29" t="str">
        <f>IFERROR(VLOOKUP(A648,Tabla1[],2,0)," ")</f>
        <v xml:space="preserve"> </v>
      </c>
      <c r="C648" s="29" t="str">
        <f>IFERROR(VLOOKUP(A648,Tabla1[],6,0)," ")</f>
        <v xml:space="preserve"> </v>
      </c>
      <c r="D648" s="30" t="str">
        <f>IFERROR(VLOOKUP(A648,Tabla1[],8,0)," ")</f>
        <v xml:space="preserve"> </v>
      </c>
      <c r="E648" s="31"/>
      <c r="F648" s="30" t="str">
        <f t="shared" si="11"/>
        <v xml:space="preserve"> </v>
      </c>
    </row>
    <row r="649" spans="1:6" ht="22.7" customHeight="1">
      <c r="A649" s="28"/>
      <c r="B649" s="29" t="str">
        <f>IFERROR(VLOOKUP(A649,Tabla1[],2,0)," ")</f>
        <v xml:space="preserve"> </v>
      </c>
      <c r="C649" s="29" t="str">
        <f>IFERROR(VLOOKUP(A649,Tabla1[],6,0)," ")</f>
        <v xml:space="preserve"> </v>
      </c>
      <c r="D649" s="30" t="str">
        <f>IFERROR(VLOOKUP(A649,Tabla1[],8,0)," ")</f>
        <v xml:space="preserve"> </v>
      </c>
      <c r="E649" s="31"/>
      <c r="F649" s="30" t="str">
        <f t="shared" si="11"/>
        <v xml:space="preserve"> </v>
      </c>
    </row>
    <row r="650" spans="1:6" ht="22.7" customHeight="1">
      <c r="A650" s="28"/>
      <c r="B650" s="29" t="str">
        <f>IFERROR(VLOOKUP(A650,Tabla1[],2,0)," ")</f>
        <v xml:space="preserve"> </v>
      </c>
      <c r="C650" s="29" t="str">
        <f>IFERROR(VLOOKUP(A650,Tabla1[],6,0)," ")</f>
        <v xml:space="preserve"> </v>
      </c>
      <c r="D650" s="30" t="str">
        <f>IFERROR(VLOOKUP(A650,Tabla1[],8,0)," ")</f>
        <v xml:space="preserve"> </v>
      </c>
      <c r="E650" s="31"/>
      <c r="F650" s="30" t="str">
        <f t="shared" si="11"/>
        <v xml:space="preserve"> </v>
      </c>
    </row>
    <row r="651" spans="1:6" ht="22.7" customHeight="1">
      <c r="A651" s="28"/>
      <c r="B651" s="29" t="str">
        <f>IFERROR(VLOOKUP(A651,Tabla1[],2,0)," ")</f>
        <v xml:space="preserve"> </v>
      </c>
      <c r="C651" s="29" t="str">
        <f>IFERROR(VLOOKUP(A651,Tabla1[],6,0)," ")</f>
        <v xml:space="preserve"> </v>
      </c>
      <c r="D651" s="30" t="str">
        <f>IFERROR(VLOOKUP(A651,Tabla1[],8,0)," ")</f>
        <v xml:space="preserve"> </v>
      </c>
      <c r="E651" s="31"/>
      <c r="F651" s="30" t="str">
        <f t="shared" si="11"/>
        <v xml:space="preserve"> </v>
      </c>
    </row>
    <row r="652" spans="1:6" ht="22.7" customHeight="1">
      <c r="A652" s="28"/>
      <c r="B652" s="29" t="str">
        <f>IFERROR(VLOOKUP(A652,Tabla1[],2,0)," ")</f>
        <v xml:space="preserve"> </v>
      </c>
      <c r="C652" s="29" t="str">
        <f>IFERROR(VLOOKUP(A652,Tabla1[],6,0)," ")</f>
        <v xml:space="preserve"> </v>
      </c>
      <c r="D652" s="30" t="str">
        <f>IFERROR(VLOOKUP(A652,Tabla1[],8,0)," ")</f>
        <v xml:space="preserve"> </v>
      </c>
      <c r="E652" s="31"/>
      <c r="F652" s="30" t="str">
        <f t="shared" si="11"/>
        <v xml:space="preserve"> </v>
      </c>
    </row>
    <row r="653" spans="1:6" ht="22.7" customHeight="1">
      <c r="A653" s="28"/>
      <c r="B653" s="29" t="str">
        <f>IFERROR(VLOOKUP(A653,Tabla1[],2,0)," ")</f>
        <v xml:space="preserve"> </v>
      </c>
      <c r="C653" s="29" t="str">
        <f>IFERROR(VLOOKUP(A653,Tabla1[],6,0)," ")</f>
        <v xml:space="preserve"> </v>
      </c>
      <c r="D653" s="30" t="str">
        <f>IFERROR(VLOOKUP(A653,Tabla1[],8,0)," ")</f>
        <v xml:space="preserve"> </v>
      </c>
      <c r="E653" s="31"/>
      <c r="F653" s="30" t="str">
        <f t="shared" si="11"/>
        <v xml:space="preserve"> </v>
      </c>
    </row>
    <row r="654" spans="1:6" ht="22.7" customHeight="1">
      <c r="A654" s="28"/>
      <c r="B654" s="29" t="str">
        <f>IFERROR(VLOOKUP(A654,Tabla1[],2,0)," ")</f>
        <v xml:space="preserve"> </v>
      </c>
      <c r="C654" s="29" t="str">
        <f>IFERROR(VLOOKUP(A654,Tabla1[],6,0)," ")</f>
        <v xml:space="preserve"> </v>
      </c>
      <c r="D654" s="30" t="str">
        <f>IFERROR(VLOOKUP(A654,Tabla1[],8,0)," ")</f>
        <v xml:space="preserve"> </v>
      </c>
      <c r="E654" s="31"/>
      <c r="F654" s="30" t="str">
        <f t="shared" si="11"/>
        <v xml:space="preserve"> </v>
      </c>
    </row>
    <row r="655" spans="1:6" ht="22.7" customHeight="1">
      <c r="A655" s="28"/>
      <c r="B655" s="29" t="str">
        <f>IFERROR(VLOOKUP(A655,Tabla1[],2,0)," ")</f>
        <v xml:space="preserve"> </v>
      </c>
      <c r="C655" s="29" t="str">
        <f>IFERROR(VLOOKUP(A655,Tabla1[],6,0)," ")</f>
        <v xml:space="preserve"> </v>
      </c>
      <c r="D655" s="30" t="str">
        <f>IFERROR(VLOOKUP(A655,Tabla1[],8,0)," ")</f>
        <v xml:space="preserve"> </v>
      </c>
      <c r="E655" s="31"/>
      <c r="F655" s="30" t="str">
        <f t="shared" si="11"/>
        <v xml:space="preserve"> </v>
      </c>
    </row>
    <row r="656" spans="1:6" ht="22.7" customHeight="1">
      <c r="A656" s="28"/>
      <c r="B656" s="29" t="str">
        <f>IFERROR(VLOOKUP(A656,Tabla1[],2,0)," ")</f>
        <v xml:space="preserve"> </v>
      </c>
      <c r="C656" s="29" t="str">
        <f>IFERROR(VLOOKUP(A656,Tabla1[],6,0)," ")</f>
        <v xml:space="preserve"> </v>
      </c>
      <c r="D656" s="30" t="str">
        <f>IFERROR(VLOOKUP(A656,Tabla1[],8,0)," ")</f>
        <v xml:space="preserve"> </v>
      </c>
      <c r="E656" s="31"/>
      <c r="F656" s="30" t="str">
        <f t="shared" si="11"/>
        <v xml:space="preserve"> </v>
      </c>
    </row>
    <row r="657" spans="1:6" ht="22.7" customHeight="1">
      <c r="A657" s="28"/>
      <c r="B657" s="29" t="str">
        <f>IFERROR(VLOOKUP(A657,Tabla1[],2,0)," ")</f>
        <v xml:space="preserve"> </v>
      </c>
      <c r="C657" s="29" t="str">
        <f>IFERROR(VLOOKUP(A657,Tabla1[],6,0)," ")</f>
        <v xml:space="preserve"> </v>
      </c>
      <c r="D657" s="30" t="str">
        <f>IFERROR(VLOOKUP(A657,Tabla1[],8,0)," ")</f>
        <v xml:space="preserve"> </v>
      </c>
      <c r="E657" s="31"/>
      <c r="F657" s="30" t="str">
        <f t="shared" si="11"/>
        <v xml:space="preserve"> </v>
      </c>
    </row>
    <row r="658" spans="1:6" ht="22.7" customHeight="1">
      <c r="A658" s="28"/>
      <c r="B658" s="29" t="str">
        <f>IFERROR(VLOOKUP(A658,Tabla1[],2,0)," ")</f>
        <v xml:space="preserve"> </v>
      </c>
      <c r="C658" s="29" t="str">
        <f>IFERROR(VLOOKUP(A658,Tabla1[],6,0)," ")</f>
        <v xml:space="preserve"> </v>
      </c>
      <c r="D658" s="30" t="str">
        <f>IFERROR(VLOOKUP(A658,Tabla1[],8,0)," ")</f>
        <v xml:space="preserve"> </v>
      </c>
      <c r="E658" s="31"/>
      <c r="F658" s="30" t="str">
        <f t="shared" si="11"/>
        <v xml:space="preserve"> </v>
      </c>
    </row>
    <row r="659" spans="1:6" ht="22.7" customHeight="1">
      <c r="A659" s="28"/>
      <c r="B659" s="29" t="str">
        <f>IFERROR(VLOOKUP(A659,Tabla1[],2,0)," ")</f>
        <v xml:space="preserve"> </v>
      </c>
      <c r="C659" s="29" t="str">
        <f>IFERROR(VLOOKUP(A659,Tabla1[],6,0)," ")</f>
        <v xml:space="preserve"> </v>
      </c>
      <c r="D659" s="30" t="str">
        <f>IFERROR(VLOOKUP(A659,Tabla1[],8,0)," ")</f>
        <v xml:space="preserve"> </v>
      </c>
      <c r="E659" s="31"/>
      <c r="F659" s="30" t="str">
        <f t="shared" si="11"/>
        <v xml:space="preserve"> </v>
      </c>
    </row>
    <row r="660" spans="1:6" ht="22.7" customHeight="1">
      <c r="A660" s="28"/>
      <c r="B660" s="29" t="str">
        <f>IFERROR(VLOOKUP(A660,Tabla1[],2,0)," ")</f>
        <v xml:space="preserve"> </v>
      </c>
      <c r="C660" s="29" t="str">
        <f>IFERROR(VLOOKUP(A660,Tabla1[],6,0)," ")</f>
        <v xml:space="preserve"> </v>
      </c>
      <c r="D660" s="30" t="str">
        <f>IFERROR(VLOOKUP(A660,Tabla1[],8,0)," ")</f>
        <v xml:space="preserve"> </v>
      </c>
      <c r="E660" s="31"/>
      <c r="F660" s="30" t="str">
        <f t="shared" si="11"/>
        <v xml:space="preserve"> </v>
      </c>
    </row>
    <row r="661" spans="1:6" ht="22.7" customHeight="1">
      <c r="A661" s="28"/>
      <c r="B661" s="29" t="str">
        <f>IFERROR(VLOOKUP(A661,Tabla1[],2,0)," ")</f>
        <v xml:space="preserve"> </v>
      </c>
      <c r="C661" s="29" t="str">
        <f>IFERROR(VLOOKUP(A661,Tabla1[],6,0)," ")</f>
        <v xml:space="preserve"> </v>
      </c>
      <c r="D661" s="30" t="str">
        <f>IFERROR(VLOOKUP(A661,Tabla1[],8,0)," ")</f>
        <v xml:space="preserve"> </v>
      </c>
      <c r="E661" s="31"/>
      <c r="F661" s="30" t="str">
        <f t="shared" si="11"/>
        <v xml:space="preserve"> </v>
      </c>
    </row>
    <row r="662" spans="1:6" ht="22.7" customHeight="1">
      <c r="A662" s="28"/>
      <c r="B662" s="29" t="str">
        <f>IFERROR(VLOOKUP(A662,Tabla1[],2,0)," ")</f>
        <v xml:space="preserve"> </v>
      </c>
      <c r="C662" s="29" t="str">
        <f>IFERROR(VLOOKUP(A662,Tabla1[],6,0)," ")</f>
        <v xml:space="preserve"> </v>
      </c>
      <c r="D662" s="30" t="str">
        <f>IFERROR(VLOOKUP(A662,Tabla1[],8,0)," ")</f>
        <v xml:space="preserve"> </v>
      </c>
      <c r="E662" s="31"/>
      <c r="F662" s="30" t="str">
        <f t="shared" si="11"/>
        <v xml:space="preserve"> </v>
      </c>
    </row>
    <row r="663" spans="1:6" ht="22.7" customHeight="1">
      <c r="A663" s="28"/>
      <c r="B663" s="29" t="str">
        <f>IFERROR(VLOOKUP(A663,Tabla1[],2,0)," ")</f>
        <v xml:space="preserve"> </v>
      </c>
      <c r="C663" s="29" t="str">
        <f>IFERROR(VLOOKUP(A663,Tabla1[],6,0)," ")</f>
        <v xml:space="preserve"> </v>
      </c>
      <c r="D663" s="30" t="str">
        <f>IFERROR(VLOOKUP(A663,Tabla1[],8,0)," ")</f>
        <v xml:space="preserve"> </v>
      </c>
      <c r="E663" s="31"/>
      <c r="F663" s="30" t="str">
        <f t="shared" si="11"/>
        <v xml:space="preserve"> </v>
      </c>
    </row>
    <row r="664" spans="1:6" ht="22.7" customHeight="1">
      <c r="A664" s="28"/>
      <c r="B664" s="29" t="str">
        <f>IFERROR(VLOOKUP(A664,Tabla1[],2,0)," ")</f>
        <v xml:space="preserve"> </v>
      </c>
      <c r="C664" s="29" t="str">
        <f>IFERROR(VLOOKUP(A664,Tabla1[],6,0)," ")</f>
        <v xml:space="preserve"> </v>
      </c>
      <c r="D664" s="30" t="str">
        <f>IFERROR(VLOOKUP(A664,Tabla1[],8,0)," ")</f>
        <v xml:space="preserve"> </v>
      </c>
      <c r="E664" s="31"/>
      <c r="F664" s="30" t="str">
        <f t="shared" si="11"/>
        <v xml:space="preserve"> </v>
      </c>
    </row>
    <row r="665" spans="1:6" ht="22.7" customHeight="1">
      <c r="A665" s="28"/>
      <c r="B665" s="29" t="str">
        <f>IFERROR(VLOOKUP(A665,Tabla1[],2,0)," ")</f>
        <v xml:space="preserve"> </v>
      </c>
      <c r="C665" s="29" t="str">
        <f>IFERROR(VLOOKUP(A665,Tabla1[],6,0)," ")</f>
        <v xml:space="preserve"> </v>
      </c>
      <c r="D665" s="30" t="str">
        <f>IFERROR(VLOOKUP(A665,Tabla1[],8,0)," ")</f>
        <v xml:space="preserve"> </v>
      </c>
      <c r="E665" s="31"/>
      <c r="F665" s="30" t="str">
        <f t="shared" si="11"/>
        <v xml:space="preserve"> </v>
      </c>
    </row>
    <row r="666" spans="1:6" ht="22.7" customHeight="1">
      <c r="A666" s="28"/>
      <c r="B666" s="29" t="str">
        <f>IFERROR(VLOOKUP(A666,Tabla1[],2,0)," ")</f>
        <v xml:space="preserve"> </v>
      </c>
      <c r="C666" s="29" t="str">
        <f>IFERROR(VLOOKUP(A666,Tabla1[],6,0)," ")</f>
        <v xml:space="preserve"> </v>
      </c>
      <c r="D666" s="30" t="str">
        <f>IFERROR(VLOOKUP(A666,Tabla1[],8,0)," ")</f>
        <v xml:space="preserve"> </v>
      </c>
      <c r="E666" s="31"/>
      <c r="F666" s="30" t="str">
        <f t="shared" si="11"/>
        <v xml:space="preserve"> </v>
      </c>
    </row>
    <row r="667" spans="1:6" ht="22.7" customHeight="1">
      <c r="A667" s="28"/>
      <c r="B667" s="29" t="str">
        <f>IFERROR(VLOOKUP(A667,Tabla1[],2,0)," ")</f>
        <v xml:space="preserve"> </v>
      </c>
      <c r="C667" s="29" t="str">
        <f>IFERROR(VLOOKUP(A667,Tabla1[],6,0)," ")</f>
        <v xml:space="preserve"> </v>
      </c>
      <c r="D667" s="30" t="str">
        <f>IFERROR(VLOOKUP(A667,Tabla1[],8,0)," ")</f>
        <v xml:space="preserve"> </v>
      </c>
      <c r="E667" s="31"/>
      <c r="F667" s="30" t="str">
        <f t="shared" si="11"/>
        <v xml:space="preserve"> </v>
      </c>
    </row>
    <row r="668" spans="1:6" ht="22.7" customHeight="1">
      <c r="A668" s="28"/>
      <c r="B668" s="29" t="str">
        <f>IFERROR(VLOOKUP(A668,Tabla1[],2,0)," ")</f>
        <v xml:space="preserve"> </v>
      </c>
      <c r="C668" s="29" t="str">
        <f>IFERROR(VLOOKUP(A668,Tabla1[],6,0)," ")</f>
        <v xml:space="preserve"> </v>
      </c>
      <c r="D668" s="30" t="str">
        <f>IFERROR(VLOOKUP(A668,Tabla1[],8,0)," ")</f>
        <v xml:space="preserve"> </v>
      </c>
      <c r="E668" s="31"/>
      <c r="F668" s="30" t="str">
        <f t="shared" si="11"/>
        <v xml:space="preserve"> </v>
      </c>
    </row>
    <row r="669" spans="1:6" ht="22.7" customHeight="1">
      <c r="A669" s="28"/>
      <c r="B669" s="29" t="str">
        <f>IFERROR(VLOOKUP(A669,Tabla1[],2,0)," ")</f>
        <v xml:space="preserve"> </v>
      </c>
      <c r="C669" s="29" t="str">
        <f>IFERROR(VLOOKUP(A669,Tabla1[],6,0)," ")</f>
        <v xml:space="preserve"> </v>
      </c>
      <c r="D669" s="30" t="str">
        <f>IFERROR(VLOOKUP(A669,Tabla1[],8,0)," ")</f>
        <v xml:space="preserve"> </v>
      </c>
      <c r="E669" s="31"/>
      <c r="F669" s="30" t="str">
        <f t="shared" si="11"/>
        <v xml:space="preserve"> </v>
      </c>
    </row>
    <row r="670" spans="1:6" ht="22.7" customHeight="1">
      <c r="A670" s="28"/>
      <c r="B670" s="29" t="str">
        <f>IFERROR(VLOOKUP(A670,Tabla1[],2,0)," ")</f>
        <v xml:space="preserve"> </v>
      </c>
      <c r="C670" s="29" t="str">
        <f>IFERROR(VLOOKUP(A670,Tabla1[],6,0)," ")</f>
        <v xml:space="preserve"> </v>
      </c>
      <c r="D670" s="30" t="str">
        <f>IFERROR(VLOOKUP(A670,Tabla1[],8,0)," ")</f>
        <v xml:space="preserve"> </v>
      </c>
      <c r="E670" s="31"/>
      <c r="F670" s="30" t="str">
        <f t="shared" si="11"/>
        <v xml:space="preserve"> </v>
      </c>
    </row>
    <row r="671" spans="1:6" ht="22.7" customHeight="1">
      <c r="A671" s="28"/>
      <c r="B671" s="29" t="str">
        <f>IFERROR(VLOOKUP(A671,Tabla1[],2,0)," ")</f>
        <v xml:space="preserve"> </v>
      </c>
      <c r="C671" s="29" t="str">
        <f>IFERROR(VLOOKUP(A671,Tabla1[],6,0)," ")</f>
        <v xml:space="preserve"> </v>
      </c>
      <c r="D671" s="30" t="str">
        <f>IFERROR(VLOOKUP(A671,Tabla1[],8,0)," ")</f>
        <v xml:space="preserve"> </v>
      </c>
      <c r="E671" s="31"/>
      <c r="F671" s="30" t="str">
        <f t="shared" si="11"/>
        <v xml:space="preserve"> </v>
      </c>
    </row>
    <row r="672" spans="1:6" ht="22.7" customHeight="1">
      <c r="A672" s="28"/>
      <c r="B672" s="29" t="str">
        <f>IFERROR(VLOOKUP(A672,Tabla1[],2,0)," ")</f>
        <v xml:space="preserve"> </v>
      </c>
      <c r="C672" s="29" t="str">
        <f>IFERROR(VLOOKUP(A672,Tabla1[],6,0)," ")</f>
        <v xml:space="preserve"> </v>
      </c>
      <c r="D672" s="30" t="str">
        <f>IFERROR(VLOOKUP(A672,Tabla1[],8,0)," ")</f>
        <v xml:space="preserve"> </v>
      </c>
      <c r="E672" s="31"/>
      <c r="F672" s="30" t="str">
        <f t="shared" si="11"/>
        <v xml:space="preserve"> </v>
      </c>
    </row>
    <row r="673" spans="1:6" ht="22.7" customHeight="1">
      <c r="A673" s="28"/>
      <c r="B673" s="29" t="str">
        <f>IFERROR(VLOOKUP(A673,Tabla1[],2,0)," ")</f>
        <v xml:space="preserve"> </v>
      </c>
      <c r="C673" s="29" t="str">
        <f>IFERROR(VLOOKUP(A673,Tabla1[],6,0)," ")</f>
        <v xml:space="preserve"> </v>
      </c>
      <c r="D673" s="30" t="str">
        <f>IFERROR(VLOOKUP(A673,Tabla1[],8,0)," ")</f>
        <v xml:space="preserve"> </v>
      </c>
      <c r="E673" s="31"/>
      <c r="F673" s="30" t="str">
        <f t="shared" si="11"/>
        <v xml:space="preserve"> </v>
      </c>
    </row>
    <row r="674" spans="1:6" ht="22.7" customHeight="1">
      <c r="A674" s="28"/>
      <c r="B674" s="29" t="str">
        <f>IFERROR(VLOOKUP(A674,Tabla1[],2,0)," ")</f>
        <v xml:space="preserve"> </v>
      </c>
      <c r="C674" s="29" t="str">
        <f>IFERROR(VLOOKUP(A674,Tabla1[],6,0)," ")</f>
        <v xml:space="preserve"> </v>
      </c>
      <c r="D674" s="30" t="str">
        <f>IFERROR(VLOOKUP(A674,Tabla1[],8,0)," ")</f>
        <v xml:space="preserve"> </v>
      </c>
      <c r="E674" s="31"/>
      <c r="F674" s="30" t="str">
        <f t="shared" si="11"/>
        <v xml:space="preserve"> </v>
      </c>
    </row>
    <row r="675" spans="1:6" ht="22.7" customHeight="1">
      <c r="A675" s="28"/>
      <c r="B675" s="29" t="str">
        <f>IFERROR(VLOOKUP(A675,Tabla1[],2,0)," ")</f>
        <v xml:space="preserve"> </v>
      </c>
      <c r="C675" s="29" t="str">
        <f>IFERROR(VLOOKUP(A675,Tabla1[],6,0)," ")</f>
        <v xml:space="preserve"> </v>
      </c>
      <c r="D675" s="30" t="str">
        <f>IFERROR(VLOOKUP(A675,Tabla1[],8,0)," ")</f>
        <v xml:space="preserve"> </v>
      </c>
      <c r="E675" s="31"/>
      <c r="F675" s="30" t="str">
        <f t="shared" si="11"/>
        <v xml:space="preserve"> </v>
      </c>
    </row>
    <row r="676" spans="1:6" ht="22.7" customHeight="1">
      <c r="A676" s="28"/>
      <c r="B676" s="29" t="str">
        <f>IFERROR(VLOOKUP(A676,Tabla1[],2,0)," ")</f>
        <v xml:space="preserve"> </v>
      </c>
      <c r="C676" s="29" t="str">
        <f>IFERROR(VLOOKUP(A676,Tabla1[],6,0)," ")</f>
        <v xml:space="preserve"> </v>
      </c>
      <c r="D676" s="30" t="str">
        <f>IFERROR(VLOOKUP(A676,Tabla1[],8,0)," ")</f>
        <v xml:space="preserve"> </v>
      </c>
      <c r="E676" s="31"/>
      <c r="F676" s="30" t="str">
        <f t="shared" si="11"/>
        <v xml:space="preserve"> </v>
      </c>
    </row>
    <row r="677" spans="1:6" ht="22.7" customHeight="1">
      <c r="A677" s="28"/>
      <c r="B677" s="29" t="str">
        <f>IFERROR(VLOOKUP(A677,Tabla1[],2,0)," ")</f>
        <v xml:space="preserve"> </v>
      </c>
      <c r="C677" s="29" t="str">
        <f>IFERROR(VLOOKUP(A677,Tabla1[],6,0)," ")</f>
        <v xml:space="preserve"> </v>
      </c>
      <c r="D677" s="30" t="str">
        <f>IFERROR(VLOOKUP(A677,Tabla1[],8,0)," ")</f>
        <v xml:space="preserve"> </v>
      </c>
      <c r="E677" s="31"/>
      <c r="F677" s="30" t="str">
        <f t="shared" si="11"/>
        <v xml:space="preserve"> </v>
      </c>
    </row>
    <row r="678" spans="1:6" ht="22.7" customHeight="1">
      <c r="A678" s="28"/>
      <c r="B678" s="29" t="str">
        <f>IFERROR(VLOOKUP(A678,Tabla1[],2,0)," ")</f>
        <v xml:space="preserve"> </v>
      </c>
      <c r="C678" s="29" t="str">
        <f>IFERROR(VLOOKUP(A678,Tabla1[],6,0)," ")</f>
        <v xml:space="preserve"> </v>
      </c>
      <c r="D678" s="30" t="str">
        <f>IFERROR(VLOOKUP(A678,Tabla1[],8,0)," ")</f>
        <v xml:space="preserve"> </v>
      </c>
      <c r="E678" s="31"/>
      <c r="F678" s="30" t="str">
        <f t="shared" si="11"/>
        <v xml:space="preserve"> </v>
      </c>
    </row>
    <row r="679" spans="1:6" ht="22.7" customHeight="1">
      <c r="A679" s="28"/>
      <c r="B679" s="29" t="str">
        <f>IFERROR(VLOOKUP(A679,Tabla1[],2,0)," ")</f>
        <v xml:space="preserve"> </v>
      </c>
      <c r="C679" s="29" t="str">
        <f>IFERROR(VLOOKUP(A679,Tabla1[],6,0)," ")</f>
        <v xml:space="preserve"> </v>
      </c>
      <c r="D679" s="30" t="str">
        <f>IFERROR(VLOOKUP(A679,Tabla1[],8,0)," ")</f>
        <v xml:space="preserve"> </v>
      </c>
      <c r="E679" s="31"/>
      <c r="F679" s="30" t="str">
        <f t="shared" si="11"/>
        <v xml:space="preserve"> </v>
      </c>
    </row>
    <row r="680" spans="1:6" ht="22.7" customHeight="1">
      <c r="A680" s="28"/>
      <c r="B680" s="29" t="str">
        <f>IFERROR(VLOOKUP(A680,Tabla1[],2,0)," ")</f>
        <v xml:space="preserve"> </v>
      </c>
      <c r="C680" s="29" t="str">
        <f>IFERROR(VLOOKUP(A680,Tabla1[],6,0)," ")</f>
        <v xml:space="preserve"> </v>
      </c>
      <c r="D680" s="30" t="str">
        <f>IFERROR(VLOOKUP(A680,Tabla1[],8,0)," ")</f>
        <v xml:space="preserve"> </v>
      </c>
      <c r="E680" s="31"/>
      <c r="F680" s="30" t="str">
        <f t="shared" si="11"/>
        <v xml:space="preserve"> </v>
      </c>
    </row>
    <row r="681" spans="1:6" ht="22.7" customHeight="1">
      <c r="A681" s="28"/>
      <c r="B681" s="29" t="str">
        <f>IFERROR(VLOOKUP(A681,Tabla1[],2,0)," ")</f>
        <v xml:space="preserve"> </v>
      </c>
      <c r="C681" s="29" t="str">
        <f>IFERROR(VLOOKUP(A681,Tabla1[],6,0)," ")</f>
        <v xml:space="preserve"> </v>
      </c>
      <c r="D681" s="30" t="str">
        <f>IFERROR(VLOOKUP(A681,Tabla1[],8,0)," ")</f>
        <v xml:space="preserve"> </v>
      </c>
      <c r="E681" s="31"/>
      <c r="F681" s="30" t="str">
        <f t="shared" si="11"/>
        <v xml:space="preserve"> </v>
      </c>
    </row>
    <row r="682" spans="1:6" ht="22.7" customHeight="1">
      <c r="A682" s="28"/>
      <c r="B682" s="29" t="str">
        <f>IFERROR(VLOOKUP(A682,Tabla1[],2,0)," ")</f>
        <v xml:space="preserve"> </v>
      </c>
      <c r="C682" s="29" t="str">
        <f>IFERROR(VLOOKUP(A682,Tabla1[],6,0)," ")</f>
        <v xml:space="preserve"> </v>
      </c>
      <c r="D682" s="30" t="str">
        <f>IFERROR(VLOOKUP(A682,Tabla1[],8,0)," ")</f>
        <v xml:space="preserve"> </v>
      </c>
      <c r="E682" s="31"/>
      <c r="F682" s="30" t="str">
        <f t="shared" si="11"/>
        <v xml:space="preserve"> </v>
      </c>
    </row>
    <row r="683" spans="1:6" ht="22.7" customHeight="1">
      <c r="A683" s="28"/>
      <c r="B683" s="29" t="str">
        <f>IFERROR(VLOOKUP(A683,Tabla1[],2,0)," ")</f>
        <v xml:space="preserve"> </v>
      </c>
      <c r="C683" s="29" t="str">
        <f>IFERROR(VLOOKUP(A683,Tabla1[],6,0)," ")</f>
        <v xml:space="preserve"> </v>
      </c>
      <c r="D683" s="30" t="str">
        <f>IFERROR(VLOOKUP(A683,Tabla1[],8,0)," ")</f>
        <v xml:space="preserve"> </v>
      </c>
      <c r="E683" s="31"/>
      <c r="F683" s="30" t="str">
        <f t="shared" si="11"/>
        <v xml:space="preserve"> </v>
      </c>
    </row>
    <row r="684" spans="1:6" ht="22.7" customHeight="1">
      <c r="A684" s="28"/>
      <c r="B684" s="29" t="str">
        <f>IFERROR(VLOOKUP(A684,Tabla1[],2,0)," ")</f>
        <v xml:space="preserve"> </v>
      </c>
      <c r="C684" s="29" t="str">
        <f>IFERROR(VLOOKUP(A684,Tabla1[],6,0)," ")</f>
        <v xml:space="preserve"> </v>
      </c>
      <c r="D684" s="30" t="str">
        <f>IFERROR(VLOOKUP(A684,Tabla1[],8,0)," ")</f>
        <v xml:space="preserve"> </v>
      </c>
      <c r="E684" s="31"/>
      <c r="F684" s="30" t="str">
        <f t="shared" si="11"/>
        <v xml:space="preserve"> </v>
      </c>
    </row>
    <row r="685" spans="1:6" ht="22.7" customHeight="1">
      <c r="A685" s="28"/>
      <c r="B685" s="29" t="str">
        <f>IFERROR(VLOOKUP(A685,Tabla1[],2,0)," ")</f>
        <v xml:space="preserve"> </v>
      </c>
      <c r="C685" s="29" t="str">
        <f>IFERROR(VLOOKUP(A685,Tabla1[],6,0)," ")</f>
        <v xml:space="preserve"> </v>
      </c>
      <c r="D685" s="30" t="str">
        <f>IFERROR(VLOOKUP(A685,Tabla1[],8,0)," ")</f>
        <v xml:space="preserve"> </v>
      </c>
      <c r="E685" s="31"/>
      <c r="F685" s="30" t="str">
        <f t="shared" si="11"/>
        <v xml:space="preserve"> </v>
      </c>
    </row>
    <row r="686" spans="1:6" ht="22.7" customHeight="1">
      <c r="A686" s="28"/>
      <c r="B686" s="29" t="str">
        <f>IFERROR(VLOOKUP(A686,Tabla1[],2,0)," ")</f>
        <v xml:space="preserve"> </v>
      </c>
      <c r="C686" s="29" t="str">
        <f>IFERROR(VLOOKUP(A686,Tabla1[],6,0)," ")</f>
        <v xml:space="preserve"> </v>
      </c>
      <c r="D686" s="30" t="str">
        <f>IFERROR(VLOOKUP(A686,Tabla1[],8,0)," ")</f>
        <v xml:space="preserve"> </v>
      </c>
      <c r="E686" s="31"/>
      <c r="F686" s="30" t="str">
        <f t="shared" si="11"/>
        <v xml:space="preserve"> </v>
      </c>
    </row>
    <row r="687" spans="1:6" ht="22.7" customHeight="1">
      <c r="A687" s="28"/>
      <c r="B687" s="29" t="str">
        <f>IFERROR(VLOOKUP(A687,Tabla1[],2,0)," ")</f>
        <v xml:space="preserve"> </v>
      </c>
      <c r="C687" s="29" t="str">
        <f>IFERROR(VLOOKUP(A687,Tabla1[],6,0)," ")</f>
        <v xml:space="preserve"> </v>
      </c>
      <c r="D687" s="30" t="str">
        <f>IFERROR(VLOOKUP(A687,Tabla1[],8,0)," ")</f>
        <v xml:space="preserve"> </v>
      </c>
      <c r="E687" s="31"/>
      <c r="F687" s="30" t="str">
        <f t="shared" si="11"/>
        <v xml:space="preserve"> </v>
      </c>
    </row>
    <row r="688" spans="1:6" ht="22.7" customHeight="1">
      <c r="A688" s="28"/>
      <c r="B688" s="29" t="str">
        <f>IFERROR(VLOOKUP(A688,Tabla1[],2,0)," ")</f>
        <v xml:space="preserve"> </v>
      </c>
      <c r="C688" s="29" t="str">
        <f>IFERROR(VLOOKUP(A688,Tabla1[],6,0)," ")</f>
        <v xml:space="preserve"> </v>
      </c>
      <c r="D688" s="30" t="str">
        <f>IFERROR(VLOOKUP(A688,Tabla1[],8,0)," ")</f>
        <v xml:space="preserve"> </v>
      </c>
      <c r="E688" s="31"/>
      <c r="F688" s="30" t="str">
        <f t="shared" si="11"/>
        <v xml:space="preserve"> </v>
      </c>
    </row>
    <row r="689" spans="1:6" ht="22.7" customHeight="1">
      <c r="A689" s="28"/>
      <c r="B689" s="29" t="str">
        <f>IFERROR(VLOOKUP(A689,Tabla1[],2,0)," ")</f>
        <v xml:space="preserve"> </v>
      </c>
      <c r="C689" s="29" t="str">
        <f>IFERROR(VLOOKUP(A689,Tabla1[],6,0)," ")</f>
        <v xml:space="preserve"> </v>
      </c>
      <c r="D689" s="30" t="str">
        <f>IFERROR(VLOOKUP(A689,Tabla1[],8,0)," ")</f>
        <v xml:space="preserve"> </v>
      </c>
      <c r="E689" s="31"/>
      <c r="F689" s="30" t="str">
        <f t="shared" si="11"/>
        <v xml:space="preserve"> </v>
      </c>
    </row>
    <row r="690" spans="1:6" ht="22.7" customHeight="1">
      <c r="A690" s="28"/>
      <c r="B690" s="29" t="str">
        <f>IFERROR(VLOOKUP(A690,Tabla1[],2,0)," ")</f>
        <v xml:space="preserve"> </v>
      </c>
      <c r="C690" s="29" t="str">
        <f>IFERROR(VLOOKUP(A690,Tabla1[],6,0)," ")</f>
        <v xml:space="preserve"> </v>
      </c>
      <c r="D690" s="30" t="str">
        <f>IFERROR(VLOOKUP(A690,Tabla1[],8,0)," ")</f>
        <v xml:space="preserve"> </v>
      </c>
      <c r="E690" s="31"/>
      <c r="F690" s="30" t="str">
        <f t="shared" si="11"/>
        <v xml:space="preserve"> </v>
      </c>
    </row>
    <row r="691" spans="1:6" ht="22.7" customHeight="1">
      <c r="A691" s="28"/>
      <c r="B691" s="29" t="str">
        <f>IFERROR(VLOOKUP(A691,Tabla1[],2,0)," ")</f>
        <v xml:space="preserve"> </v>
      </c>
      <c r="C691" s="29" t="str">
        <f>IFERROR(VLOOKUP(A691,Tabla1[],6,0)," ")</f>
        <v xml:space="preserve"> </v>
      </c>
      <c r="D691" s="30" t="str">
        <f>IFERROR(VLOOKUP(A691,Tabla1[],8,0)," ")</f>
        <v xml:space="preserve"> </v>
      </c>
      <c r="E691" s="31"/>
      <c r="F691" s="30" t="str">
        <f t="shared" si="11"/>
        <v xml:space="preserve"> </v>
      </c>
    </row>
    <row r="692" spans="1:6" ht="22.7" customHeight="1">
      <c r="A692" s="28"/>
      <c r="B692" s="29" t="str">
        <f>IFERROR(VLOOKUP(A692,Tabla1[],2,0)," ")</f>
        <v xml:space="preserve"> </v>
      </c>
      <c r="C692" s="29" t="str">
        <f>IFERROR(VLOOKUP(A692,Tabla1[],6,0)," ")</f>
        <v xml:space="preserve"> </v>
      </c>
      <c r="D692" s="30" t="str">
        <f>IFERROR(VLOOKUP(A692,Tabla1[],8,0)," ")</f>
        <v xml:space="preserve"> </v>
      </c>
      <c r="E692" s="31"/>
      <c r="F692" s="30" t="str">
        <f t="shared" si="11"/>
        <v xml:space="preserve"> </v>
      </c>
    </row>
    <row r="693" spans="1:6" ht="22.7" customHeight="1">
      <c r="A693" s="28"/>
      <c r="B693" s="29" t="str">
        <f>IFERROR(VLOOKUP(A693,Tabla1[],2,0)," ")</f>
        <v xml:space="preserve"> </v>
      </c>
      <c r="C693" s="29" t="str">
        <f>IFERROR(VLOOKUP(A693,Tabla1[],6,0)," ")</f>
        <v xml:space="preserve"> </v>
      </c>
      <c r="D693" s="30" t="str">
        <f>IFERROR(VLOOKUP(A693,Tabla1[],8,0)," ")</f>
        <v xml:space="preserve"> </v>
      </c>
      <c r="E693" s="31"/>
      <c r="F693" s="30" t="str">
        <f t="shared" si="11"/>
        <v xml:space="preserve"> </v>
      </c>
    </row>
    <row r="694" spans="1:6" ht="22.7" customHeight="1">
      <c r="A694" s="28"/>
      <c r="B694" s="29" t="str">
        <f>IFERROR(VLOOKUP(A694,Tabla1[],2,0)," ")</f>
        <v xml:space="preserve"> </v>
      </c>
      <c r="C694" s="29" t="str">
        <f>IFERROR(VLOOKUP(A694,Tabla1[],6,0)," ")</f>
        <v xml:space="preserve"> </v>
      </c>
      <c r="D694" s="30" t="str">
        <f>IFERROR(VLOOKUP(A694,Tabla1[],8,0)," ")</f>
        <v xml:space="preserve"> </v>
      </c>
      <c r="E694" s="31"/>
      <c r="F694" s="30" t="str">
        <f t="shared" si="11"/>
        <v xml:space="preserve"> </v>
      </c>
    </row>
    <row r="695" spans="1:6" ht="22.7" customHeight="1">
      <c r="A695" s="28"/>
      <c r="B695" s="29" t="str">
        <f>IFERROR(VLOOKUP(A695,Tabla1[],2,0)," ")</f>
        <v xml:space="preserve"> </v>
      </c>
      <c r="C695" s="29" t="str">
        <f>IFERROR(VLOOKUP(A695,Tabla1[],6,0)," ")</f>
        <v xml:space="preserve"> </v>
      </c>
      <c r="D695" s="30" t="str">
        <f>IFERROR(VLOOKUP(A695,Tabla1[],8,0)," ")</f>
        <v xml:space="preserve"> </v>
      </c>
      <c r="E695" s="31"/>
      <c r="F695" s="30" t="str">
        <f t="shared" si="11"/>
        <v xml:space="preserve"> </v>
      </c>
    </row>
    <row r="696" spans="1:6" ht="22.7" customHeight="1">
      <c r="A696" s="28"/>
      <c r="B696" s="29" t="str">
        <f>IFERROR(VLOOKUP(A696,Tabla1[],2,0)," ")</f>
        <v xml:space="preserve"> </v>
      </c>
      <c r="C696" s="29" t="str">
        <f>IFERROR(VLOOKUP(A696,Tabla1[],6,0)," ")</f>
        <v xml:space="preserve"> </v>
      </c>
      <c r="D696" s="30" t="str">
        <f>IFERROR(VLOOKUP(A696,Tabla1[],8,0)," ")</f>
        <v xml:space="preserve"> </v>
      </c>
      <c r="E696" s="31"/>
      <c r="F696" s="30" t="str">
        <f t="shared" si="11"/>
        <v xml:space="preserve"> </v>
      </c>
    </row>
    <row r="697" spans="1:6" ht="22.7" customHeight="1">
      <c r="A697" s="28"/>
      <c r="B697" s="29" t="str">
        <f>IFERROR(VLOOKUP(A697,Tabla1[],2,0)," ")</f>
        <v xml:space="preserve"> </v>
      </c>
      <c r="C697" s="29" t="str">
        <f>IFERROR(VLOOKUP(A697,Tabla1[],6,0)," ")</f>
        <v xml:space="preserve"> </v>
      </c>
      <c r="D697" s="30" t="str">
        <f>IFERROR(VLOOKUP(A697,Tabla1[],8,0)," ")</f>
        <v xml:space="preserve"> </v>
      </c>
      <c r="E697" s="31"/>
      <c r="F697" s="30" t="str">
        <f t="shared" si="11"/>
        <v xml:space="preserve"> </v>
      </c>
    </row>
    <row r="698" spans="1:6" ht="22.7" customHeight="1">
      <c r="A698" s="28"/>
      <c r="B698" s="29" t="str">
        <f>IFERROR(VLOOKUP(A698,Tabla1[],2,0)," ")</f>
        <v xml:space="preserve"> </v>
      </c>
      <c r="C698" s="29" t="str">
        <f>IFERROR(VLOOKUP(A698,Tabla1[],6,0)," ")</f>
        <v xml:space="preserve"> </v>
      </c>
      <c r="D698" s="30" t="str">
        <f>IFERROR(VLOOKUP(A698,Tabla1[],8,0)," ")</f>
        <v xml:space="preserve"> </v>
      </c>
      <c r="E698" s="31"/>
      <c r="F698" s="30" t="str">
        <f t="shared" si="11"/>
        <v xml:space="preserve"> </v>
      </c>
    </row>
    <row r="699" spans="1:6" ht="22.7" customHeight="1">
      <c r="A699" s="28"/>
      <c r="B699" s="29" t="str">
        <f>IFERROR(VLOOKUP(A699,Tabla1[],2,0)," ")</f>
        <v xml:space="preserve"> </v>
      </c>
      <c r="C699" s="29" t="str">
        <f>IFERROR(VLOOKUP(A699,Tabla1[],6,0)," ")</f>
        <v xml:space="preserve"> </v>
      </c>
      <c r="D699" s="30" t="str">
        <f>IFERROR(VLOOKUP(A699,Tabla1[],8,0)," ")</f>
        <v xml:space="preserve"> </v>
      </c>
      <c r="E699" s="31"/>
      <c r="F699" s="30" t="str">
        <f t="shared" si="11"/>
        <v xml:space="preserve"> </v>
      </c>
    </row>
    <row r="700" spans="1:6" ht="22.7" customHeight="1">
      <c r="A700" s="28"/>
      <c r="B700" s="29" t="str">
        <f>IFERROR(VLOOKUP(A700,Tabla1[],2,0)," ")</f>
        <v xml:space="preserve"> </v>
      </c>
      <c r="C700" s="29" t="str">
        <f>IFERROR(VLOOKUP(A700,Tabla1[],6,0)," ")</f>
        <v xml:space="preserve"> </v>
      </c>
      <c r="D700" s="30" t="str">
        <f>IFERROR(VLOOKUP(A700,Tabla1[],8,0)," ")</f>
        <v xml:space="preserve"> </v>
      </c>
      <c r="E700" s="31"/>
      <c r="F700" s="30" t="str">
        <f t="shared" si="11"/>
        <v xml:space="preserve"> </v>
      </c>
    </row>
    <row r="701" spans="1:6" ht="22.7" customHeight="1">
      <c r="A701" s="28"/>
      <c r="B701" s="29" t="str">
        <f>IFERROR(VLOOKUP(A701,Tabla1[],2,0)," ")</f>
        <v xml:space="preserve"> </v>
      </c>
      <c r="C701" s="29" t="str">
        <f>IFERROR(VLOOKUP(A701,Tabla1[],6,0)," ")</f>
        <v xml:space="preserve"> </v>
      </c>
      <c r="D701" s="30" t="str">
        <f>IFERROR(VLOOKUP(A701,Tabla1[],8,0)," ")</f>
        <v xml:space="preserve"> </v>
      </c>
      <c r="E701" s="31"/>
      <c r="F701" s="30" t="str">
        <f t="shared" si="11"/>
        <v xml:space="preserve"> </v>
      </c>
    </row>
    <row r="702" spans="1:6" ht="22.7" customHeight="1">
      <c r="A702" s="28"/>
      <c r="B702" s="29" t="str">
        <f>IFERROR(VLOOKUP(A702,Tabla1[],2,0)," ")</f>
        <v xml:space="preserve"> </v>
      </c>
      <c r="C702" s="29" t="str">
        <f>IFERROR(VLOOKUP(A702,Tabla1[],6,0)," ")</f>
        <v xml:space="preserve"> </v>
      </c>
      <c r="D702" s="30" t="str">
        <f>IFERROR(VLOOKUP(A702,Tabla1[],8,0)," ")</f>
        <v xml:space="preserve"> </v>
      </c>
      <c r="E702" s="31"/>
      <c r="F702" s="30" t="str">
        <f t="shared" si="11"/>
        <v xml:space="preserve"> </v>
      </c>
    </row>
    <row r="703" spans="1:6" ht="22.7" customHeight="1">
      <c r="A703" s="28"/>
      <c r="B703" s="29" t="str">
        <f>IFERROR(VLOOKUP(A703,Tabla1[],2,0)," ")</f>
        <v xml:space="preserve"> </v>
      </c>
      <c r="C703" s="29" t="str">
        <f>IFERROR(VLOOKUP(A703,Tabla1[],6,0)," ")</f>
        <v xml:space="preserve"> </v>
      </c>
      <c r="D703" s="30" t="str">
        <f>IFERROR(VLOOKUP(A703,Tabla1[],8,0)," ")</f>
        <v xml:space="preserve"> </v>
      </c>
      <c r="E703" s="31"/>
      <c r="F703" s="30" t="str">
        <f t="shared" si="11"/>
        <v xml:space="preserve"> </v>
      </c>
    </row>
    <row r="704" spans="1:6" ht="22.7" customHeight="1">
      <c r="A704" s="28"/>
      <c r="B704" s="29" t="str">
        <f>IFERROR(VLOOKUP(A704,Tabla1[],2,0)," ")</f>
        <v xml:space="preserve"> </v>
      </c>
      <c r="C704" s="29" t="str">
        <f>IFERROR(VLOOKUP(A704,Tabla1[],6,0)," ")</f>
        <v xml:space="preserve"> </v>
      </c>
      <c r="D704" s="30" t="str">
        <f>IFERROR(VLOOKUP(A704,Tabla1[],8,0)," ")</f>
        <v xml:space="preserve"> </v>
      </c>
      <c r="E704" s="31"/>
      <c r="F704" s="30" t="str">
        <f t="shared" si="11"/>
        <v xml:space="preserve"> </v>
      </c>
    </row>
    <row r="705" spans="1:6" ht="22.7" customHeight="1">
      <c r="A705" s="28"/>
      <c r="B705" s="29" t="str">
        <f>IFERROR(VLOOKUP(A705,Tabla1[],2,0)," ")</f>
        <v xml:space="preserve"> </v>
      </c>
      <c r="C705" s="29" t="str">
        <f>IFERROR(VLOOKUP(A705,Tabla1[],6,0)," ")</f>
        <v xml:space="preserve"> </v>
      </c>
      <c r="D705" s="30" t="str">
        <f>IFERROR(VLOOKUP(A705,Tabla1[],8,0)," ")</f>
        <v xml:space="preserve"> </v>
      </c>
      <c r="E705" s="31"/>
      <c r="F705" s="30" t="str">
        <f t="shared" si="11"/>
        <v xml:space="preserve"> </v>
      </c>
    </row>
    <row r="706" spans="1:6" ht="22.7" customHeight="1">
      <c r="A706" s="28"/>
      <c r="B706" s="29" t="str">
        <f>IFERROR(VLOOKUP(A706,Tabla1[],2,0)," ")</f>
        <v xml:space="preserve"> </v>
      </c>
      <c r="C706" s="29" t="str">
        <f>IFERROR(VLOOKUP(A706,Tabla1[],6,0)," ")</f>
        <v xml:space="preserve"> </v>
      </c>
      <c r="D706" s="30" t="str">
        <f>IFERROR(VLOOKUP(A706,Tabla1[],8,0)," ")</f>
        <v xml:space="preserve"> </v>
      </c>
      <c r="E706" s="31"/>
      <c r="F706" s="30" t="str">
        <f t="shared" si="11"/>
        <v xml:space="preserve"> </v>
      </c>
    </row>
    <row r="707" spans="1:6" ht="22.7" customHeight="1">
      <c r="A707" s="28"/>
      <c r="B707" s="29" t="str">
        <f>IFERROR(VLOOKUP(A707,Tabla1[],2,0)," ")</f>
        <v xml:space="preserve"> </v>
      </c>
      <c r="C707" s="29" t="str">
        <f>IFERROR(VLOOKUP(A707,Tabla1[],6,0)," ")</f>
        <v xml:space="preserve"> </v>
      </c>
      <c r="D707" s="30" t="str">
        <f>IFERROR(VLOOKUP(A707,Tabla1[],8,0)," ")</f>
        <v xml:space="preserve"> </v>
      </c>
      <c r="E707" s="31"/>
      <c r="F707" s="30" t="str">
        <f t="shared" si="11"/>
        <v xml:space="preserve"> </v>
      </c>
    </row>
    <row r="708" spans="1:6" ht="22.7" customHeight="1">
      <c r="A708" s="28"/>
      <c r="B708" s="29" t="str">
        <f>IFERROR(VLOOKUP(A708,Tabla1[],2,0)," ")</f>
        <v xml:space="preserve"> </v>
      </c>
      <c r="C708" s="29" t="str">
        <f>IFERROR(VLOOKUP(A708,Tabla1[],6,0)," ")</f>
        <v xml:space="preserve"> </v>
      </c>
      <c r="D708" s="30" t="str">
        <f>IFERROR(VLOOKUP(A708,Tabla1[],8,0)," ")</f>
        <v xml:space="preserve"> </v>
      </c>
      <c r="E708" s="31"/>
      <c r="F708" s="30" t="str">
        <f t="shared" ref="F708:F771" si="12">IFERROR((E708*D708), " ")</f>
        <v xml:space="preserve"> </v>
      </c>
    </row>
    <row r="709" spans="1:6" ht="22.7" customHeight="1">
      <c r="A709" s="28"/>
      <c r="B709" s="29" t="str">
        <f>IFERROR(VLOOKUP(A709,Tabla1[],2,0)," ")</f>
        <v xml:space="preserve"> </v>
      </c>
      <c r="C709" s="29" t="str">
        <f>IFERROR(VLOOKUP(A709,Tabla1[],6,0)," ")</f>
        <v xml:space="preserve"> </v>
      </c>
      <c r="D709" s="30" t="str">
        <f>IFERROR(VLOOKUP(A709,Tabla1[],8,0)," ")</f>
        <v xml:space="preserve"> </v>
      </c>
      <c r="E709" s="31"/>
      <c r="F709" s="30" t="str">
        <f t="shared" si="12"/>
        <v xml:space="preserve"> </v>
      </c>
    </row>
    <row r="710" spans="1:6" ht="22.7" customHeight="1">
      <c r="A710" s="28"/>
      <c r="B710" s="29" t="str">
        <f>IFERROR(VLOOKUP(A710,Tabla1[],2,0)," ")</f>
        <v xml:space="preserve"> </v>
      </c>
      <c r="C710" s="29" t="str">
        <f>IFERROR(VLOOKUP(A710,Tabla1[],6,0)," ")</f>
        <v xml:space="preserve"> </v>
      </c>
      <c r="D710" s="30" t="str">
        <f>IFERROR(VLOOKUP(A710,Tabla1[],8,0)," ")</f>
        <v xml:space="preserve"> </v>
      </c>
      <c r="E710" s="31"/>
      <c r="F710" s="30" t="str">
        <f t="shared" si="12"/>
        <v xml:space="preserve"> </v>
      </c>
    </row>
    <row r="711" spans="1:6" ht="22.7" customHeight="1">
      <c r="A711" s="28"/>
      <c r="B711" s="29" t="str">
        <f>IFERROR(VLOOKUP(A711,Tabla1[],2,0)," ")</f>
        <v xml:space="preserve"> </v>
      </c>
      <c r="C711" s="29" t="str">
        <f>IFERROR(VLOOKUP(A711,Tabla1[],6,0)," ")</f>
        <v xml:space="preserve"> </v>
      </c>
      <c r="D711" s="30" t="str">
        <f>IFERROR(VLOOKUP(A711,Tabla1[],8,0)," ")</f>
        <v xml:space="preserve"> </v>
      </c>
      <c r="E711" s="31"/>
      <c r="F711" s="30" t="str">
        <f t="shared" si="12"/>
        <v xml:space="preserve"> </v>
      </c>
    </row>
    <row r="712" spans="1:6" ht="22.7" customHeight="1">
      <c r="A712" s="28"/>
      <c r="B712" s="29" t="str">
        <f>IFERROR(VLOOKUP(A712,Tabla1[],2,0)," ")</f>
        <v xml:space="preserve"> </v>
      </c>
      <c r="C712" s="29" t="str">
        <f>IFERROR(VLOOKUP(A712,Tabla1[],6,0)," ")</f>
        <v xml:space="preserve"> </v>
      </c>
      <c r="D712" s="30" t="str">
        <f>IFERROR(VLOOKUP(A712,Tabla1[],8,0)," ")</f>
        <v xml:space="preserve"> </v>
      </c>
      <c r="E712" s="31"/>
      <c r="F712" s="30" t="str">
        <f t="shared" si="12"/>
        <v xml:space="preserve"> </v>
      </c>
    </row>
    <row r="713" spans="1:6" ht="22.7" customHeight="1">
      <c r="A713" s="28"/>
      <c r="B713" s="29" t="str">
        <f>IFERROR(VLOOKUP(A713,Tabla1[],2,0)," ")</f>
        <v xml:space="preserve"> </v>
      </c>
      <c r="C713" s="29" t="str">
        <f>IFERROR(VLOOKUP(A713,Tabla1[],6,0)," ")</f>
        <v xml:space="preserve"> </v>
      </c>
      <c r="D713" s="30" t="str">
        <f>IFERROR(VLOOKUP(A713,Tabla1[],8,0)," ")</f>
        <v xml:space="preserve"> </v>
      </c>
      <c r="E713" s="31"/>
      <c r="F713" s="30" t="str">
        <f t="shared" si="12"/>
        <v xml:space="preserve"> </v>
      </c>
    </row>
    <row r="714" spans="1:6" ht="22.7" customHeight="1">
      <c r="A714" s="28"/>
      <c r="B714" s="29" t="str">
        <f>IFERROR(VLOOKUP(A714,Tabla1[],2,0)," ")</f>
        <v xml:space="preserve"> </v>
      </c>
      <c r="C714" s="29" t="str">
        <f>IFERROR(VLOOKUP(A714,Tabla1[],6,0)," ")</f>
        <v xml:space="preserve"> </v>
      </c>
      <c r="D714" s="30" t="str">
        <f>IFERROR(VLOOKUP(A714,Tabla1[],8,0)," ")</f>
        <v xml:space="preserve"> </v>
      </c>
      <c r="E714" s="31"/>
      <c r="F714" s="30" t="str">
        <f t="shared" si="12"/>
        <v xml:space="preserve"> </v>
      </c>
    </row>
    <row r="715" spans="1:6" ht="22.7" customHeight="1">
      <c r="A715" s="28"/>
      <c r="B715" s="29" t="str">
        <f>IFERROR(VLOOKUP(A715,Tabla1[],2,0)," ")</f>
        <v xml:space="preserve"> </v>
      </c>
      <c r="C715" s="29" t="str">
        <f>IFERROR(VLOOKUP(A715,Tabla1[],6,0)," ")</f>
        <v xml:space="preserve"> </v>
      </c>
      <c r="D715" s="30" t="str">
        <f>IFERROR(VLOOKUP(A715,Tabla1[],8,0)," ")</f>
        <v xml:space="preserve"> </v>
      </c>
      <c r="E715" s="31"/>
      <c r="F715" s="30" t="str">
        <f t="shared" si="12"/>
        <v xml:space="preserve"> </v>
      </c>
    </row>
    <row r="716" spans="1:6" ht="22.7" customHeight="1">
      <c r="A716" s="28"/>
      <c r="B716" s="29" t="str">
        <f>IFERROR(VLOOKUP(A716,Tabla1[],2,0)," ")</f>
        <v xml:space="preserve"> </v>
      </c>
      <c r="C716" s="29" t="str">
        <f>IFERROR(VLOOKUP(A716,Tabla1[],6,0)," ")</f>
        <v xml:space="preserve"> </v>
      </c>
      <c r="D716" s="30" t="str">
        <f>IFERROR(VLOOKUP(A716,Tabla1[],8,0)," ")</f>
        <v xml:space="preserve"> </v>
      </c>
      <c r="E716" s="31"/>
      <c r="F716" s="30" t="str">
        <f t="shared" si="12"/>
        <v xml:space="preserve"> </v>
      </c>
    </row>
    <row r="717" spans="1:6" ht="22.7" customHeight="1">
      <c r="A717" s="28"/>
      <c r="B717" s="29" t="str">
        <f>IFERROR(VLOOKUP(A717,Tabla1[],2,0)," ")</f>
        <v xml:space="preserve"> </v>
      </c>
      <c r="C717" s="29" t="str">
        <f>IFERROR(VLOOKUP(A717,Tabla1[],6,0)," ")</f>
        <v xml:space="preserve"> </v>
      </c>
      <c r="D717" s="30" t="str">
        <f>IFERROR(VLOOKUP(A717,Tabla1[],8,0)," ")</f>
        <v xml:space="preserve"> </v>
      </c>
      <c r="E717" s="31"/>
      <c r="F717" s="30" t="str">
        <f t="shared" si="12"/>
        <v xml:space="preserve"> </v>
      </c>
    </row>
    <row r="718" spans="1:6" ht="22.7" customHeight="1">
      <c r="A718" s="28"/>
      <c r="B718" s="29" t="str">
        <f>IFERROR(VLOOKUP(A718,Tabla1[],2,0)," ")</f>
        <v xml:space="preserve"> </v>
      </c>
      <c r="C718" s="29" t="str">
        <f>IFERROR(VLOOKUP(A718,Tabla1[],6,0)," ")</f>
        <v xml:space="preserve"> </v>
      </c>
      <c r="D718" s="30" t="str">
        <f>IFERROR(VLOOKUP(A718,Tabla1[],8,0)," ")</f>
        <v xml:space="preserve"> </v>
      </c>
      <c r="E718" s="31"/>
      <c r="F718" s="30" t="str">
        <f t="shared" si="12"/>
        <v xml:space="preserve"> </v>
      </c>
    </row>
    <row r="719" spans="1:6" ht="22.7" customHeight="1">
      <c r="A719" s="28"/>
      <c r="B719" s="29" t="str">
        <f>IFERROR(VLOOKUP(A719,Tabla1[],2,0)," ")</f>
        <v xml:space="preserve"> </v>
      </c>
      <c r="C719" s="29" t="str">
        <f>IFERROR(VLOOKUP(A719,Tabla1[],6,0)," ")</f>
        <v xml:space="preserve"> </v>
      </c>
      <c r="D719" s="30" t="str">
        <f>IFERROR(VLOOKUP(A719,Tabla1[],8,0)," ")</f>
        <v xml:space="preserve"> </v>
      </c>
      <c r="E719" s="31"/>
      <c r="F719" s="30" t="str">
        <f t="shared" si="12"/>
        <v xml:space="preserve"> </v>
      </c>
    </row>
    <row r="720" spans="1:6" ht="22.7" customHeight="1">
      <c r="A720" s="28"/>
      <c r="B720" s="29" t="str">
        <f>IFERROR(VLOOKUP(A720,Tabla1[],2,0)," ")</f>
        <v xml:space="preserve"> </v>
      </c>
      <c r="C720" s="29" t="str">
        <f>IFERROR(VLOOKUP(A720,Tabla1[],6,0)," ")</f>
        <v xml:space="preserve"> </v>
      </c>
      <c r="D720" s="30" t="str">
        <f>IFERROR(VLOOKUP(A720,Tabla1[],8,0)," ")</f>
        <v xml:space="preserve"> </v>
      </c>
      <c r="E720" s="31"/>
      <c r="F720" s="30" t="str">
        <f t="shared" si="12"/>
        <v xml:space="preserve"> </v>
      </c>
    </row>
    <row r="721" spans="1:6" ht="22.7" customHeight="1">
      <c r="A721" s="28"/>
      <c r="B721" s="29" t="str">
        <f>IFERROR(VLOOKUP(A721,Tabla1[],2,0)," ")</f>
        <v xml:space="preserve"> </v>
      </c>
      <c r="C721" s="29" t="str">
        <f>IFERROR(VLOOKUP(A721,Tabla1[],6,0)," ")</f>
        <v xml:space="preserve"> </v>
      </c>
      <c r="D721" s="30" t="str">
        <f>IFERROR(VLOOKUP(A721,Tabla1[],8,0)," ")</f>
        <v xml:space="preserve"> </v>
      </c>
      <c r="E721" s="31"/>
      <c r="F721" s="30" t="str">
        <f t="shared" si="12"/>
        <v xml:space="preserve"> </v>
      </c>
    </row>
    <row r="722" spans="1:6" ht="22.7" customHeight="1">
      <c r="A722" s="28"/>
      <c r="B722" s="29" t="str">
        <f>IFERROR(VLOOKUP(A722,Tabla1[],2,0)," ")</f>
        <v xml:space="preserve"> </v>
      </c>
      <c r="C722" s="29" t="str">
        <f>IFERROR(VLOOKUP(A722,Tabla1[],6,0)," ")</f>
        <v xml:space="preserve"> </v>
      </c>
      <c r="D722" s="30" t="str">
        <f>IFERROR(VLOOKUP(A722,Tabla1[],8,0)," ")</f>
        <v xml:space="preserve"> </v>
      </c>
      <c r="E722" s="31"/>
      <c r="F722" s="30" t="str">
        <f t="shared" si="12"/>
        <v xml:space="preserve"> </v>
      </c>
    </row>
    <row r="723" spans="1:6" ht="22.7" customHeight="1">
      <c r="A723" s="28"/>
      <c r="B723" s="29" t="str">
        <f>IFERROR(VLOOKUP(A723,Tabla1[],2,0)," ")</f>
        <v xml:space="preserve"> </v>
      </c>
      <c r="C723" s="29" t="str">
        <f>IFERROR(VLOOKUP(A723,Tabla1[],6,0)," ")</f>
        <v xml:space="preserve"> </v>
      </c>
      <c r="D723" s="30" t="str">
        <f>IFERROR(VLOOKUP(A723,Tabla1[],8,0)," ")</f>
        <v xml:space="preserve"> </v>
      </c>
      <c r="E723" s="31"/>
      <c r="F723" s="30" t="str">
        <f t="shared" si="12"/>
        <v xml:space="preserve"> </v>
      </c>
    </row>
    <row r="724" spans="1:6" ht="22.7" customHeight="1">
      <c r="A724" s="28"/>
      <c r="B724" s="29" t="str">
        <f>IFERROR(VLOOKUP(A724,Tabla1[],2,0)," ")</f>
        <v xml:space="preserve"> </v>
      </c>
      <c r="C724" s="29" t="str">
        <f>IFERROR(VLOOKUP(A724,Tabla1[],6,0)," ")</f>
        <v xml:space="preserve"> </v>
      </c>
      <c r="D724" s="30" t="str">
        <f>IFERROR(VLOOKUP(A724,Tabla1[],8,0)," ")</f>
        <v xml:space="preserve"> </v>
      </c>
      <c r="E724" s="31"/>
      <c r="F724" s="30" t="str">
        <f t="shared" si="12"/>
        <v xml:space="preserve"> </v>
      </c>
    </row>
    <row r="725" spans="1:6" ht="22.7" customHeight="1">
      <c r="A725" s="28"/>
      <c r="B725" s="29" t="str">
        <f>IFERROR(VLOOKUP(A725,Tabla1[],2,0)," ")</f>
        <v xml:space="preserve"> </v>
      </c>
      <c r="C725" s="29" t="str">
        <f>IFERROR(VLOOKUP(A725,Tabla1[],6,0)," ")</f>
        <v xml:space="preserve"> </v>
      </c>
      <c r="D725" s="30" t="str">
        <f>IFERROR(VLOOKUP(A725,Tabla1[],8,0)," ")</f>
        <v xml:space="preserve"> </v>
      </c>
      <c r="E725" s="31"/>
      <c r="F725" s="30" t="str">
        <f t="shared" si="12"/>
        <v xml:space="preserve"> </v>
      </c>
    </row>
    <row r="726" spans="1:6" ht="22.7" customHeight="1">
      <c r="A726" s="28"/>
      <c r="B726" s="29" t="str">
        <f>IFERROR(VLOOKUP(A726,Tabla1[],2,0)," ")</f>
        <v xml:space="preserve"> </v>
      </c>
      <c r="C726" s="29" t="str">
        <f>IFERROR(VLOOKUP(A726,Tabla1[],6,0)," ")</f>
        <v xml:space="preserve"> </v>
      </c>
      <c r="D726" s="30" t="str">
        <f>IFERROR(VLOOKUP(A726,Tabla1[],8,0)," ")</f>
        <v xml:space="preserve"> </v>
      </c>
      <c r="E726" s="31"/>
      <c r="F726" s="30" t="str">
        <f t="shared" si="12"/>
        <v xml:space="preserve"> </v>
      </c>
    </row>
    <row r="727" spans="1:6" ht="22.7" customHeight="1">
      <c r="A727" s="28"/>
      <c r="B727" s="29" t="str">
        <f>IFERROR(VLOOKUP(A727,Tabla1[],2,0)," ")</f>
        <v xml:space="preserve"> </v>
      </c>
      <c r="C727" s="29" t="str">
        <f>IFERROR(VLOOKUP(A727,Tabla1[],6,0)," ")</f>
        <v xml:space="preserve"> </v>
      </c>
      <c r="D727" s="30" t="str">
        <f>IFERROR(VLOOKUP(A727,Tabla1[],8,0)," ")</f>
        <v xml:space="preserve"> </v>
      </c>
      <c r="E727" s="31"/>
      <c r="F727" s="30" t="str">
        <f t="shared" si="12"/>
        <v xml:space="preserve"> </v>
      </c>
    </row>
    <row r="728" spans="1:6" ht="22.7" customHeight="1">
      <c r="A728" s="28"/>
      <c r="B728" s="29" t="str">
        <f>IFERROR(VLOOKUP(A728,Tabla1[],2,0)," ")</f>
        <v xml:space="preserve"> </v>
      </c>
      <c r="C728" s="29" t="str">
        <f>IFERROR(VLOOKUP(A728,Tabla1[],6,0)," ")</f>
        <v xml:space="preserve"> </v>
      </c>
      <c r="D728" s="30" t="str">
        <f>IFERROR(VLOOKUP(A728,Tabla1[],8,0)," ")</f>
        <v xml:space="preserve"> </v>
      </c>
      <c r="E728" s="31"/>
      <c r="F728" s="30" t="str">
        <f t="shared" si="12"/>
        <v xml:space="preserve"> </v>
      </c>
    </row>
    <row r="729" spans="1:6" ht="22.7" customHeight="1">
      <c r="A729" s="28"/>
      <c r="B729" s="29" t="str">
        <f>IFERROR(VLOOKUP(A729,Tabla1[],2,0)," ")</f>
        <v xml:space="preserve"> </v>
      </c>
      <c r="C729" s="29" t="str">
        <f>IFERROR(VLOOKUP(A729,Tabla1[],6,0)," ")</f>
        <v xml:space="preserve"> </v>
      </c>
      <c r="D729" s="30" t="str">
        <f>IFERROR(VLOOKUP(A729,Tabla1[],8,0)," ")</f>
        <v xml:space="preserve"> </v>
      </c>
      <c r="E729" s="31"/>
      <c r="F729" s="30" t="str">
        <f t="shared" si="12"/>
        <v xml:space="preserve"> </v>
      </c>
    </row>
    <row r="730" spans="1:6" ht="22.7" customHeight="1">
      <c r="A730" s="28"/>
      <c r="B730" s="29" t="str">
        <f>IFERROR(VLOOKUP(A730,Tabla1[],2,0)," ")</f>
        <v xml:space="preserve"> </v>
      </c>
      <c r="C730" s="29" t="str">
        <f>IFERROR(VLOOKUP(A730,Tabla1[],6,0)," ")</f>
        <v xml:space="preserve"> </v>
      </c>
      <c r="D730" s="30" t="str">
        <f>IFERROR(VLOOKUP(A730,Tabla1[],8,0)," ")</f>
        <v xml:space="preserve"> </v>
      </c>
      <c r="E730" s="31"/>
      <c r="F730" s="30" t="str">
        <f t="shared" si="12"/>
        <v xml:space="preserve"> </v>
      </c>
    </row>
    <row r="731" spans="1:6" ht="22.7" customHeight="1">
      <c r="A731" s="28"/>
      <c r="B731" s="29" t="str">
        <f>IFERROR(VLOOKUP(A731,Tabla1[],2,0)," ")</f>
        <v xml:space="preserve"> </v>
      </c>
      <c r="C731" s="29" t="str">
        <f>IFERROR(VLOOKUP(A731,Tabla1[],6,0)," ")</f>
        <v xml:space="preserve"> </v>
      </c>
      <c r="D731" s="30" t="str">
        <f>IFERROR(VLOOKUP(A731,Tabla1[],8,0)," ")</f>
        <v xml:space="preserve"> </v>
      </c>
      <c r="E731" s="31"/>
      <c r="F731" s="30" t="str">
        <f t="shared" si="12"/>
        <v xml:space="preserve"> </v>
      </c>
    </row>
    <row r="732" spans="1:6" ht="22.7" customHeight="1">
      <c r="A732" s="28"/>
      <c r="B732" s="29" t="str">
        <f>IFERROR(VLOOKUP(A732,Tabla1[],2,0)," ")</f>
        <v xml:space="preserve"> </v>
      </c>
      <c r="C732" s="29" t="str">
        <f>IFERROR(VLOOKUP(A732,Tabla1[],6,0)," ")</f>
        <v xml:space="preserve"> </v>
      </c>
      <c r="D732" s="30" t="str">
        <f>IFERROR(VLOOKUP(A732,Tabla1[],8,0)," ")</f>
        <v xml:space="preserve"> </v>
      </c>
      <c r="E732" s="31"/>
      <c r="F732" s="30" t="str">
        <f t="shared" si="12"/>
        <v xml:space="preserve"> </v>
      </c>
    </row>
    <row r="733" spans="1:6" ht="22.7" customHeight="1">
      <c r="A733" s="28"/>
      <c r="B733" s="29" t="str">
        <f>IFERROR(VLOOKUP(A733,Tabla1[],2,0)," ")</f>
        <v xml:space="preserve"> </v>
      </c>
      <c r="C733" s="29" t="str">
        <f>IFERROR(VLOOKUP(A733,Tabla1[],6,0)," ")</f>
        <v xml:space="preserve"> </v>
      </c>
      <c r="D733" s="30" t="str">
        <f>IFERROR(VLOOKUP(A733,Tabla1[],8,0)," ")</f>
        <v xml:space="preserve"> </v>
      </c>
      <c r="E733" s="31"/>
      <c r="F733" s="30" t="str">
        <f t="shared" si="12"/>
        <v xml:space="preserve"> </v>
      </c>
    </row>
    <row r="734" spans="1:6" ht="22.7" customHeight="1">
      <c r="A734" s="28"/>
      <c r="B734" s="29" t="str">
        <f>IFERROR(VLOOKUP(A734,Tabla1[],2,0)," ")</f>
        <v xml:space="preserve"> </v>
      </c>
      <c r="C734" s="29" t="str">
        <f>IFERROR(VLOOKUP(A734,Tabla1[],6,0)," ")</f>
        <v xml:space="preserve"> </v>
      </c>
      <c r="D734" s="30" t="str">
        <f>IFERROR(VLOOKUP(A734,Tabla1[],8,0)," ")</f>
        <v xml:space="preserve"> </v>
      </c>
      <c r="E734" s="31"/>
      <c r="F734" s="30" t="str">
        <f t="shared" si="12"/>
        <v xml:space="preserve"> </v>
      </c>
    </row>
    <row r="735" spans="1:6" ht="22.7" customHeight="1">
      <c r="A735" s="28"/>
      <c r="B735" s="29" t="str">
        <f>IFERROR(VLOOKUP(A735,Tabla1[],2,0)," ")</f>
        <v xml:space="preserve"> </v>
      </c>
      <c r="C735" s="29" t="str">
        <f>IFERROR(VLOOKUP(A735,Tabla1[],6,0)," ")</f>
        <v xml:space="preserve"> </v>
      </c>
      <c r="D735" s="30" t="str">
        <f>IFERROR(VLOOKUP(A735,Tabla1[],8,0)," ")</f>
        <v xml:space="preserve"> </v>
      </c>
      <c r="E735" s="31"/>
      <c r="F735" s="30" t="str">
        <f t="shared" si="12"/>
        <v xml:space="preserve"> </v>
      </c>
    </row>
    <row r="736" spans="1:6" ht="22.7" customHeight="1">
      <c r="A736" s="28"/>
      <c r="B736" s="29" t="str">
        <f>IFERROR(VLOOKUP(A736,Tabla1[],2,0)," ")</f>
        <v xml:space="preserve"> </v>
      </c>
      <c r="C736" s="29" t="str">
        <f>IFERROR(VLOOKUP(A736,Tabla1[],6,0)," ")</f>
        <v xml:space="preserve"> </v>
      </c>
      <c r="D736" s="30" t="str">
        <f>IFERROR(VLOOKUP(A736,Tabla1[],8,0)," ")</f>
        <v xml:space="preserve"> </v>
      </c>
      <c r="E736" s="31"/>
      <c r="F736" s="30" t="str">
        <f t="shared" si="12"/>
        <v xml:space="preserve"> </v>
      </c>
    </row>
    <row r="737" spans="1:6" ht="22.7" customHeight="1">
      <c r="A737" s="28"/>
      <c r="B737" s="29" t="str">
        <f>IFERROR(VLOOKUP(A737,Tabla1[],2,0)," ")</f>
        <v xml:space="preserve"> </v>
      </c>
      <c r="C737" s="29" t="str">
        <f>IFERROR(VLOOKUP(A737,Tabla1[],6,0)," ")</f>
        <v xml:space="preserve"> </v>
      </c>
      <c r="D737" s="30" t="str">
        <f>IFERROR(VLOOKUP(A737,Tabla1[],8,0)," ")</f>
        <v xml:space="preserve"> </v>
      </c>
      <c r="E737" s="31"/>
      <c r="F737" s="30" t="str">
        <f t="shared" si="12"/>
        <v xml:space="preserve"> </v>
      </c>
    </row>
    <row r="738" spans="1:6" ht="22.7" customHeight="1">
      <c r="A738" s="28"/>
      <c r="B738" s="29" t="str">
        <f>IFERROR(VLOOKUP(A738,Tabla1[],2,0)," ")</f>
        <v xml:space="preserve"> </v>
      </c>
      <c r="C738" s="29" t="str">
        <f>IFERROR(VLOOKUP(A738,Tabla1[],6,0)," ")</f>
        <v xml:space="preserve"> </v>
      </c>
      <c r="D738" s="30" t="str">
        <f>IFERROR(VLOOKUP(A738,Tabla1[],8,0)," ")</f>
        <v xml:space="preserve"> </v>
      </c>
      <c r="E738" s="31"/>
      <c r="F738" s="30" t="str">
        <f t="shared" si="12"/>
        <v xml:space="preserve"> </v>
      </c>
    </row>
    <row r="739" spans="1:6" ht="22.7" customHeight="1">
      <c r="A739" s="28"/>
      <c r="B739" s="29" t="str">
        <f>IFERROR(VLOOKUP(A739,Tabla1[],2,0)," ")</f>
        <v xml:space="preserve"> </v>
      </c>
      <c r="C739" s="29" t="str">
        <f>IFERROR(VLOOKUP(A739,Tabla1[],6,0)," ")</f>
        <v xml:space="preserve"> </v>
      </c>
      <c r="D739" s="30" t="str">
        <f>IFERROR(VLOOKUP(A739,Tabla1[],8,0)," ")</f>
        <v xml:space="preserve"> </v>
      </c>
      <c r="E739" s="31"/>
      <c r="F739" s="30" t="str">
        <f t="shared" si="12"/>
        <v xml:space="preserve"> </v>
      </c>
    </row>
    <row r="740" spans="1:6" ht="22.7" customHeight="1">
      <c r="A740" s="28"/>
      <c r="B740" s="29" t="str">
        <f>IFERROR(VLOOKUP(A740,Tabla1[],2,0)," ")</f>
        <v xml:space="preserve"> </v>
      </c>
      <c r="C740" s="29" t="str">
        <f>IFERROR(VLOOKUP(A740,Tabla1[],6,0)," ")</f>
        <v xml:space="preserve"> </v>
      </c>
      <c r="D740" s="30" t="str">
        <f>IFERROR(VLOOKUP(A740,Tabla1[],8,0)," ")</f>
        <v xml:space="preserve"> </v>
      </c>
      <c r="E740" s="31"/>
      <c r="F740" s="30" t="str">
        <f t="shared" si="12"/>
        <v xml:space="preserve"> </v>
      </c>
    </row>
    <row r="741" spans="1:6" ht="22.7" customHeight="1">
      <c r="A741" s="28"/>
      <c r="B741" s="29" t="str">
        <f>IFERROR(VLOOKUP(A741,Tabla1[],2,0)," ")</f>
        <v xml:space="preserve"> </v>
      </c>
      <c r="C741" s="29" t="str">
        <f>IFERROR(VLOOKUP(A741,Tabla1[],6,0)," ")</f>
        <v xml:space="preserve"> </v>
      </c>
      <c r="D741" s="30" t="str">
        <f>IFERROR(VLOOKUP(A741,Tabla1[],8,0)," ")</f>
        <v xml:space="preserve"> </v>
      </c>
      <c r="E741" s="31"/>
      <c r="F741" s="30" t="str">
        <f t="shared" si="12"/>
        <v xml:space="preserve"> </v>
      </c>
    </row>
    <row r="742" spans="1:6" ht="22.7" customHeight="1">
      <c r="A742" s="28"/>
      <c r="B742" s="29" t="str">
        <f>IFERROR(VLOOKUP(A742,Tabla1[],2,0)," ")</f>
        <v xml:space="preserve"> </v>
      </c>
      <c r="C742" s="29" t="str">
        <f>IFERROR(VLOOKUP(A742,Tabla1[],6,0)," ")</f>
        <v xml:space="preserve"> </v>
      </c>
      <c r="D742" s="30" t="str">
        <f>IFERROR(VLOOKUP(A742,Tabla1[],8,0)," ")</f>
        <v xml:space="preserve"> </v>
      </c>
      <c r="E742" s="31"/>
      <c r="F742" s="30" t="str">
        <f t="shared" si="12"/>
        <v xml:space="preserve"> </v>
      </c>
    </row>
    <row r="743" spans="1:6" ht="22.7" customHeight="1">
      <c r="A743" s="28"/>
      <c r="B743" s="29" t="str">
        <f>IFERROR(VLOOKUP(A743,Tabla1[],2,0)," ")</f>
        <v xml:space="preserve"> </v>
      </c>
      <c r="C743" s="29" t="str">
        <f>IFERROR(VLOOKUP(A743,Tabla1[],6,0)," ")</f>
        <v xml:space="preserve"> </v>
      </c>
      <c r="D743" s="30" t="str">
        <f>IFERROR(VLOOKUP(A743,Tabla1[],8,0)," ")</f>
        <v xml:space="preserve"> </v>
      </c>
      <c r="E743" s="31"/>
      <c r="F743" s="30" t="str">
        <f t="shared" si="12"/>
        <v xml:space="preserve"> </v>
      </c>
    </row>
    <row r="744" spans="1:6" ht="22.7" customHeight="1">
      <c r="A744" s="28"/>
      <c r="B744" s="29" t="str">
        <f>IFERROR(VLOOKUP(A744,Tabla1[],2,0)," ")</f>
        <v xml:space="preserve"> </v>
      </c>
      <c r="C744" s="29" t="str">
        <f>IFERROR(VLOOKUP(A744,Tabla1[],6,0)," ")</f>
        <v xml:space="preserve"> </v>
      </c>
      <c r="D744" s="30" t="str">
        <f>IFERROR(VLOOKUP(A744,Tabla1[],8,0)," ")</f>
        <v xml:space="preserve"> </v>
      </c>
      <c r="E744" s="31"/>
      <c r="F744" s="30" t="str">
        <f t="shared" si="12"/>
        <v xml:space="preserve"> </v>
      </c>
    </row>
    <row r="745" spans="1:6" ht="22.7" customHeight="1">
      <c r="A745" s="28"/>
      <c r="B745" s="29" t="str">
        <f>IFERROR(VLOOKUP(A745,Tabla1[],2,0)," ")</f>
        <v xml:space="preserve"> </v>
      </c>
      <c r="C745" s="29" t="str">
        <f>IFERROR(VLOOKUP(A745,Tabla1[],6,0)," ")</f>
        <v xml:space="preserve"> </v>
      </c>
      <c r="D745" s="30" t="str">
        <f>IFERROR(VLOOKUP(A745,Tabla1[],8,0)," ")</f>
        <v xml:space="preserve"> </v>
      </c>
      <c r="E745" s="31"/>
      <c r="F745" s="30" t="str">
        <f t="shared" si="12"/>
        <v xml:space="preserve"> </v>
      </c>
    </row>
    <row r="746" spans="1:6" ht="22.7" customHeight="1">
      <c r="A746" s="28"/>
      <c r="B746" s="29" t="str">
        <f>IFERROR(VLOOKUP(A746,Tabla1[],2,0)," ")</f>
        <v xml:space="preserve"> </v>
      </c>
      <c r="C746" s="29" t="str">
        <f>IFERROR(VLOOKUP(A746,Tabla1[],6,0)," ")</f>
        <v xml:space="preserve"> </v>
      </c>
      <c r="D746" s="30" t="str">
        <f>IFERROR(VLOOKUP(A746,Tabla1[],8,0)," ")</f>
        <v xml:space="preserve"> </v>
      </c>
      <c r="E746" s="31"/>
      <c r="F746" s="30" t="str">
        <f t="shared" si="12"/>
        <v xml:space="preserve"> </v>
      </c>
    </row>
    <row r="747" spans="1:6" ht="22.7" customHeight="1">
      <c r="A747" s="28"/>
      <c r="B747" s="29" t="str">
        <f>IFERROR(VLOOKUP(A747,Tabla1[],2,0)," ")</f>
        <v xml:space="preserve"> </v>
      </c>
      <c r="C747" s="29" t="str">
        <f>IFERROR(VLOOKUP(A747,Tabla1[],6,0)," ")</f>
        <v xml:space="preserve"> </v>
      </c>
      <c r="D747" s="30" t="str">
        <f>IFERROR(VLOOKUP(A747,Tabla1[],8,0)," ")</f>
        <v xml:space="preserve"> </v>
      </c>
      <c r="E747" s="31"/>
      <c r="F747" s="30" t="str">
        <f t="shared" si="12"/>
        <v xml:space="preserve"> </v>
      </c>
    </row>
    <row r="748" spans="1:6" ht="22.7" customHeight="1">
      <c r="A748" s="28"/>
      <c r="B748" s="29" t="str">
        <f>IFERROR(VLOOKUP(A748,Tabla1[],2,0)," ")</f>
        <v xml:space="preserve"> </v>
      </c>
      <c r="C748" s="29" t="str">
        <f>IFERROR(VLOOKUP(A748,Tabla1[],6,0)," ")</f>
        <v xml:space="preserve"> </v>
      </c>
      <c r="D748" s="30" t="str">
        <f>IFERROR(VLOOKUP(A748,Tabla1[],8,0)," ")</f>
        <v xml:space="preserve"> </v>
      </c>
      <c r="E748" s="31"/>
      <c r="F748" s="30" t="str">
        <f t="shared" si="12"/>
        <v xml:space="preserve"> </v>
      </c>
    </row>
    <row r="749" spans="1:6" ht="22.7" customHeight="1">
      <c r="A749" s="28"/>
      <c r="B749" s="29" t="str">
        <f>IFERROR(VLOOKUP(A749,Tabla1[],2,0)," ")</f>
        <v xml:space="preserve"> </v>
      </c>
      <c r="C749" s="29" t="str">
        <f>IFERROR(VLOOKUP(A749,Tabla1[],6,0)," ")</f>
        <v xml:space="preserve"> </v>
      </c>
      <c r="D749" s="30" t="str">
        <f>IFERROR(VLOOKUP(A749,Tabla1[],8,0)," ")</f>
        <v xml:space="preserve"> </v>
      </c>
      <c r="E749" s="31"/>
      <c r="F749" s="30" t="str">
        <f t="shared" si="12"/>
        <v xml:space="preserve"> </v>
      </c>
    </row>
    <row r="750" spans="1:6" ht="22.7" customHeight="1">
      <c r="A750" s="28"/>
      <c r="B750" s="29" t="str">
        <f>IFERROR(VLOOKUP(A750,Tabla1[],2,0)," ")</f>
        <v xml:space="preserve"> </v>
      </c>
      <c r="C750" s="29" t="str">
        <f>IFERROR(VLOOKUP(A750,Tabla1[],6,0)," ")</f>
        <v xml:space="preserve"> </v>
      </c>
      <c r="D750" s="30" t="str">
        <f>IFERROR(VLOOKUP(A750,Tabla1[],8,0)," ")</f>
        <v xml:space="preserve"> </v>
      </c>
      <c r="E750" s="31"/>
      <c r="F750" s="30" t="str">
        <f t="shared" si="12"/>
        <v xml:space="preserve"> </v>
      </c>
    </row>
    <row r="751" spans="1:6" ht="22.7" customHeight="1">
      <c r="A751" s="28"/>
      <c r="B751" s="29" t="str">
        <f>IFERROR(VLOOKUP(A751,Tabla1[],2,0)," ")</f>
        <v xml:space="preserve"> </v>
      </c>
      <c r="C751" s="29" t="str">
        <f>IFERROR(VLOOKUP(A751,Tabla1[],6,0)," ")</f>
        <v xml:space="preserve"> </v>
      </c>
      <c r="D751" s="30" t="str">
        <f>IFERROR(VLOOKUP(A751,Tabla1[],8,0)," ")</f>
        <v xml:space="preserve"> </v>
      </c>
      <c r="E751" s="31"/>
      <c r="F751" s="30" t="str">
        <f t="shared" si="12"/>
        <v xml:space="preserve"> </v>
      </c>
    </row>
    <row r="752" spans="1:6" ht="22.7" customHeight="1">
      <c r="A752" s="28"/>
      <c r="B752" s="29" t="str">
        <f>IFERROR(VLOOKUP(A752,Tabla1[],2,0)," ")</f>
        <v xml:space="preserve"> </v>
      </c>
      <c r="C752" s="29" t="str">
        <f>IFERROR(VLOOKUP(A752,Tabla1[],6,0)," ")</f>
        <v xml:space="preserve"> </v>
      </c>
      <c r="D752" s="30" t="str">
        <f>IFERROR(VLOOKUP(A752,Tabla1[],8,0)," ")</f>
        <v xml:space="preserve"> </v>
      </c>
      <c r="E752" s="31"/>
      <c r="F752" s="30" t="str">
        <f t="shared" si="12"/>
        <v xml:space="preserve"> </v>
      </c>
    </row>
    <row r="753" spans="1:6" ht="22.7" customHeight="1">
      <c r="A753" s="28"/>
      <c r="B753" s="29" t="str">
        <f>IFERROR(VLOOKUP(A753,Tabla1[],2,0)," ")</f>
        <v xml:space="preserve"> </v>
      </c>
      <c r="C753" s="29" t="str">
        <f>IFERROR(VLOOKUP(A753,Tabla1[],6,0)," ")</f>
        <v xml:space="preserve"> </v>
      </c>
      <c r="D753" s="30" t="str">
        <f>IFERROR(VLOOKUP(A753,Tabla1[],8,0)," ")</f>
        <v xml:space="preserve"> </v>
      </c>
      <c r="E753" s="31"/>
      <c r="F753" s="30" t="str">
        <f t="shared" si="12"/>
        <v xml:space="preserve"> </v>
      </c>
    </row>
    <row r="754" spans="1:6" ht="22.7" customHeight="1">
      <c r="A754" s="28"/>
      <c r="B754" s="29" t="str">
        <f>IFERROR(VLOOKUP(A754,Tabla1[],2,0)," ")</f>
        <v xml:space="preserve"> </v>
      </c>
      <c r="C754" s="29" t="str">
        <f>IFERROR(VLOOKUP(A754,Tabla1[],6,0)," ")</f>
        <v xml:space="preserve"> </v>
      </c>
      <c r="D754" s="30" t="str">
        <f>IFERROR(VLOOKUP(A754,Tabla1[],8,0)," ")</f>
        <v xml:space="preserve"> </v>
      </c>
      <c r="E754" s="31"/>
      <c r="F754" s="30" t="str">
        <f t="shared" si="12"/>
        <v xml:space="preserve"> </v>
      </c>
    </row>
    <row r="755" spans="1:6" ht="22.7" customHeight="1">
      <c r="A755" s="28"/>
      <c r="B755" s="29" t="str">
        <f>IFERROR(VLOOKUP(A755,Tabla1[],2,0)," ")</f>
        <v xml:space="preserve"> </v>
      </c>
      <c r="C755" s="29" t="str">
        <f>IFERROR(VLOOKUP(A755,Tabla1[],6,0)," ")</f>
        <v xml:space="preserve"> </v>
      </c>
      <c r="D755" s="30" t="str">
        <f>IFERROR(VLOOKUP(A755,Tabla1[],8,0)," ")</f>
        <v xml:space="preserve"> </v>
      </c>
      <c r="E755" s="31"/>
      <c r="F755" s="30" t="str">
        <f t="shared" si="12"/>
        <v xml:space="preserve"> </v>
      </c>
    </row>
    <row r="756" spans="1:6" ht="22.7" customHeight="1">
      <c r="A756" s="28"/>
      <c r="B756" s="29" t="str">
        <f>IFERROR(VLOOKUP(A756,Tabla1[],2,0)," ")</f>
        <v xml:space="preserve"> </v>
      </c>
      <c r="C756" s="29" t="str">
        <f>IFERROR(VLOOKUP(A756,Tabla1[],6,0)," ")</f>
        <v xml:space="preserve"> </v>
      </c>
      <c r="D756" s="30" t="str">
        <f>IFERROR(VLOOKUP(A756,Tabla1[],8,0)," ")</f>
        <v xml:space="preserve"> </v>
      </c>
      <c r="E756" s="31"/>
      <c r="F756" s="30" t="str">
        <f t="shared" si="12"/>
        <v xml:space="preserve"> </v>
      </c>
    </row>
    <row r="757" spans="1:6" ht="22.7" customHeight="1">
      <c r="A757" s="28"/>
      <c r="B757" s="29" t="str">
        <f>IFERROR(VLOOKUP(A757,Tabla1[],2,0)," ")</f>
        <v xml:space="preserve"> </v>
      </c>
      <c r="C757" s="29" t="str">
        <f>IFERROR(VLOOKUP(A757,Tabla1[],6,0)," ")</f>
        <v xml:space="preserve"> </v>
      </c>
      <c r="D757" s="30" t="str">
        <f>IFERROR(VLOOKUP(A757,Tabla1[],8,0)," ")</f>
        <v xml:space="preserve"> </v>
      </c>
      <c r="E757" s="31"/>
      <c r="F757" s="30" t="str">
        <f t="shared" si="12"/>
        <v xml:space="preserve"> </v>
      </c>
    </row>
    <row r="758" spans="1:6" ht="22.7" customHeight="1">
      <c r="A758" s="28"/>
      <c r="B758" s="29" t="str">
        <f>IFERROR(VLOOKUP(A758,Tabla1[],2,0)," ")</f>
        <v xml:space="preserve"> </v>
      </c>
      <c r="C758" s="29" t="str">
        <f>IFERROR(VLOOKUP(A758,Tabla1[],6,0)," ")</f>
        <v xml:space="preserve"> </v>
      </c>
      <c r="D758" s="30" t="str">
        <f>IFERROR(VLOOKUP(A758,Tabla1[],8,0)," ")</f>
        <v xml:space="preserve"> </v>
      </c>
      <c r="E758" s="31"/>
      <c r="F758" s="30" t="str">
        <f t="shared" si="12"/>
        <v xml:space="preserve"> </v>
      </c>
    </row>
    <row r="759" spans="1:6" ht="22.7" customHeight="1">
      <c r="A759" s="28"/>
      <c r="B759" s="29" t="str">
        <f>IFERROR(VLOOKUP(A759,Tabla1[],2,0)," ")</f>
        <v xml:space="preserve"> </v>
      </c>
      <c r="C759" s="29" t="str">
        <f>IFERROR(VLOOKUP(A759,Tabla1[],6,0)," ")</f>
        <v xml:space="preserve"> </v>
      </c>
      <c r="D759" s="30" t="str">
        <f>IFERROR(VLOOKUP(A759,Tabla1[],8,0)," ")</f>
        <v xml:space="preserve"> </v>
      </c>
      <c r="E759" s="31"/>
      <c r="F759" s="30" t="str">
        <f t="shared" si="12"/>
        <v xml:space="preserve"> </v>
      </c>
    </row>
    <row r="760" spans="1:6" ht="22.7" customHeight="1">
      <c r="A760" s="28"/>
      <c r="B760" s="29" t="str">
        <f>IFERROR(VLOOKUP(A760,Tabla1[],2,0)," ")</f>
        <v xml:space="preserve"> </v>
      </c>
      <c r="C760" s="29" t="str">
        <f>IFERROR(VLOOKUP(A760,Tabla1[],6,0)," ")</f>
        <v xml:space="preserve"> </v>
      </c>
      <c r="D760" s="30" t="str">
        <f>IFERROR(VLOOKUP(A760,Tabla1[],8,0)," ")</f>
        <v xml:space="preserve"> </v>
      </c>
      <c r="E760" s="31"/>
      <c r="F760" s="30" t="str">
        <f t="shared" si="12"/>
        <v xml:space="preserve"> </v>
      </c>
    </row>
    <row r="761" spans="1:6" ht="22.7" customHeight="1">
      <c r="A761" s="28"/>
      <c r="B761" s="29" t="str">
        <f>IFERROR(VLOOKUP(A761,Tabla1[],2,0)," ")</f>
        <v xml:space="preserve"> </v>
      </c>
      <c r="C761" s="29" t="str">
        <f>IFERROR(VLOOKUP(A761,Tabla1[],6,0)," ")</f>
        <v xml:space="preserve"> </v>
      </c>
      <c r="D761" s="30" t="str">
        <f>IFERROR(VLOOKUP(A761,Tabla1[],8,0)," ")</f>
        <v xml:space="preserve"> </v>
      </c>
      <c r="E761" s="31"/>
      <c r="F761" s="30" t="str">
        <f t="shared" si="12"/>
        <v xml:space="preserve"> </v>
      </c>
    </row>
    <row r="762" spans="1:6" ht="22.7" customHeight="1">
      <c r="A762" s="28"/>
      <c r="B762" s="29" t="str">
        <f>IFERROR(VLOOKUP(A762,Tabla1[],2,0)," ")</f>
        <v xml:space="preserve"> </v>
      </c>
      <c r="C762" s="29" t="str">
        <f>IFERROR(VLOOKUP(A762,Tabla1[],6,0)," ")</f>
        <v xml:space="preserve"> </v>
      </c>
      <c r="D762" s="30" t="str">
        <f>IFERROR(VLOOKUP(A762,Tabla1[],8,0)," ")</f>
        <v xml:space="preserve"> </v>
      </c>
      <c r="E762" s="31"/>
      <c r="F762" s="30" t="str">
        <f t="shared" si="12"/>
        <v xml:space="preserve"> </v>
      </c>
    </row>
    <row r="763" spans="1:6" ht="22.7" customHeight="1">
      <c r="A763" s="28"/>
      <c r="B763" s="29" t="str">
        <f>IFERROR(VLOOKUP(A763,Tabla1[],2,0)," ")</f>
        <v xml:space="preserve"> </v>
      </c>
      <c r="C763" s="29" t="str">
        <f>IFERROR(VLOOKUP(A763,Tabla1[],6,0)," ")</f>
        <v xml:space="preserve"> </v>
      </c>
      <c r="D763" s="30" t="str">
        <f>IFERROR(VLOOKUP(A763,Tabla1[],8,0)," ")</f>
        <v xml:space="preserve"> </v>
      </c>
      <c r="E763" s="31"/>
      <c r="F763" s="30" t="str">
        <f t="shared" si="12"/>
        <v xml:space="preserve"> </v>
      </c>
    </row>
    <row r="764" spans="1:6" ht="22.7" customHeight="1">
      <c r="A764" s="28"/>
      <c r="B764" s="29" t="str">
        <f>IFERROR(VLOOKUP(A764,Tabla1[],2,0)," ")</f>
        <v xml:space="preserve"> </v>
      </c>
      <c r="C764" s="29" t="str">
        <f>IFERROR(VLOOKUP(A764,Tabla1[],6,0)," ")</f>
        <v xml:space="preserve"> </v>
      </c>
      <c r="D764" s="30" t="str">
        <f>IFERROR(VLOOKUP(A764,Tabla1[],8,0)," ")</f>
        <v xml:space="preserve"> </v>
      </c>
      <c r="E764" s="31"/>
      <c r="F764" s="30" t="str">
        <f t="shared" si="12"/>
        <v xml:space="preserve"> </v>
      </c>
    </row>
    <row r="765" spans="1:6" ht="22.7" customHeight="1">
      <c r="A765" s="28"/>
      <c r="B765" s="29" t="str">
        <f>IFERROR(VLOOKUP(A765,Tabla1[],2,0)," ")</f>
        <v xml:space="preserve"> </v>
      </c>
      <c r="C765" s="29" t="str">
        <f>IFERROR(VLOOKUP(A765,Tabla1[],6,0)," ")</f>
        <v xml:space="preserve"> </v>
      </c>
      <c r="D765" s="30" t="str">
        <f>IFERROR(VLOOKUP(A765,Tabla1[],8,0)," ")</f>
        <v xml:space="preserve"> </v>
      </c>
      <c r="E765" s="31"/>
      <c r="F765" s="30" t="str">
        <f t="shared" si="12"/>
        <v xml:space="preserve"> </v>
      </c>
    </row>
    <row r="766" spans="1:6" ht="22.7" customHeight="1">
      <c r="A766" s="28"/>
      <c r="B766" s="29" t="str">
        <f>IFERROR(VLOOKUP(A766,Tabla1[],2,0)," ")</f>
        <v xml:space="preserve"> </v>
      </c>
      <c r="C766" s="29" t="str">
        <f>IFERROR(VLOOKUP(A766,Tabla1[],6,0)," ")</f>
        <v xml:space="preserve"> </v>
      </c>
      <c r="D766" s="30" t="str">
        <f>IFERROR(VLOOKUP(A766,Tabla1[],8,0)," ")</f>
        <v xml:space="preserve"> </v>
      </c>
      <c r="E766" s="31"/>
      <c r="F766" s="30" t="str">
        <f t="shared" si="12"/>
        <v xml:space="preserve"> </v>
      </c>
    </row>
    <row r="767" spans="1:6" ht="22.7" customHeight="1">
      <c r="A767" s="28"/>
      <c r="B767" s="29" t="str">
        <f>IFERROR(VLOOKUP(A767,Tabla1[],2,0)," ")</f>
        <v xml:space="preserve"> </v>
      </c>
      <c r="C767" s="29" t="str">
        <f>IFERROR(VLOOKUP(A767,Tabla1[],6,0)," ")</f>
        <v xml:space="preserve"> </v>
      </c>
      <c r="D767" s="30" t="str">
        <f>IFERROR(VLOOKUP(A767,Tabla1[],8,0)," ")</f>
        <v xml:space="preserve"> </v>
      </c>
      <c r="E767" s="31"/>
      <c r="F767" s="30" t="str">
        <f t="shared" si="12"/>
        <v xml:space="preserve"> </v>
      </c>
    </row>
    <row r="768" spans="1:6" ht="22.7" customHeight="1">
      <c r="A768" s="28"/>
      <c r="B768" s="29" t="str">
        <f>IFERROR(VLOOKUP(A768,Tabla1[],2,0)," ")</f>
        <v xml:space="preserve"> </v>
      </c>
      <c r="C768" s="29" t="str">
        <f>IFERROR(VLOOKUP(A768,Tabla1[],6,0)," ")</f>
        <v xml:space="preserve"> </v>
      </c>
      <c r="D768" s="30" t="str">
        <f>IFERROR(VLOOKUP(A768,Tabla1[],8,0)," ")</f>
        <v xml:space="preserve"> </v>
      </c>
      <c r="E768" s="31"/>
      <c r="F768" s="30" t="str">
        <f t="shared" si="12"/>
        <v xml:space="preserve"> </v>
      </c>
    </row>
    <row r="769" spans="1:6" ht="22.7" customHeight="1">
      <c r="A769" s="28"/>
      <c r="B769" s="29" t="str">
        <f>IFERROR(VLOOKUP(A769,Tabla1[],2,0)," ")</f>
        <v xml:space="preserve"> </v>
      </c>
      <c r="C769" s="29" t="str">
        <f>IFERROR(VLOOKUP(A769,Tabla1[],6,0)," ")</f>
        <v xml:space="preserve"> </v>
      </c>
      <c r="D769" s="30" t="str">
        <f>IFERROR(VLOOKUP(A769,Tabla1[],8,0)," ")</f>
        <v xml:space="preserve"> </v>
      </c>
      <c r="E769" s="31"/>
      <c r="F769" s="30" t="str">
        <f t="shared" si="12"/>
        <v xml:space="preserve"> </v>
      </c>
    </row>
    <row r="770" spans="1:6" ht="22.7" customHeight="1">
      <c r="A770" s="28"/>
      <c r="B770" s="29" t="str">
        <f>IFERROR(VLOOKUP(A770,Tabla1[],2,0)," ")</f>
        <v xml:space="preserve"> </v>
      </c>
      <c r="C770" s="29" t="str">
        <f>IFERROR(VLOOKUP(A770,Tabla1[],6,0)," ")</f>
        <v xml:space="preserve"> </v>
      </c>
      <c r="D770" s="30" t="str">
        <f>IFERROR(VLOOKUP(A770,Tabla1[],8,0)," ")</f>
        <v xml:space="preserve"> </v>
      </c>
      <c r="E770" s="31"/>
      <c r="F770" s="30" t="str">
        <f t="shared" si="12"/>
        <v xml:space="preserve"> </v>
      </c>
    </row>
    <row r="771" spans="1:6" ht="22.7" customHeight="1">
      <c r="A771" s="28"/>
      <c r="B771" s="29" t="str">
        <f>IFERROR(VLOOKUP(A771,Tabla1[],2,0)," ")</f>
        <v xml:space="preserve"> </v>
      </c>
      <c r="C771" s="29" t="str">
        <f>IFERROR(VLOOKUP(A771,Tabla1[],6,0)," ")</f>
        <v xml:space="preserve"> </v>
      </c>
      <c r="D771" s="30" t="str">
        <f>IFERROR(VLOOKUP(A771,Tabla1[],8,0)," ")</f>
        <v xml:space="preserve"> </v>
      </c>
      <c r="E771" s="31"/>
      <c r="F771" s="30" t="str">
        <f t="shared" si="12"/>
        <v xml:space="preserve"> </v>
      </c>
    </row>
    <row r="772" spans="1:6" ht="22.7" customHeight="1">
      <c r="A772" s="28"/>
      <c r="B772" s="29" t="str">
        <f>IFERROR(VLOOKUP(A772,Tabla1[],2,0)," ")</f>
        <v xml:space="preserve"> </v>
      </c>
      <c r="C772" s="29" t="str">
        <f>IFERROR(VLOOKUP(A772,Tabla1[],6,0)," ")</f>
        <v xml:space="preserve"> </v>
      </c>
      <c r="D772" s="30" t="str">
        <f>IFERROR(VLOOKUP(A772,Tabla1[],8,0)," ")</f>
        <v xml:space="preserve"> </v>
      </c>
      <c r="E772" s="31"/>
      <c r="F772" s="30" t="str">
        <f t="shared" ref="F772:F835" si="13">IFERROR((E772*D772), " ")</f>
        <v xml:space="preserve"> </v>
      </c>
    </row>
    <row r="773" spans="1:6" ht="22.7" customHeight="1">
      <c r="A773" s="28"/>
      <c r="B773" s="29" t="str">
        <f>IFERROR(VLOOKUP(A773,Tabla1[],2,0)," ")</f>
        <v xml:space="preserve"> </v>
      </c>
      <c r="C773" s="29" t="str">
        <f>IFERROR(VLOOKUP(A773,Tabla1[],6,0)," ")</f>
        <v xml:space="preserve"> </v>
      </c>
      <c r="D773" s="30" t="str">
        <f>IFERROR(VLOOKUP(A773,Tabla1[],8,0)," ")</f>
        <v xml:space="preserve"> </v>
      </c>
      <c r="E773" s="31"/>
      <c r="F773" s="30" t="str">
        <f t="shared" si="13"/>
        <v xml:space="preserve"> </v>
      </c>
    </row>
    <row r="774" spans="1:6" ht="22.7" customHeight="1">
      <c r="A774" s="28"/>
      <c r="B774" s="29" t="str">
        <f>IFERROR(VLOOKUP(A774,Tabla1[],2,0)," ")</f>
        <v xml:space="preserve"> </v>
      </c>
      <c r="C774" s="29" t="str">
        <f>IFERROR(VLOOKUP(A774,Tabla1[],6,0)," ")</f>
        <v xml:space="preserve"> </v>
      </c>
      <c r="D774" s="30" t="str">
        <f>IFERROR(VLOOKUP(A774,Tabla1[],8,0)," ")</f>
        <v xml:space="preserve"> </v>
      </c>
      <c r="E774" s="31"/>
      <c r="F774" s="30" t="str">
        <f t="shared" si="13"/>
        <v xml:space="preserve"> </v>
      </c>
    </row>
    <row r="775" spans="1:6" ht="22.7" customHeight="1">
      <c r="A775" s="28"/>
      <c r="B775" s="29" t="str">
        <f>IFERROR(VLOOKUP(A775,Tabla1[],2,0)," ")</f>
        <v xml:space="preserve"> </v>
      </c>
      <c r="C775" s="29" t="str">
        <f>IFERROR(VLOOKUP(A775,Tabla1[],6,0)," ")</f>
        <v xml:space="preserve"> </v>
      </c>
      <c r="D775" s="30" t="str">
        <f>IFERROR(VLOOKUP(A775,Tabla1[],8,0)," ")</f>
        <v xml:space="preserve"> </v>
      </c>
      <c r="E775" s="31"/>
      <c r="F775" s="30" t="str">
        <f t="shared" si="13"/>
        <v xml:space="preserve"> </v>
      </c>
    </row>
    <row r="776" spans="1:6" ht="22.7" customHeight="1">
      <c r="A776" s="28"/>
      <c r="B776" s="29" t="str">
        <f>IFERROR(VLOOKUP(A776,Tabla1[],2,0)," ")</f>
        <v xml:space="preserve"> </v>
      </c>
      <c r="C776" s="29" t="str">
        <f>IFERROR(VLOOKUP(A776,Tabla1[],6,0)," ")</f>
        <v xml:space="preserve"> </v>
      </c>
      <c r="D776" s="30" t="str">
        <f>IFERROR(VLOOKUP(A776,Tabla1[],8,0)," ")</f>
        <v xml:space="preserve"> </v>
      </c>
      <c r="E776" s="31"/>
      <c r="F776" s="30" t="str">
        <f t="shared" si="13"/>
        <v xml:space="preserve"> </v>
      </c>
    </row>
    <row r="777" spans="1:6" ht="22.7" customHeight="1">
      <c r="A777" s="28"/>
      <c r="B777" s="29" t="str">
        <f>IFERROR(VLOOKUP(A777,Tabla1[],2,0)," ")</f>
        <v xml:space="preserve"> </v>
      </c>
      <c r="C777" s="29" t="str">
        <f>IFERROR(VLOOKUP(A777,Tabla1[],6,0)," ")</f>
        <v xml:space="preserve"> </v>
      </c>
      <c r="D777" s="30" t="str">
        <f>IFERROR(VLOOKUP(A777,Tabla1[],8,0)," ")</f>
        <v xml:space="preserve"> </v>
      </c>
      <c r="E777" s="31"/>
      <c r="F777" s="30" t="str">
        <f t="shared" si="13"/>
        <v xml:space="preserve"> </v>
      </c>
    </row>
    <row r="778" spans="1:6" ht="22.7" customHeight="1">
      <c r="A778" s="28"/>
      <c r="B778" s="29" t="str">
        <f>IFERROR(VLOOKUP(A778,Tabla1[],2,0)," ")</f>
        <v xml:space="preserve"> </v>
      </c>
      <c r="C778" s="29" t="str">
        <f>IFERROR(VLOOKUP(A778,Tabla1[],6,0)," ")</f>
        <v xml:space="preserve"> </v>
      </c>
      <c r="D778" s="30" t="str">
        <f>IFERROR(VLOOKUP(A778,Tabla1[],8,0)," ")</f>
        <v xml:space="preserve"> </v>
      </c>
      <c r="E778" s="31"/>
      <c r="F778" s="30" t="str">
        <f t="shared" si="13"/>
        <v xml:space="preserve"> </v>
      </c>
    </row>
    <row r="779" spans="1:6" ht="22.7" customHeight="1">
      <c r="A779" s="28"/>
      <c r="B779" s="29" t="str">
        <f>IFERROR(VLOOKUP(A779,Tabla1[],2,0)," ")</f>
        <v xml:space="preserve"> </v>
      </c>
      <c r="C779" s="29" t="str">
        <f>IFERROR(VLOOKUP(A779,Tabla1[],6,0)," ")</f>
        <v xml:space="preserve"> </v>
      </c>
      <c r="D779" s="30" t="str">
        <f>IFERROR(VLOOKUP(A779,Tabla1[],8,0)," ")</f>
        <v xml:space="preserve"> </v>
      </c>
      <c r="E779" s="31"/>
      <c r="F779" s="30" t="str">
        <f t="shared" si="13"/>
        <v xml:space="preserve"> </v>
      </c>
    </row>
    <row r="780" spans="1:6" ht="22.7" customHeight="1">
      <c r="A780" s="28"/>
      <c r="B780" s="29" t="str">
        <f>IFERROR(VLOOKUP(A780,Tabla1[],2,0)," ")</f>
        <v xml:space="preserve"> </v>
      </c>
      <c r="C780" s="29" t="str">
        <f>IFERROR(VLOOKUP(A780,Tabla1[],6,0)," ")</f>
        <v xml:space="preserve"> </v>
      </c>
      <c r="D780" s="30" t="str">
        <f>IFERROR(VLOOKUP(A780,Tabla1[],8,0)," ")</f>
        <v xml:space="preserve"> </v>
      </c>
      <c r="E780" s="31"/>
      <c r="F780" s="30" t="str">
        <f t="shared" si="13"/>
        <v xml:space="preserve"> </v>
      </c>
    </row>
    <row r="781" spans="1:6" ht="22.7" customHeight="1">
      <c r="A781" s="28"/>
      <c r="B781" s="29" t="str">
        <f>IFERROR(VLOOKUP(A781,Tabla1[],2,0)," ")</f>
        <v xml:space="preserve"> </v>
      </c>
      <c r="C781" s="29" t="str">
        <f>IFERROR(VLOOKUP(A781,Tabla1[],6,0)," ")</f>
        <v xml:space="preserve"> </v>
      </c>
      <c r="D781" s="30" t="str">
        <f>IFERROR(VLOOKUP(A781,Tabla1[],8,0)," ")</f>
        <v xml:space="preserve"> </v>
      </c>
      <c r="E781" s="31"/>
      <c r="F781" s="30" t="str">
        <f t="shared" si="13"/>
        <v xml:space="preserve"> </v>
      </c>
    </row>
    <row r="782" spans="1:6" ht="22.7" customHeight="1">
      <c r="A782" s="28"/>
      <c r="B782" s="29" t="str">
        <f>IFERROR(VLOOKUP(A782,Tabla1[],2,0)," ")</f>
        <v xml:space="preserve"> </v>
      </c>
      <c r="C782" s="29" t="str">
        <f>IFERROR(VLOOKUP(A782,Tabla1[],6,0)," ")</f>
        <v xml:space="preserve"> </v>
      </c>
      <c r="D782" s="30" t="str">
        <f>IFERROR(VLOOKUP(A782,Tabla1[],8,0)," ")</f>
        <v xml:space="preserve"> </v>
      </c>
      <c r="E782" s="31"/>
      <c r="F782" s="30" t="str">
        <f t="shared" si="13"/>
        <v xml:space="preserve"> </v>
      </c>
    </row>
    <row r="783" spans="1:6" ht="22.7" customHeight="1">
      <c r="A783" s="28"/>
      <c r="B783" s="29" t="str">
        <f>IFERROR(VLOOKUP(A783,Tabla1[],2,0)," ")</f>
        <v xml:space="preserve"> </v>
      </c>
      <c r="C783" s="29" t="str">
        <f>IFERROR(VLOOKUP(A783,Tabla1[],6,0)," ")</f>
        <v xml:space="preserve"> </v>
      </c>
      <c r="D783" s="30" t="str">
        <f>IFERROR(VLOOKUP(A783,Tabla1[],8,0)," ")</f>
        <v xml:space="preserve"> </v>
      </c>
      <c r="E783" s="31"/>
      <c r="F783" s="30" t="str">
        <f t="shared" si="13"/>
        <v xml:space="preserve"> </v>
      </c>
    </row>
    <row r="784" spans="1:6" ht="22.7" customHeight="1">
      <c r="A784" s="28"/>
      <c r="B784" s="29" t="str">
        <f>IFERROR(VLOOKUP(A784,Tabla1[],2,0)," ")</f>
        <v xml:space="preserve"> </v>
      </c>
      <c r="C784" s="29" t="str">
        <f>IFERROR(VLOOKUP(A784,Tabla1[],6,0)," ")</f>
        <v xml:space="preserve"> </v>
      </c>
      <c r="D784" s="30" t="str">
        <f>IFERROR(VLOOKUP(A784,Tabla1[],8,0)," ")</f>
        <v xml:space="preserve"> </v>
      </c>
      <c r="E784" s="31"/>
      <c r="F784" s="30" t="str">
        <f t="shared" si="13"/>
        <v xml:space="preserve"> </v>
      </c>
    </row>
    <row r="785" spans="1:6" ht="22.7" customHeight="1">
      <c r="A785" s="28"/>
      <c r="B785" s="29" t="str">
        <f>IFERROR(VLOOKUP(A785,Tabla1[],2,0)," ")</f>
        <v xml:space="preserve"> </v>
      </c>
      <c r="C785" s="29" t="str">
        <f>IFERROR(VLOOKUP(A785,Tabla1[],6,0)," ")</f>
        <v xml:space="preserve"> </v>
      </c>
      <c r="D785" s="30" t="str">
        <f>IFERROR(VLOOKUP(A785,Tabla1[],8,0)," ")</f>
        <v xml:space="preserve"> </v>
      </c>
      <c r="E785" s="31"/>
      <c r="F785" s="30" t="str">
        <f t="shared" si="13"/>
        <v xml:space="preserve"> </v>
      </c>
    </row>
    <row r="786" spans="1:6" ht="22.7" customHeight="1">
      <c r="A786" s="28"/>
      <c r="B786" s="29" t="str">
        <f>IFERROR(VLOOKUP(A786,Tabla1[],2,0)," ")</f>
        <v xml:space="preserve"> </v>
      </c>
      <c r="C786" s="29" t="str">
        <f>IFERROR(VLOOKUP(A786,Tabla1[],6,0)," ")</f>
        <v xml:space="preserve"> </v>
      </c>
      <c r="D786" s="30" t="str">
        <f>IFERROR(VLOOKUP(A786,Tabla1[],8,0)," ")</f>
        <v xml:space="preserve"> </v>
      </c>
      <c r="E786" s="31"/>
      <c r="F786" s="30" t="str">
        <f t="shared" si="13"/>
        <v xml:space="preserve"> </v>
      </c>
    </row>
    <row r="787" spans="1:6" ht="22.7" customHeight="1">
      <c r="A787" s="28"/>
      <c r="B787" s="29" t="str">
        <f>IFERROR(VLOOKUP(A787,Tabla1[],2,0)," ")</f>
        <v xml:space="preserve"> </v>
      </c>
      <c r="C787" s="29" t="str">
        <f>IFERROR(VLOOKUP(A787,Tabla1[],6,0)," ")</f>
        <v xml:space="preserve"> </v>
      </c>
      <c r="D787" s="30" t="str">
        <f>IFERROR(VLOOKUP(A787,Tabla1[],8,0)," ")</f>
        <v xml:space="preserve"> </v>
      </c>
      <c r="E787" s="31"/>
      <c r="F787" s="30" t="str">
        <f t="shared" si="13"/>
        <v xml:space="preserve"> </v>
      </c>
    </row>
    <row r="788" spans="1:6" ht="22.7" customHeight="1">
      <c r="A788" s="28"/>
      <c r="B788" s="29" t="str">
        <f>IFERROR(VLOOKUP(A788,Tabla1[],2,0)," ")</f>
        <v xml:space="preserve"> </v>
      </c>
      <c r="C788" s="29" t="str">
        <f>IFERROR(VLOOKUP(A788,Tabla1[],6,0)," ")</f>
        <v xml:space="preserve"> </v>
      </c>
      <c r="D788" s="30" t="str">
        <f>IFERROR(VLOOKUP(A788,Tabla1[],8,0)," ")</f>
        <v xml:space="preserve"> </v>
      </c>
      <c r="E788" s="31"/>
      <c r="F788" s="30" t="str">
        <f t="shared" si="13"/>
        <v xml:space="preserve"> </v>
      </c>
    </row>
    <row r="789" spans="1:6" ht="22.7" customHeight="1">
      <c r="A789" s="28"/>
      <c r="B789" s="29" t="str">
        <f>IFERROR(VLOOKUP(A789,Tabla1[],2,0)," ")</f>
        <v xml:space="preserve"> </v>
      </c>
      <c r="C789" s="29" t="str">
        <f>IFERROR(VLOOKUP(A789,Tabla1[],6,0)," ")</f>
        <v xml:space="preserve"> </v>
      </c>
      <c r="D789" s="30" t="str">
        <f>IFERROR(VLOOKUP(A789,Tabla1[],8,0)," ")</f>
        <v xml:space="preserve"> </v>
      </c>
      <c r="E789" s="31"/>
      <c r="F789" s="30" t="str">
        <f t="shared" si="13"/>
        <v xml:space="preserve"> </v>
      </c>
    </row>
    <row r="790" spans="1:6" ht="22.7" customHeight="1">
      <c r="A790" s="28"/>
      <c r="B790" s="29" t="str">
        <f>IFERROR(VLOOKUP(A790,Tabla1[],2,0)," ")</f>
        <v xml:space="preserve"> </v>
      </c>
      <c r="C790" s="29" t="str">
        <f>IFERROR(VLOOKUP(A790,Tabla1[],6,0)," ")</f>
        <v xml:space="preserve"> </v>
      </c>
      <c r="D790" s="30" t="str">
        <f>IFERROR(VLOOKUP(A790,Tabla1[],8,0)," ")</f>
        <v xml:space="preserve"> </v>
      </c>
      <c r="E790" s="31"/>
      <c r="F790" s="30" t="str">
        <f t="shared" si="13"/>
        <v xml:space="preserve"> </v>
      </c>
    </row>
    <row r="791" spans="1:6" ht="22.7" customHeight="1">
      <c r="A791" s="28"/>
      <c r="B791" s="29" t="str">
        <f>IFERROR(VLOOKUP(A791,Tabla1[],2,0)," ")</f>
        <v xml:space="preserve"> </v>
      </c>
      <c r="C791" s="29" t="str">
        <f>IFERROR(VLOOKUP(A791,Tabla1[],6,0)," ")</f>
        <v xml:space="preserve"> </v>
      </c>
      <c r="D791" s="30" t="str">
        <f>IFERROR(VLOOKUP(A791,Tabla1[],8,0)," ")</f>
        <v xml:space="preserve"> </v>
      </c>
      <c r="E791" s="31"/>
      <c r="F791" s="30" t="str">
        <f t="shared" si="13"/>
        <v xml:space="preserve"> </v>
      </c>
    </row>
    <row r="792" spans="1:6" ht="22.7" customHeight="1">
      <c r="A792" s="28"/>
      <c r="B792" s="29" t="str">
        <f>IFERROR(VLOOKUP(A792,Tabla1[],2,0)," ")</f>
        <v xml:space="preserve"> </v>
      </c>
      <c r="C792" s="29" t="str">
        <f>IFERROR(VLOOKUP(A792,Tabla1[],6,0)," ")</f>
        <v xml:space="preserve"> </v>
      </c>
      <c r="D792" s="30" t="str">
        <f>IFERROR(VLOOKUP(A792,Tabla1[],8,0)," ")</f>
        <v xml:space="preserve"> </v>
      </c>
      <c r="E792" s="31"/>
      <c r="F792" s="30" t="str">
        <f t="shared" si="13"/>
        <v xml:space="preserve"> </v>
      </c>
    </row>
    <row r="793" spans="1:6" ht="22.7" customHeight="1">
      <c r="A793" s="28"/>
      <c r="B793" s="29" t="str">
        <f>IFERROR(VLOOKUP(A793,Tabla1[],2,0)," ")</f>
        <v xml:space="preserve"> </v>
      </c>
      <c r="C793" s="29" t="str">
        <f>IFERROR(VLOOKUP(A793,Tabla1[],6,0)," ")</f>
        <v xml:space="preserve"> </v>
      </c>
      <c r="D793" s="30" t="str">
        <f>IFERROR(VLOOKUP(A793,Tabla1[],8,0)," ")</f>
        <v xml:space="preserve"> </v>
      </c>
      <c r="E793" s="31"/>
      <c r="F793" s="30" t="str">
        <f t="shared" si="13"/>
        <v xml:space="preserve"> </v>
      </c>
    </row>
    <row r="794" spans="1:6" ht="22.7" customHeight="1">
      <c r="A794" s="28"/>
      <c r="B794" s="29" t="str">
        <f>IFERROR(VLOOKUP(A794,Tabla1[],2,0)," ")</f>
        <v xml:space="preserve"> </v>
      </c>
      <c r="C794" s="29" t="str">
        <f>IFERROR(VLOOKUP(A794,Tabla1[],6,0)," ")</f>
        <v xml:space="preserve"> </v>
      </c>
      <c r="D794" s="30" t="str">
        <f>IFERROR(VLOOKUP(A794,Tabla1[],8,0)," ")</f>
        <v xml:space="preserve"> </v>
      </c>
      <c r="E794" s="31"/>
      <c r="F794" s="30" t="str">
        <f t="shared" si="13"/>
        <v xml:space="preserve"> </v>
      </c>
    </row>
    <row r="795" spans="1:6" ht="22.7" customHeight="1">
      <c r="A795" s="28"/>
      <c r="B795" s="29" t="str">
        <f>IFERROR(VLOOKUP(A795,Tabla1[],2,0)," ")</f>
        <v xml:space="preserve"> </v>
      </c>
      <c r="C795" s="29" t="str">
        <f>IFERROR(VLOOKUP(A795,Tabla1[],6,0)," ")</f>
        <v xml:space="preserve"> </v>
      </c>
      <c r="D795" s="30" t="str">
        <f>IFERROR(VLOOKUP(A795,Tabla1[],8,0)," ")</f>
        <v xml:space="preserve"> </v>
      </c>
      <c r="E795" s="31"/>
      <c r="F795" s="30" t="str">
        <f t="shared" si="13"/>
        <v xml:space="preserve"> </v>
      </c>
    </row>
    <row r="796" spans="1:6" ht="22.7" customHeight="1">
      <c r="A796" s="28"/>
      <c r="B796" s="29" t="str">
        <f>IFERROR(VLOOKUP(A796,Tabla1[],2,0)," ")</f>
        <v xml:space="preserve"> </v>
      </c>
      <c r="C796" s="29" t="str">
        <f>IFERROR(VLOOKUP(A796,Tabla1[],6,0)," ")</f>
        <v xml:space="preserve"> </v>
      </c>
      <c r="D796" s="30" t="str">
        <f>IFERROR(VLOOKUP(A796,Tabla1[],8,0)," ")</f>
        <v xml:space="preserve"> </v>
      </c>
      <c r="E796" s="31"/>
      <c r="F796" s="30" t="str">
        <f t="shared" si="13"/>
        <v xml:space="preserve"> </v>
      </c>
    </row>
    <row r="797" spans="1:6" ht="22.7" customHeight="1">
      <c r="A797" s="28"/>
      <c r="B797" s="29" t="str">
        <f>IFERROR(VLOOKUP(A797,Tabla1[],2,0)," ")</f>
        <v xml:space="preserve"> </v>
      </c>
      <c r="C797" s="29" t="str">
        <f>IFERROR(VLOOKUP(A797,Tabla1[],6,0)," ")</f>
        <v xml:space="preserve"> </v>
      </c>
      <c r="D797" s="30" t="str">
        <f>IFERROR(VLOOKUP(A797,Tabla1[],8,0)," ")</f>
        <v xml:space="preserve"> </v>
      </c>
      <c r="E797" s="31"/>
      <c r="F797" s="30" t="str">
        <f t="shared" si="13"/>
        <v xml:space="preserve"> </v>
      </c>
    </row>
    <row r="798" spans="1:6" ht="22.7" customHeight="1">
      <c r="A798" s="28"/>
      <c r="B798" s="29" t="str">
        <f>IFERROR(VLOOKUP(A798,Tabla1[],2,0)," ")</f>
        <v xml:space="preserve"> </v>
      </c>
      <c r="C798" s="29" t="str">
        <f>IFERROR(VLOOKUP(A798,Tabla1[],6,0)," ")</f>
        <v xml:space="preserve"> </v>
      </c>
      <c r="D798" s="30" t="str">
        <f>IFERROR(VLOOKUP(A798,Tabla1[],8,0)," ")</f>
        <v xml:space="preserve"> </v>
      </c>
      <c r="E798" s="31"/>
      <c r="F798" s="30" t="str">
        <f t="shared" si="13"/>
        <v xml:space="preserve"> </v>
      </c>
    </row>
    <row r="799" spans="1:6" ht="22.7" customHeight="1">
      <c r="A799" s="28"/>
      <c r="B799" s="29" t="str">
        <f>IFERROR(VLOOKUP(A799,Tabla1[],2,0)," ")</f>
        <v xml:space="preserve"> </v>
      </c>
      <c r="C799" s="29" t="str">
        <f>IFERROR(VLOOKUP(A799,Tabla1[],6,0)," ")</f>
        <v xml:space="preserve"> </v>
      </c>
      <c r="D799" s="30" t="str">
        <f>IFERROR(VLOOKUP(A799,Tabla1[],8,0)," ")</f>
        <v xml:space="preserve"> </v>
      </c>
      <c r="E799" s="31"/>
      <c r="F799" s="30" t="str">
        <f t="shared" si="13"/>
        <v xml:space="preserve"> </v>
      </c>
    </row>
    <row r="800" spans="1:6" ht="22.7" customHeight="1">
      <c r="A800" s="28"/>
      <c r="B800" s="29" t="str">
        <f>IFERROR(VLOOKUP(A800,Tabla1[],2,0)," ")</f>
        <v xml:space="preserve"> </v>
      </c>
      <c r="C800" s="29" t="str">
        <f>IFERROR(VLOOKUP(A800,Tabla1[],6,0)," ")</f>
        <v xml:space="preserve"> </v>
      </c>
      <c r="D800" s="30" t="str">
        <f>IFERROR(VLOOKUP(A800,Tabla1[],8,0)," ")</f>
        <v xml:space="preserve"> </v>
      </c>
      <c r="E800" s="31"/>
      <c r="F800" s="30" t="str">
        <f t="shared" si="13"/>
        <v xml:space="preserve"> </v>
      </c>
    </row>
    <row r="801" spans="1:6" ht="22.7" customHeight="1">
      <c r="A801" s="28"/>
      <c r="B801" s="29" t="str">
        <f>IFERROR(VLOOKUP(A801,Tabla1[],2,0)," ")</f>
        <v xml:space="preserve"> </v>
      </c>
      <c r="C801" s="29" t="str">
        <f>IFERROR(VLOOKUP(A801,Tabla1[],6,0)," ")</f>
        <v xml:space="preserve"> </v>
      </c>
      <c r="D801" s="30" t="str">
        <f>IFERROR(VLOOKUP(A801,Tabla1[],8,0)," ")</f>
        <v xml:space="preserve"> </v>
      </c>
      <c r="E801" s="31"/>
      <c r="F801" s="30" t="str">
        <f t="shared" si="13"/>
        <v xml:space="preserve"> </v>
      </c>
    </row>
    <row r="802" spans="1:6" ht="22.7" customHeight="1">
      <c r="A802" s="28"/>
      <c r="B802" s="29" t="str">
        <f>IFERROR(VLOOKUP(A802,Tabla1[],2,0)," ")</f>
        <v xml:space="preserve"> </v>
      </c>
      <c r="C802" s="29" t="str">
        <f>IFERROR(VLOOKUP(A802,Tabla1[],6,0)," ")</f>
        <v xml:space="preserve"> </v>
      </c>
      <c r="D802" s="30" t="str">
        <f>IFERROR(VLOOKUP(A802,Tabla1[],8,0)," ")</f>
        <v xml:space="preserve"> </v>
      </c>
      <c r="E802" s="31"/>
      <c r="F802" s="30" t="str">
        <f t="shared" si="13"/>
        <v xml:space="preserve"> </v>
      </c>
    </row>
    <row r="803" spans="1:6" ht="22.7" customHeight="1">
      <c r="A803" s="28"/>
      <c r="B803" s="29" t="str">
        <f>IFERROR(VLOOKUP(A803,Tabla1[],2,0)," ")</f>
        <v xml:space="preserve"> </v>
      </c>
      <c r="C803" s="29" t="str">
        <f>IFERROR(VLOOKUP(A803,Tabla1[],6,0)," ")</f>
        <v xml:space="preserve"> </v>
      </c>
      <c r="D803" s="30" t="str">
        <f>IFERROR(VLOOKUP(A803,Tabla1[],8,0)," ")</f>
        <v xml:space="preserve"> </v>
      </c>
      <c r="E803" s="31"/>
      <c r="F803" s="30" t="str">
        <f t="shared" si="13"/>
        <v xml:space="preserve"> </v>
      </c>
    </row>
    <row r="804" spans="1:6" ht="22.7" customHeight="1">
      <c r="A804" s="28"/>
      <c r="B804" s="29" t="str">
        <f>IFERROR(VLOOKUP(A804,Tabla1[],2,0)," ")</f>
        <v xml:space="preserve"> </v>
      </c>
      <c r="C804" s="29" t="str">
        <f>IFERROR(VLOOKUP(A804,Tabla1[],6,0)," ")</f>
        <v xml:space="preserve"> </v>
      </c>
      <c r="D804" s="30" t="str">
        <f>IFERROR(VLOOKUP(A804,Tabla1[],8,0)," ")</f>
        <v xml:space="preserve"> </v>
      </c>
      <c r="E804" s="31"/>
      <c r="F804" s="30" t="str">
        <f t="shared" si="13"/>
        <v xml:space="preserve"> </v>
      </c>
    </row>
    <row r="805" spans="1:6" ht="22.7" customHeight="1">
      <c r="A805" s="28"/>
      <c r="B805" s="29" t="str">
        <f>IFERROR(VLOOKUP(A805,Tabla1[],2,0)," ")</f>
        <v xml:space="preserve"> </v>
      </c>
      <c r="C805" s="29" t="str">
        <f>IFERROR(VLOOKUP(A805,Tabla1[],6,0)," ")</f>
        <v xml:space="preserve"> </v>
      </c>
      <c r="D805" s="30" t="str">
        <f>IFERROR(VLOOKUP(A805,Tabla1[],8,0)," ")</f>
        <v xml:space="preserve"> </v>
      </c>
      <c r="E805" s="31"/>
      <c r="F805" s="30" t="str">
        <f t="shared" si="13"/>
        <v xml:space="preserve"> </v>
      </c>
    </row>
    <row r="806" spans="1:6" ht="22.7" customHeight="1">
      <c r="A806" s="28"/>
      <c r="B806" s="29" t="str">
        <f>IFERROR(VLOOKUP(A806,Tabla1[],2,0)," ")</f>
        <v xml:space="preserve"> </v>
      </c>
      <c r="C806" s="29" t="str">
        <f>IFERROR(VLOOKUP(A806,Tabla1[],6,0)," ")</f>
        <v xml:space="preserve"> </v>
      </c>
      <c r="D806" s="30" t="str">
        <f>IFERROR(VLOOKUP(A806,Tabla1[],8,0)," ")</f>
        <v xml:space="preserve"> </v>
      </c>
      <c r="E806" s="31"/>
      <c r="F806" s="30" t="str">
        <f t="shared" si="13"/>
        <v xml:space="preserve"> </v>
      </c>
    </row>
    <row r="807" spans="1:6" ht="22.7" customHeight="1">
      <c r="A807" s="28"/>
      <c r="B807" s="29" t="str">
        <f>IFERROR(VLOOKUP(A807,Tabla1[],2,0)," ")</f>
        <v xml:space="preserve"> </v>
      </c>
      <c r="C807" s="29" t="str">
        <f>IFERROR(VLOOKUP(A807,Tabla1[],6,0)," ")</f>
        <v xml:space="preserve"> </v>
      </c>
      <c r="D807" s="30" t="str">
        <f>IFERROR(VLOOKUP(A807,Tabla1[],8,0)," ")</f>
        <v xml:space="preserve"> </v>
      </c>
      <c r="E807" s="31"/>
      <c r="F807" s="30" t="str">
        <f t="shared" si="13"/>
        <v xml:space="preserve"> </v>
      </c>
    </row>
    <row r="808" spans="1:6" ht="22.7" customHeight="1">
      <c r="A808" s="28"/>
      <c r="B808" s="29" t="str">
        <f>IFERROR(VLOOKUP(A808,Tabla1[],2,0)," ")</f>
        <v xml:space="preserve"> </v>
      </c>
      <c r="C808" s="29" t="str">
        <f>IFERROR(VLOOKUP(A808,Tabla1[],6,0)," ")</f>
        <v xml:space="preserve"> </v>
      </c>
      <c r="D808" s="30" t="str">
        <f>IFERROR(VLOOKUP(A808,Tabla1[],8,0)," ")</f>
        <v xml:space="preserve"> </v>
      </c>
      <c r="E808" s="31"/>
      <c r="F808" s="30" t="str">
        <f t="shared" si="13"/>
        <v xml:space="preserve"> </v>
      </c>
    </row>
    <row r="809" spans="1:6" ht="22.7" customHeight="1">
      <c r="A809" s="28"/>
      <c r="B809" s="29" t="str">
        <f>IFERROR(VLOOKUP(A809,Tabla1[],2,0)," ")</f>
        <v xml:space="preserve"> </v>
      </c>
      <c r="C809" s="29" t="str">
        <f>IFERROR(VLOOKUP(A809,Tabla1[],6,0)," ")</f>
        <v xml:space="preserve"> </v>
      </c>
      <c r="D809" s="30" t="str">
        <f>IFERROR(VLOOKUP(A809,Tabla1[],8,0)," ")</f>
        <v xml:space="preserve"> </v>
      </c>
      <c r="E809" s="31"/>
      <c r="F809" s="30" t="str">
        <f t="shared" si="13"/>
        <v xml:space="preserve"> </v>
      </c>
    </row>
    <row r="810" spans="1:6" ht="22.7" customHeight="1">
      <c r="A810" s="28"/>
      <c r="B810" s="29" t="str">
        <f>IFERROR(VLOOKUP(A810,Tabla1[],2,0)," ")</f>
        <v xml:space="preserve"> </v>
      </c>
      <c r="C810" s="29" t="str">
        <f>IFERROR(VLOOKUP(A810,Tabla1[],6,0)," ")</f>
        <v xml:space="preserve"> </v>
      </c>
      <c r="D810" s="30" t="str">
        <f>IFERROR(VLOOKUP(A810,Tabla1[],8,0)," ")</f>
        <v xml:space="preserve"> </v>
      </c>
      <c r="E810" s="31"/>
      <c r="F810" s="30" t="str">
        <f t="shared" si="13"/>
        <v xml:space="preserve"> </v>
      </c>
    </row>
    <row r="811" spans="1:6" ht="22.7" customHeight="1">
      <c r="A811" s="28"/>
      <c r="B811" s="29" t="str">
        <f>IFERROR(VLOOKUP(A811,Tabla1[],2,0)," ")</f>
        <v xml:space="preserve"> </v>
      </c>
      <c r="C811" s="29" t="str">
        <f>IFERROR(VLOOKUP(A811,Tabla1[],6,0)," ")</f>
        <v xml:space="preserve"> </v>
      </c>
      <c r="D811" s="30" t="str">
        <f>IFERROR(VLOOKUP(A811,Tabla1[],8,0)," ")</f>
        <v xml:space="preserve"> </v>
      </c>
      <c r="E811" s="31"/>
      <c r="F811" s="30" t="str">
        <f t="shared" si="13"/>
        <v xml:space="preserve"> </v>
      </c>
    </row>
    <row r="812" spans="1:6" ht="22.7" customHeight="1">
      <c r="A812" s="28"/>
      <c r="B812" s="29" t="str">
        <f>IFERROR(VLOOKUP(A812,Tabla1[],2,0)," ")</f>
        <v xml:space="preserve"> </v>
      </c>
      <c r="C812" s="29" t="str">
        <f>IFERROR(VLOOKUP(A812,Tabla1[],6,0)," ")</f>
        <v xml:space="preserve"> </v>
      </c>
      <c r="D812" s="30" t="str">
        <f>IFERROR(VLOOKUP(A812,Tabla1[],8,0)," ")</f>
        <v xml:space="preserve"> </v>
      </c>
      <c r="E812" s="31"/>
      <c r="F812" s="30" t="str">
        <f t="shared" si="13"/>
        <v xml:space="preserve"> </v>
      </c>
    </row>
    <row r="813" spans="1:6" ht="22.7" customHeight="1">
      <c r="A813" s="28"/>
      <c r="B813" s="29" t="str">
        <f>IFERROR(VLOOKUP(A813,Tabla1[],2,0)," ")</f>
        <v xml:space="preserve"> </v>
      </c>
      <c r="C813" s="29" t="str">
        <f>IFERROR(VLOOKUP(A813,Tabla1[],6,0)," ")</f>
        <v xml:space="preserve"> </v>
      </c>
      <c r="D813" s="30" t="str">
        <f>IFERROR(VLOOKUP(A813,Tabla1[],8,0)," ")</f>
        <v xml:space="preserve"> </v>
      </c>
      <c r="E813" s="31"/>
      <c r="F813" s="30" t="str">
        <f t="shared" si="13"/>
        <v xml:space="preserve"> </v>
      </c>
    </row>
    <row r="814" spans="1:6" ht="22.7" customHeight="1">
      <c r="A814" s="28"/>
      <c r="B814" s="29" t="str">
        <f>IFERROR(VLOOKUP(A814,Tabla1[],2,0)," ")</f>
        <v xml:space="preserve"> </v>
      </c>
      <c r="C814" s="29" t="str">
        <f>IFERROR(VLOOKUP(A814,Tabla1[],6,0)," ")</f>
        <v xml:space="preserve"> </v>
      </c>
      <c r="D814" s="30" t="str">
        <f>IFERROR(VLOOKUP(A814,Tabla1[],8,0)," ")</f>
        <v xml:space="preserve"> </v>
      </c>
      <c r="E814" s="31"/>
      <c r="F814" s="30" t="str">
        <f t="shared" si="13"/>
        <v xml:space="preserve"> </v>
      </c>
    </row>
    <row r="815" spans="1:6" ht="22.7" customHeight="1">
      <c r="A815" s="28"/>
      <c r="B815" s="29" t="str">
        <f>IFERROR(VLOOKUP(A815,Tabla1[],2,0)," ")</f>
        <v xml:space="preserve"> </v>
      </c>
      <c r="C815" s="29" t="str">
        <f>IFERROR(VLOOKUP(A815,Tabla1[],6,0)," ")</f>
        <v xml:space="preserve"> </v>
      </c>
      <c r="D815" s="30" t="str">
        <f>IFERROR(VLOOKUP(A815,Tabla1[],8,0)," ")</f>
        <v xml:space="preserve"> </v>
      </c>
      <c r="E815" s="31"/>
      <c r="F815" s="30" t="str">
        <f t="shared" si="13"/>
        <v xml:space="preserve"> </v>
      </c>
    </row>
    <row r="816" spans="1:6" ht="22.7" customHeight="1">
      <c r="A816" s="28"/>
      <c r="B816" s="29" t="str">
        <f>IFERROR(VLOOKUP(A816,Tabla1[],2,0)," ")</f>
        <v xml:space="preserve"> </v>
      </c>
      <c r="C816" s="29" t="str">
        <f>IFERROR(VLOOKUP(A816,Tabla1[],6,0)," ")</f>
        <v xml:space="preserve"> </v>
      </c>
      <c r="D816" s="30" t="str">
        <f>IFERROR(VLOOKUP(A816,Tabla1[],8,0)," ")</f>
        <v xml:space="preserve"> </v>
      </c>
      <c r="E816" s="31"/>
      <c r="F816" s="30" t="str">
        <f t="shared" si="13"/>
        <v xml:space="preserve"> </v>
      </c>
    </row>
    <row r="817" spans="1:6" ht="22.7" customHeight="1">
      <c r="A817" s="28"/>
      <c r="B817" s="29" t="str">
        <f>IFERROR(VLOOKUP(A817,Tabla1[],2,0)," ")</f>
        <v xml:space="preserve"> </v>
      </c>
      <c r="C817" s="29" t="str">
        <f>IFERROR(VLOOKUP(A817,Tabla1[],6,0)," ")</f>
        <v xml:space="preserve"> </v>
      </c>
      <c r="D817" s="30" t="str">
        <f>IFERROR(VLOOKUP(A817,Tabla1[],8,0)," ")</f>
        <v xml:space="preserve"> </v>
      </c>
      <c r="E817" s="31"/>
      <c r="F817" s="30" t="str">
        <f t="shared" si="13"/>
        <v xml:space="preserve"> </v>
      </c>
    </row>
    <row r="818" spans="1:6" ht="22.7" customHeight="1">
      <c r="A818" s="28"/>
      <c r="B818" s="29" t="str">
        <f>IFERROR(VLOOKUP(A818,Tabla1[],2,0)," ")</f>
        <v xml:space="preserve"> </v>
      </c>
      <c r="C818" s="29" t="str">
        <f>IFERROR(VLOOKUP(A818,Tabla1[],6,0)," ")</f>
        <v xml:space="preserve"> </v>
      </c>
      <c r="D818" s="30" t="str">
        <f>IFERROR(VLOOKUP(A818,Tabla1[],8,0)," ")</f>
        <v xml:space="preserve"> </v>
      </c>
      <c r="E818" s="31"/>
      <c r="F818" s="30" t="str">
        <f t="shared" si="13"/>
        <v xml:space="preserve"> </v>
      </c>
    </row>
    <row r="819" spans="1:6" ht="22.7" customHeight="1">
      <c r="A819" s="28"/>
      <c r="B819" s="29" t="str">
        <f>IFERROR(VLOOKUP(A819,Tabla1[],2,0)," ")</f>
        <v xml:space="preserve"> </v>
      </c>
      <c r="C819" s="29" t="str">
        <f>IFERROR(VLOOKUP(A819,Tabla1[],6,0)," ")</f>
        <v xml:space="preserve"> </v>
      </c>
      <c r="D819" s="30" t="str">
        <f>IFERROR(VLOOKUP(A819,Tabla1[],8,0)," ")</f>
        <v xml:space="preserve"> </v>
      </c>
      <c r="E819" s="31"/>
      <c r="F819" s="30" t="str">
        <f t="shared" si="13"/>
        <v xml:space="preserve"> </v>
      </c>
    </row>
    <row r="820" spans="1:6" ht="22.7" customHeight="1">
      <c r="A820" s="28"/>
      <c r="B820" s="29" t="str">
        <f>IFERROR(VLOOKUP(A820,Tabla1[],2,0)," ")</f>
        <v xml:space="preserve"> </v>
      </c>
      <c r="C820" s="29" t="str">
        <f>IFERROR(VLOOKUP(A820,Tabla1[],6,0)," ")</f>
        <v xml:space="preserve"> </v>
      </c>
      <c r="D820" s="30" t="str">
        <f>IFERROR(VLOOKUP(A820,Tabla1[],8,0)," ")</f>
        <v xml:space="preserve"> </v>
      </c>
      <c r="E820" s="31"/>
      <c r="F820" s="30" t="str">
        <f t="shared" si="13"/>
        <v xml:space="preserve"> </v>
      </c>
    </row>
    <row r="821" spans="1:6" ht="22.7" customHeight="1">
      <c r="A821" s="28"/>
      <c r="B821" s="29" t="str">
        <f>IFERROR(VLOOKUP(A821,Tabla1[],2,0)," ")</f>
        <v xml:space="preserve"> </v>
      </c>
      <c r="C821" s="29" t="str">
        <f>IFERROR(VLOOKUP(A821,Tabla1[],6,0)," ")</f>
        <v xml:space="preserve"> </v>
      </c>
      <c r="D821" s="30" t="str">
        <f>IFERROR(VLOOKUP(A821,Tabla1[],8,0)," ")</f>
        <v xml:space="preserve"> </v>
      </c>
      <c r="E821" s="31"/>
      <c r="F821" s="30" t="str">
        <f t="shared" si="13"/>
        <v xml:space="preserve"> </v>
      </c>
    </row>
    <row r="822" spans="1:6" ht="22.7" customHeight="1">
      <c r="A822" s="28"/>
      <c r="B822" s="29" t="str">
        <f>IFERROR(VLOOKUP(A822,Tabla1[],2,0)," ")</f>
        <v xml:space="preserve"> </v>
      </c>
      <c r="C822" s="29" t="str">
        <f>IFERROR(VLOOKUP(A822,Tabla1[],6,0)," ")</f>
        <v xml:space="preserve"> </v>
      </c>
      <c r="D822" s="30" t="str">
        <f>IFERROR(VLOOKUP(A822,Tabla1[],8,0)," ")</f>
        <v xml:space="preserve"> </v>
      </c>
      <c r="E822" s="31"/>
      <c r="F822" s="30" t="str">
        <f t="shared" si="13"/>
        <v xml:space="preserve"> </v>
      </c>
    </row>
    <row r="823" spans="1:6" ht="22.7" customHeight="1">
      <c r="A823" s="28"/>
      <c r="B823" s="29" t="str">
        <f>IFERROR(VLOOKUP(A823,Tabla1[],2,0)," ")</f>
        <v xml:space="preserve"> </v>
      </c>
      <c r="C823" s="29" t="str">
        <f>IFERROR(VLOOKUP(A823,Tabla1[],6,0)," ")</f>
        <v xml:space="preserve"> </v>
      </c>
      <c r="D823" s="30" t="str">
        <f>IFERROR(VLOOKUP(A823,Tabla1[],8,0)," ")</f>
        <v xml:space="preserve"> </v>
      </c>
      <c r="E823" s="31"/>
      <c r="F823" s="30" t="str">
        <f t="shared" si="13"/>
        <v xml:space="preserve"> </v>
      </c>
    </row>
    <row r="824" spans="1:6" ht="22.7" customHeight="1">
      <c r="A824" s="28"/>
      <c r="B824" s="29" t="str">
        <f>IFERROR(VLOOKUP(A824,Tabla1[],2,0)," ")</f>
        <v xml:space="preserve"> </v>
      </c>
      <c r="C824" s="29" t="str">
        <f>IFERROR(VLOOKUP(A824,Tabla1[],6,0)," ")</f>
        <v xml:space="preserve"> </v>
      </c>
      <c r="D824" s="30" t="str">
        <f>IFERROR(VLOOKUP(A824,Tabla1[],8,0)," ")</f>
        <v xml:space="preserve"> </v>
      </c>
      <c r="E824" s="31"/>
      <c r="F824" s="30" t="str">
        <f t="shared" si="13"/>
        <v xml:space="preserve"> </v>
      </c>
    </row>
    <row r="825" spans="1:6" ht="22.7" customHeight="1">
      <c r="A825" s="28"/>
      <c r="B825" s="29" t="str">
        <f>IFERROR(VLOOKUP(A825,Tabla1[],2,0)," ")</f>
        <v xml:space="preserve"> </v>
      </c>
      <c r="C825" s="29" t="str">
        <f>IFERROR(VLOOKUP(A825,Tabla1[],6,0)," ")</f>
        <v xml:space="preserve"> </v>
      </c>
      <c r="D825" s="30" t="str">
        <f>IFERROR(VLOOKUP(A825,Tabla1[],8,0)," ")</f>
        <v xml:space="preserve"> </v>
      </c>
      <c r="E825" s="31"/>
      <c r="F825" s="30" t="str">
        <f t="shared" si="13"/>
        <v xml:space="preserve"> </v>
      </c>
    </row>
    <row r="826" spans="1:6" ht="22.7" customHeight="1">
      <c r="A826" s="28"/>
      <c r="B826" s="29" t="str">
        <f>IFERROR(VLOOKUP(A826,Tabla1[],2,0)," ")</f>
        <v xml:space="preserve"> </v>
      </c>
      <c r="C826" s="29" t="str">
        <f>IFERROR(VLOOKUP(A826,Tabla1[],6,0)," ")</f>
        <v xml:space="preserve"> </v>
      </c>
      <c r="D826" s="30" t="str">
        <f>IFERROR(VLOOKUP(A826,Tabla1[],8,0)," ")</f>
        <v xml:space="preserve"> </v>
      </c>
      <c r="E826" s="31"/>
      <c r="F826" s="30" t="str">
        <f t="shared" si="13"/>
        <v xml:space="preserve"> </v>
      </c>
    </row>
    <row r="827" spans="1:6" ht="22.7" customHeight="1">
      <c r="A827" s="28"/>
      <c r="B827" s="29" t="str">
        <f>IFERROR(VLOOKUP(A827,Tabla1[],2,0)," ")</f>
        <v xml:space="preserve"> </v>
      </c>
      <c r="C827" s="29" t="str">
        <f>IFERROR(VLOOKUP(A827,Tabla1[],6,0)," ")</f>
        <v xml:space="preserve"> </v>
      </c>
      <c r="D827" s="30" t="str">
        <f>IFERROR(VLOOKUP(A827,Tabla1[],8,0)," ")</f>
        <v xml:space="preserve"> </v>
      </c>
      <c r="E827" s="31"/>
      <c r="F827" s="30" t="str">
        <f t="shared" si="13"/>
        <v xml:space="preserve"> </v>
      </c>
    </row>
    <row r="828" spans="1:6" ht="22.7" customHeight="1">
      <c r="A828" s="28"/>
      <c r="B828" s="29" t="str">
        <f>IFERROR(VLOOKUP(A828,Tabla1[],2,0)," ")</f>
        <v xml:space="preserve"> </v>
      </c>
      <c r="C828" s="29" t="str">
        <f>IFERROR(VLOOKUP(A828,Tabla1[],6,0)," ")</f>
        <v xml:space="preserve"> </v>
      </c>
      <c r="D828" s="30" t="str">
        <f>IFERROR(VLOOKUP(A828,Tabla1[],8,0)," ")</f>
        <v xml:space="preserve"> </v>
      </c>
      <c r="E828" s="31"/>
      <c r="F828" s="30" t="str">
        <f t="shared" si="13"/>
        <v xml:space="preserve"> </v>
      </c>
    </row>
    <row r="829" spans="1:6" ht="22.7" customHeight="1">
      <c r="A829" s="28"/>
      <c r="B829" s="29" t="str">
        <f>IFERROR(VLOOKUP(A829,Tabla1[],2,0)," ")</f>
        <v xml:space="preserve"> </v>
      </c>
      <c r="C829" s="29" t="str">
        <f>IFERROR(VLOOKUP(A829,Tabla1[],6,0)," ")</f>
        <v xml:space="preserve"> </v>
      </c>
      <c r="D829" s="30" t="str">
        <f>IFERROR(VLOOKUP(A829,Tabla1[],8,0)," ")</f>
        <v xml:space="preserve"> </v>
      </c>
      <c r="E829" s="31"/>
      <c r="F829" s="30" t="str">
        <f t="shared" si="13"/>
        <v xml:space="preserve"> </v>
      </c>
    </row>
    <row r="830" spans="1:6" ht="22.7" customHeight="1">
      <c r="A830" s="28"/>
      <c r="B830" s="29" t="str">
        <f>IFERROR(VLOOKUP(A830,Tabla1[],2,0)," ")</f>
        <v xml:space="preserve"> </v>
      </c>
      <c r="C830" s="29" t="str">
        <f>IFERROR(VLOOKUP(A830,Tabla1[],6,0)," ")</f>
        <v xml:space="preserve"> </v>
      </c>
      <c r="D830" s="30" t="str">
        <f>IFERROR(VLOOKUP(A830,Tabla1[],8,0)," ")</f>
        <v xml:space="preserve"> </v>
      </c>
      <c r="E830" s="31"/>
      <c r="F830" s="30" t="str">
        <f t="shared" si="13"/>
        <v xml:space="preserve"> </v>
      </c>
    </row>
    <row r="831" spans="1:6" ht="22.7" customHeight="1">
      <c r="A831" s="28"/>
      <c r="B831" s="29" t="str">
        <f>IFERROR(VLOOKUP(A831,Tabla1[],2,0)," ")</f>
        <v xml:space="preserve"> </v>
      </c>
      <c r="C831" s="29" t="str">
        <f>IFERROR(VLOOKUP(A831,Tabla1[],6,0)," ")</f>
        <v xml:space="preserve"> </v>
      </c>
      <c r="D831" s="30" t="str">
        <f>IFERROR(VLOOKUP(A831,Tabla1[],8,0)," ")</f>
        <v xml:space="preserve"> </v>
      </c>
      <c r="E831" s="31"/>
      <c r="F831" s="30" t="str">
        <f t="shared" si="13"/>
        <v xml:space="preserve"> </v>
      </c>
    </row>
    <row r="832" spans="1:6" ht="22.7" customHeight="1">
      <c r="A832" s="28"/>
      <c r="B832" s="29" t="str">
        <f>IFERROR(VLOOKUP(A832,Tabla1[],2,0)," ")</f>
        <v xml:space="preserve"> </v>
      </c>
      <c r="C832" s="29" t="str">
        <f>IFERROR(VLOOKUP(A832,Tabla1[],6,0)," ")</f>
        <v xml:space="preserve"> </v>
      </c>
      <c r="D832" s="30" t="str">
        <f>IFERROR(VLOOKUP(A832,Tabla1[],8,0)," ")</f>
        <v xml:space="preserve"> </v>
      </c>
      <c r="E832" s="31"/>
      <c r="F832" s="30" t="str">
        <f t="shared" si="13"/>
        <v xml:space="preserve"> </v>
      </c>
    </row>
    <row r="833" spans="1:6" ht="22.7" customHeight="1">
      <c r="A833" s="28"/>
      <c r="B833" s="29" t="str">
        <f>IFERROR(VLOOKUP(A833,Tabla1[],2,0)," ")</f>
        <v xml:space="preserve"> </v>
      </c>
      <c r="C833" s="29" t="str">
        <f>IFERROR(VLOOKUP(A833,Tabla1[],6,0)," ")</f>
        <v xml:space="preserve"> </v>
      </c>
      <c r="D833" s="30" t="str">
        <f>IFERROR(VLOOKUP(A833,Tabla1[],8,0)," ")</f>
        <v xml:space="preserve"> </v>
      </c>
      <c r="E833" s="31"/>
      <c r="F833" s="30" t="str">
        <f t="shared" si="13"/>
        <v xml:space="preserve"> </v>
      </c>
    </row>
    <row r="834" spans="1:6" ht="22.7" customHeight="1">
      <c r="A834" s="28"/>
      <c r="B834" s="29" t="str">
        <f>IFERROR(VLOOKUP(A834,Tabla1[],2,0)," ")</f>
        <v xml:space="preserve"> </v>
      </c>
      <c r="C834" s="29" t="str">
        <f>IFERROR(VLOOKUP(A834,Tabla1[],6,0)," ")</f>
        <v xml:space="preserve"> </v>
      </c>
      <c r="D834" s="30" t="str">
        <f>IFERROR(VLOOKUP(A834,Tabla1[],8,0)," ")</f>
        <v xml:space="preserve"> </v>
      </c>
      <c r="E834" s="31"/>
      <c r="F834" s="30" t="str">
        <f t="shared" si="13"/>
        <v xml:space="preserve"> </v>
      </c>
    </row>
    <row r="835" spans="1:6" ht="22.7" customHeight="1">
      <c r="A835" s="28"/>
      <c r="B835" s="29" t="str">
        <f>IFERROR(VLOOKUP(A835,Tabla1[],2,0)," ")</f>
        <v xml:space="preserve"> </v>
      </c>
      <c r="C835" s="29" t="str">
        <f>IFERROR(VLOOKUP(A835,Tabla1[],6,0)," ")</f>
        <v xml:space="preserve"> </v>
      </c>
      <c r="D835" s="30" t="str">
        <f>IFERROR(VLOOKUP(A835,Tabla1[],8,0)," ")</f>
        <v xml:space="preserve"> </v>
      </c>
      <c r="E835" s="31"/>
      <c r="F835" s="30" t="str">
        <f t="shared" si="13"/>
        <v xml:space="preserve"> </v>
      </c>
    </row>
    <row r="836" spans="1:6" ht="22.7" customHeight="1">
      <c r="A836" s="28"/>
      <c r="B836" s="29" t="str">
        <f>IFERROR(VLOOKUP(A836,Tabla1[],2,0)," ")</f>
        <v xml:space="preserve"> </v>
      </c>
      <c r="C836" s="29" t="str">
        <f>IFERROR(VLOOKUP(A836,Tabla1[],6,0)," ")</f>
        <v xml:space="preserve"> </v>
      </c>
      <c r="D836" s="30" t="str">
        <f>IFERROR(VLOOKUP(A836,Tabla1[],8,0)," ")</f>
        <v xml:space="preserve"> </v>
      </c>
      <c r="E836" s="31"/>
      <c r="F836" s="30" t="str">
        <f t="shared" ref="F836:F899" si="14">IFERROR((E836*D836), " ")</f>
        <v xml:space="preserve"> </v>
      </c>
    </row>
    <row r="837" spans="1:6" ht="22.7" customHeight="1">
      <c r="A837" s="28"/>
      <c r="B837" s="29" t="str">
        <f>IFERROR(VLOOKUP(A837,Tabla1[],2,0)," ")</f>
        <v xml:space="preserve"> </v>
      </c>
      <c r="C837" s="29" t="str">
        <f>IFERROR(VLOOKUP(A837,Tabla1[],6,0)," ")</f>
        <v xml:space="preserve"> </v>
      </c>
      <c r="D837" s="30" t="str">
        <f>IFERROR(VLOOKUP(A837,Tabla1[],8,0)," ")</f>
        <v xml:space="preserve"> </v>
      </c>
      <c r="E837" s="31"/>
      <c r="F837" s="30" t="str">
        <f t="shared" si="14"/>
        <v xml:space="preserve"> </v>
      </c>
    </row>
    <row r="838" spans="1:6" ht="22.7" customHeight="1">
      <c r="A838" s="28"/>
      <c r="B838" s="29" t="str">
        <f>IFERROR(VLOOKUP(A838,Tabla1[],2,0)," ")</f>
        <v xml:space="preserve"> </v>
      </c>
      <c r="C838" s="29" t="str">
        <f>IFERROR(VLOOKUP(A838,Tabla1[],6,0)," ")</f>
        <v xml:space="preserve"> </v>
      </c>
      <c r="D838" s="30" t="str">
        <f>IFERROR(VLOOKUP(A838,Tabla1[],8,0)," ")</f>
        <v xml:space="preserve"> </v>
      </c>
      <c r="E838" s="31"/>
      <c r="F838" s="30" t="str">
        <f t="shared" si="14"/>
        <v xml:space="preserve"> </v>
      </c>
    </row>
    <row r="839" spans="1:6" ht="22.7" customHeight="1">
      <c r="A839" s="28"/>
      <c r="B839" s="29" t="str">
        <f>IFERROR(VLOOKUP(A839,Tabla1[],2,0)," ")</f>
        <v xml:space="preserve"> </v>
      </c>
      <c r="C839" s="29" t="str">
        <f>IFERROR(VLOOKUP(A839,Tabla1[],6,0)," ")</f>
        <v xml:space="preserve"> </v>
      </c>
      <c r="D839" s="30" t="str">
        <f>IFERROR(VLOOKUP(A839,Tabla1[],8,0)," ")</f>
        <v xml:space="preserve"> </v>
      </c>
      <c r="E839" s="31"/>
      <c r="F839" s="30" t="str">
        <f t="shared" si="14"/>
        <v xml:space="preserve"> </v>
      </c>
    </row>
    <row r="840" spans="1:6" ht="22.7" customHeight="1">
      <c r="A840" s="28"/>
      <c r="B840" s="29" t="str">
        <f>IFERROR(VLOOKUP(A840,Tabla1[],2,0)," ")</f>
        <v xml:space="preserve"> </v>
      </c>
      <c r="C840" s="29" t="str">
        <f>IFERROR(VLOOKUP(A840,Tabla1[],6,0)," ")</f>
        <v xml:space="preserve"> </v>
      </c>
      <c r="D840" s="30" t="str">
        <f>IFERROR(VLOOKUP(A840,Tabla1[],8,0)," ")</f>
        <v xml:space="preserve"> </v>
      </c>
      <c r="E840" s="31"/>
      <c r="F840" s="30" t="str">
        <f t="shared" si="14"/>
        <v xml:space="preserve"> </v>
      </c>
    </row>
    <row r="841" spans="1:6" ht="22.7" customHeight="1">
      <c r="A841" s="28"/>
      <c r="B841" s="29" t="str">
        <f>IFERROR(VLOOKUP(A841,Tabla1[],2,0)," ")</f>
        <v xml:space="preserve"> </v>
      </c>
      <c r="C841" s="29" t="str">
        <f>IFERROR(VLOOKUP(A841,Tabla1[],6,0)," ")</f>
        <v xml:space="preserve"> </v>
      </c>
      <c r="D841" s="30" t="str">
        <f>IFERROR(VLOOKUP(A841,Tabla1[],8,0)," ")</f>
        <v xml:space="preserve"> </v>
      </c>
      <c r="E841" s="31"/>
      <c r="F841" s="30" t="str">
        <f t="shared" si="14"/>
        <v xml:space="preserve"> </v>
      </c>
    </row>
    <row r="842" spans="1:6" ht="22.7" customHeight="1">
      <c r="A842" s="28"/>
      <c r="B842" s="29" t="str">
        <f>IFERROR(VLOOKUP(A842,Tabla1[],2,0)," ")</f>
        <v xml:space="preserve"> </v>
      </c>
      <c r="C842" s="29" t="str">
        <f>IFERROR(VLOOKUP(A842,Tabla1[],6,0)," ")</f>
        <v xml:space="preserve"> </v>
      </c>
      <c r="D842" s="30" t="str">
        <f>IFERROR(VLOOKUP(A842,Tabla1[],8,0)," ")</f>
        <v xml:space="preserve"> </v>
      </c>
      <c r="E842" s="31"/>
      <c r="F842" s="30" t="str">
        <f t="shared" si="14"/>
        <v xml:space="preserve"> </v>
      </c>
    </row>
    <row r="843" spans="1:6" ht="22.7" customHeight="1">
      <c r="A843" s="28"/>
      <c r="B843" s="29" t="str">
        <f>IFERROR(VLOOKUP(A843,Tabla1[],2,0)," ")</f>
        <v xml:space="preserve"> </v>
      </c>
      <c r="C843" s="29" t="str">
        <f>IFERROR(VLOOKUP(A843,Tabla1[],6,0)," ")</f>
        <v xml:space="preserve"> </v>
      </c>
      <c r="D843" s="30" t="str">
        <f>IFERROR(VLOOKUP(A843,Tabla1[],8,0)," ")</f>
        <v xml:space="preserve"> </v>
      </c>
      <c r="E843" s="31"/>
      <c r="F843" s="30" t="str">
        <f t="shared" si="14"/>
        <v xml:space="preserve"> </v>
      </c>
    </row>
    <row r="844" spans="1:6" ht="22.7" customHeight="1">
      <c r="A844" s="28"/>
      <c r="B844" s="29" t="str">
        <f>IFERROR(VLOOKUP(A844,Tabla1[],2,0)," ")</f>
        <v xml:space="preserve"> </v>
      </c>
      <c r="C844" s="29" t="str">
        <f>IFERROR(VLOOKUP(A844,Tabla1[],6,0)," ")</f>
        <v xml:space="preserve"> </v>
      </c>
      <c r="D844" s="30" t="str">
        <f>IFERROR(VLOOKUP(A844,Tabla1[],8,0)," ")</f>
        <v xml:space="preserve"> </v>
      </c>
      <c r="E844" s="31"/>
      <c r="F844" s="30" t="str">
        <f t="shared" si="14"/>
        <v xml:space="preserve"> </v>
      </c>
    </row>
    <row r="845" spans="1:6" ht="22.7" customHeight="1">
      <c r="A845" s="28"/>
      <c r="B845" s="29" t="str">
        <f>IFERROR(VLOOKUP(A845,Tabla1[],2,0)," ")</f>
        <v xml:space="preserve"> </v>
      </c>
      <c r="C845" s="29" t="str">
        <f>IFERROR(VLOOKUP(A845,Tabla1[],6,0)," ")</f>
        <v xml:space="preserve"> </v>
      </c>
      <c r="D845" s="30" t="str">
        <f>IFERROR(VLOOKUP(A845,Tabla1[],8,0)," ")</f>
        <v xml:space="preserve"> </v>
      </c>
      <c r="E845" s="31"/>
      <c r="F845" s="30" t="str">
        <f t="shared" si="14"/>
        <v xml:space="preserve"> </v>
      </c>
    </row>
    <row r="846" spans="1:6" ht="22.7" customHeight="1">
      <c r="A846" s="28"/>
      <c r="B846" s="29" t="str">
        <f>IFERROR(VLOOKUP(A846,Tabla1[],2,0)," ")</f>
        <v xml:space="preserve"> </v>
      </c>
      <c r="C846" s="29" t="str">
        <f>IFERROR(VLOOKUP(A846,Tabla1[],6,0)," ")</f>
        <v xml:space="preserve"> </v>
      </c>
      <c r="D846" s="30" t="str">
        <f>IFERROR(VLOOKUP(A846,Tabla1[],8,0)," ")</f>
        <v xml:space="preserve"> </v>
      </c>
      <c r="E846" s="31"/>
      <c r="F846" s="30" t="str">
        <f t="shared" si="14"/>
        <v xml:space="preserve"> </v>
      </c>
    </row>
    <row r="847" spans="1:6" ht="22.7" customHeight="1">
      <c r="A847" s="28"/>
      <c r="B847" s="29" t="str">
        <f>IFERROR(VLOOKUP(A847,Tabla1[],2,0)," ")</f>
        <v xml:space="preserve"> </v>
      </c>
      <c r="C847" s="29" t="str">
        <f>IFERROR(VLOOKUP(A847,Tabla1[],6,0)," ")</f>
        <v xml:space="preserve"> </v>
      </c>
      <c r="D847" s="30" t="str">
        <f>IFERROR(VLOOKUP(A847,Tabla1[],8,0)," ")</f>
        <v xml:space="preserve"> </v>
      </c>
      <c r="E847" s="31"/>
      <c r="F847" s="30" t="str">
        <f t="shared" si="14"/>
        <v xml:space="preserve"> </v>
      </c>
    </row>
    <row r="848" spans="1:6" ht="22.7" customHeight="1">
      <c r="A848" s="28"/>
      <c r="B848" s="29" t="str">
        <f>IFERROR(VLOOKUP(A848,Tabla1[],2,0)," ")</f>
        <v xml:space="preserve"> </v>
      </c>
      <c r="C848" s="29" t="str">
        <f>IFERROR(VLOOKUP(A848,Tabla1[],6,0)," ")</f>
        <v xml:space="preserve"> </v>
      </c>
      <c r="D848" s="30" t="str">
        <f>IFERROR(VLOOKUP(A848,Tabla1[],8,0)," ")</f>
        <v xml:space="preserve"> </v>
      </c>
      <c r="E848" s="31"/>
      <c r="F848" s="30" t="str">
        <f t="shared" si="14"/>
        <v xml:space="preserve"> </v>
      </c>
    </row>
    <row r="849" spans="1:6" ht="22.7" customHeight="1">
      <c r="A849" s="28"/>
      <c r="B849" s="29" t="str">
        <f>IFERROR(VLOOKUP(A849,Tabla1[],2,0)," ")</f>
        <v xml:space="preserve"> </v>
      </c>
      <c r="C849" s="29" t="str">
        <f>IFERROR(VLOOKUP(A849,Tabla1[],6,0)," ")</f>
        <v xml:space="preserve"> </v>
      </c>
      <c r="D849" s="30" t="str">
        <f>IFERROR(VLOOKUP(A849,Tabla1[],8,0)," ")</f>
        <v xml:space="preserve"> </v>
      </c>
      <c r="E849" s="31"/>
      <c r="F849" s="30" t="str">
        <f t="shared" si="14"/>
        <v xml:space="preserve"> </v>
      </c>
    </row>
    <row r="850" spans="1:6" ht="22.7" customHeight="1">
      <c r="A850" s="28"/>
      <c r="B850" s="29" t="str">
        <f>IFERROR(VLOOKUP(A850,Tabla1[],2,0)," ")</f>
        <v xml:space="preserve"> </v>
      </c>
      <c r="C850" s="29" t="str">
        <f>IFERROR(VLOOKUP(A850,Tabla1[],6,0)," ")</f>
        <v xml:space="preserve"> </v>
      </c>
      <c r="D850" s="30" t="str">
        <f>IFERROR(VLOOKUP(A850,Tabla1[],8,0)," ")</f>
        <v xml:space="preserve"> </v>
      </c>
      <c r="E850" s="31"/>
      <c r="F850" s="30" t="str">
        <f t="shared" si="14"/>
        <v xml:space="preserve"> </v>
      </c>
    </row>
    <row r="851" spans="1:6" ht="22.7" customHeight="1">
      <c r="A851" s="28"/>
      <c r="B851" s="29" t="str">
        <f>IFERROR(VLOOKUP(A851,Tabla1[],2,0)," ")</f>
        <v xml:space="preserve"> </v>
      </c>
      <c r="C851" s="29" t="str">
        <f>IFERROR(VLOOKUP(A851,Tabla1[],6,0)," ")</f>
        <v xml:space="preserve"> </v>
      </c>
      <c r="D851" s="30" t="str">
        <f>IFERROR(VLOOKUP(A851,Tabla1[],8,0)," ")</f>
        <v xml:space="preserve"> </v>
      </c>
      <c r="E851" s="31"/>
      <c r="F851" s="30" t="str">
        <f t="shared" si="14"/>
        <v xml:space="preserve"> </v>
      </c>
    </row>
    <row r="852" spans="1:6" ht="22.7" customHeight="1">
      <c r="A852" s="28"/>
      <c r="B852" s="29" t="str">
        <f>IFERROR(VLOOKUP(A852,Tabla1[],2,0)," ")</f>
        <v xml:space="preserve"> </v>
      </c>
      <c r="C852" s="29" t="str">
        <f>IFERROR(VLOOKUP(A852,Tabla1[],6,0)," ")</f>
        <v xml:space="preserve"> </v>
      </c>
      <c r="D852" s="30" t="str">
        <f>IFERROR(VLOOKUP(A852,Tabla1[],8,0)," ")</f>
        <v xml:space="preserve"> </v>
      </c>
      <c r="E852" s="31"/>
      <c r="F852" s="30" t="str">
        <f t="shared" si="14"/>
        <v xml:space="preserve"> </v>
      </c>
    </row>
    <row r="853" spans="1:6" ht="22.7" customHeight="1">
      <c r="A853" s="28"/>
      <c r="B853" s="29" t="str">
        <f>IFERROR(VLOOKUP(A853,Tabla1[],2,0)," ")</f>
        <v xml:space="preserve"> </v>
      </c>
      <c r="C853" s="29" t="str">
        <f>IFERROR(VLOOKUP(A853,Tabla1[],6,0)," ")</f>
        <v xml:space="preserve"> </v>
      </c>
      <c r="D853" s="30" t="str">
        <f>IFERROR(VLOOKUP(A853,Tabla1[],8,0)," ")</f>
        <v xml:space="preserve"> </v>
      </c>
      <c r="E853" s="31"/>
      <c r="F853" s="30" t="str">
        <f t="shared" si="14"/>
        <v xml:space="preserve"> </v>
      </c>
    </row>
    <row r="854" spans="1:6" ht="22.7" customHeight="1">
      <c r="A854" s="28"/>
      <c r="B854" s="29" t="str">
        <f>IFERROR(VLOOKUP(A854,Tabla1[],2,0)," ")</f>
        <v xml:space="preserve"> </v>
      </c>
      <c r="C854" s="29" t="str">
        <f>IFERROR(VLOOKUP(A854,Tabla1[],6,0)," ")</f>
        <v xml:space="preserve"> </v>
      </c>
      <c r="D854" s="30" t="str">
        <f>IFERROR(VLOOKUP(A854,Tabla1[],8,0)," ")</f>
        <v xml:space="preserve"> </v>
      </c>
      <c r="E854" s="31"/>
      <c r="F854" s="30" t="str">
        <f t="shared" si="14"/>
        <v xml:space="preserve"> </v>
      </c>
    </row>
    <row r="855" spans="1:6" ht="22.7" customHeight="1">
      <c r="A855" s="28"/>
      <c r="B855" s="29" t="str">
        <f>IFERROR(VLOOKUP(A855,Tabla1[],2,0)," ")</f>
        <v xml:space="preserve"> </v>
      </c>
      <c r="C855" s="29" t="str">
        <f>IFERROR(VLOOKUP(A855,Tabla1[],6,0)," ")</f>
        <v xml:space="preserve"> </v>
      </c>
      <c r="D855" s="30" t="str">
        <f>IFERROR(VLOOKUP(A855,Tabla1[],8,0)," ")</f>
        <v xml:space="preserve"> </v>
      </c>
      <c r="E855" s="31"/>
      <c r="F855" s="30" t="str">
        <f t="shared" si="14"/>
        <v xml:space="preserve"> </v>
      </c>
    </row>
    <row r="856" spans="1:6" ht="22.7" customHeight="1">
      <c r="A856" s="28"/>
      <c r="B856" s="29" t="str">
        <f>IFERROR(VLOOKUP(A856,Tabla1[],2,0)," ")</f>
        <v xml:space="preserve"> </v>
      </c>
      <c r="C856" s="29" t="str">
        <f>IFERROR(VLOOKUP(A856,Tabla1[],6,0)," ")</f>
        <v xml:space="preserve"> </v>
      </c>
      <c r="D856" s="30" t="str">
        <f>IFERROR(VLOOKUP(A856,Tabla1[],8,0)," ")</f>
        <v xml:space="preserve"> </v>
      </c>
      <c r="E856" s="31"/>
      <c r="F856" s="30" t="str">
        <f t="shared" si="14"/>
        <v xml:space="preserve"> </v>
      </c>
    </row>
    <row r="857" spans="1:6" ht="22.7" customHeight="1">
      <c r="A857" s="28"/>
      <c r="B857" s="29" t="str">
        <f>IFERROR(VLOOKUP(A857,Tabla1[],2,0)," ")</f>
        <v xml:space="preserve"> </v>
      </c>
      <c r="C857" s="29" t="str">
        <f>IFERROR(VLOOKUP(A857,Tabla1[],6,0)," ")</f>
        <v xml:space="preserve"> </v>
      </c>
      <c r="D857" s="30" t="str">
        <f>IFERROR(VLOOKUP(A857,Tabla1[],8,0)," ")</f>
        <v xml:space="preserve"> </v>
      </c>
      <c r="E857" s="31"/>
      <c r="F857" s="30" t="str">
        <f t="shared" si="14"/>
        <v xml:space="preserve"> </v>
      </c>
    </row>
    <row r="858" spans="1:6" ht="22.7" customHeight="1">
      <c r="A858" s="28"/>
      <c r="B858" s="29" t="str">
        <f>IFERROR(VLOOKUP(A858,Tabla1[],2,0)," ")</f>
        <v xml:space="preserve"> </v>
      </c>
      <c r="C858" s="29" t="str">
        <f>IFERROR(VLOOKUP(A858,Tabla1[],6,0)," ")</f>
        <v xml:space="preserve"> </v>
      </c>
      <c r="D858" s="30" t="str">
        <f>IFERROR(VLOOKUP(A858,Tabla1[],8,0)," ")</f>
        <v xml:space="preserve"> </v>
      </c>
      <c r="E858" s="31"/>
      <c r="F858" s="30" t="str">
        <f t="shared" si="14"/>
        <v xml:space="preserve"> </v>
      </c>
    </row>
    <row r="859" spans="1:6" ht="22.7" customHeight="1">
      <c r="A859" s="28"/>
      <c r="B859" s="29" t="str">
        <f>IFERROR(VLOOKUP(A859,Tabla1[],2,0)," ")</f>
        <v xml:space="preserve"> </v>
      </c>
      <c r="C859" s="29" t="str">
        <f>IFERROR(VLOOKUP(A859,Tabla1[],6,0)," ")</f>
        <v xml:space="preserve"> </v>
      </c>
      <c r="D859" s="30" t="str">
        <f>IFERROR(VLOOKUP(A859,Tabla1[],8,0)," ")</f>
        <v xml:space="preserve"> </v>
      </c>
      <c r="E859" s="31"/>
      <c r="F859" s="30" t="str">
        <f t="shared" si="14"/>
        <v xml:space="preserve"> </v>
      </c>
    </row>
    <row r="860" spans="1:6" ht="22.7" customHeight="1">
      <c r="A860" s="28"/>
      <c r="B860" s="29" t="str">
        <f>IFERROR(VLOOKUP(A860,Tabla1[],2,0)," ")</f>
        <v xml:space="preserve"> </v>
      </c>
      <c r="C860" s="29" t="str">
        <f>IFERROR(VLOOKUP(A860,Tabla1[],6,0)," ")</f>
        <v xml:space="preserve"> </v>
      </c>
      <c r="D860" s="30" t="str">
        <f>IFERROR(VLOOKUP(A860,Tabla1[],8,0)," ")</f>
        <v xml:space="preserve"> </v>
      </c>
      <c r="E860" s="31"/>
      <c r="F860" s="30" t="str">
        <f t="shared" si="14"/>
        <v xml:space="preserve"> </v>
      </c>
    </row>
    <row r="861" spans="1:6" ht="22.7" customHeight="1">
      <c r="A861" s="28"/>
      <c r="B861" s="29" t="str">
        <f>IFERROR(VLOOKUP(A861,Tabla1[],2,0)," ")</f>
        <v xml:space="preserve"> </v>
      </c>
      <c r="C861" s="29" t="str">
        <f>IFERROR(VLOOKUP(A861,Tabla1[],6,0)," ")</f>
        <v xml:space="preserve"> </v>
      </c>
      <c r="D861" s="30" t="str">
        <f>IFERROR(VLOOKUP(A861,Tabla1[],8,0)," ")</f>
        <v xml:space="preserve"> </v>
      </c>
      <c r="E861" s="31"/>
      <c r="F861" s="30" t="str">
        <f t="shared" si="14"/>
        <v xml:space="preserve"> </v>
      </c>
    </row>
    <row r="862" spans="1:6" ht="22.7" customHeight="1">
      <c r="A862" s="28"/>
      <c r="B862" s="29" t="str">
        <f>IFERROR(VLOOKUP(A862,Tabla1[],2,0)," ")</f>
        <v xml:space="preserve"> </v>
      </c>
      <c r="C862" s="29" t="str">
        <f>IFERROR(VLOOKUP(A862,Tabla1[],6,0)," ")</f>
        <v xml:space="preserve"> </v>
      </c>
      <c r="D862" s="30" t="str">
        <f>IFERROR(VLOOKUP(A862,Tabla1[],8,0)," ")</f>
        <v xml:space="preserve"> </v>
      </c>
      <c r="E862" s="31"/>
      <c r="F862" s="30" t="str">
        <f t="shared" si="14"/>
        <v xml:space="preserve"> </v>
      </c>
    </row>
    <row r="863" spans="1:6" ht="22.7" customHeight="1">
      <c r="A863" s="28"/>
      <c r="B863" s="29" t="str">
        <f>IFERROR(VLOOKUP(A863,Tabla1[],2,0)," ")</f>
        <v xml:space="preserve"> </v>
      </c>
      <c r="C863" s="29" t="str">
        <f>IFERROR(VLOOKUP(A863,Tabla1[],6,0)," ")</f>
        <v xml:space="preserve"> </v>
      </c>
      <c r="D863" s="30" t="str">
        <f>IFERROR(VLOOKUP(A863,Tabla1[],8,0)," ")</f>
        <v xml:space="preserve"> </v>
      </c>
      <c r="E863" s="31"/>
      <c r="F863" s="30" t="str">
        <f t="shared" si="14"/>
        <v xml:space="preserve"> </v>
      </c>
    </row>
    <row r="864" spans="1:6" ht="22.7" customHeight="1">
      <c r="A864" s="28"/>
      <c r="B864" s="29" t="str">
        <f>IFERROR(VLOOKUP(A864,Tabla1[],2,0)," ")</f>
        <v xml:space="preserve"> </v>
      </c>
      <c r="C864" s="29" t="str">
        <f>IFERROR(VLOOKUP(A864,Tabla1[],6,0)," ")</f>
        <v xml:space="preserve"> </v>
      </c>
      <c r="D864" s="30" t="str">
        <f>IFERROR(VLOOKUP(A864,Tabla1[],8,0)," ")</f>
        <v xml:space="preserve"> </v>
      </c>
      <c r="E864" s="31"/>
      <c r="F864" s="30" t="str">
        <f t="shared" si="14"/>
        <v xml:space="preserve"> </v>
      </c>
    </row>
    <row r="865" spans="1:6" ht="22.7" customHeight="1">
      <c r="A865" s="28"/>
      <c r="B865" s="29" t="str">
        <f>IFERROR(VLOOKUP(A865,Tabla1[],2,0)," ")</f>
        <v xml:space="preserve"> </v>
      </c>
      <c r="C865" s="29" t="str">
        <f>IFERROR(VLOOKUP(A865,Tabla1[],6,0)," ")</f>
        <v xml:space="preserve"> </v>
      </c>
      <c r="D865" s="30" t="str">
        <f>IFERROR(VLOOKUP(A865,Tabla1[],8,0)," ")</f>
        <v xml:space="preserve"> </v>
      </c>
      <c r="E865" s="31"/>
      <c r="F865" s="30" t="str">
        <f t="shared" si="14"/>
        <v xml:space="preserve"> </v>
      </c>
    </row>
    <row r="866" spans="1:6" ht="22.7" customHeight="1">
      <c r="A866" s="28"/>
      <c r="B866" s="29" t="str">
        <f>IFERROR(VLOOKUP(A866,Tabla1[],2,0)," ")</f>
        <v xml:space="preserve"> </v>
      </c>
      <c r="C866" s="29" t="str">
        <f>IFERROR(VLOOKUP(A866,Tabla1[],6,0)," ")</f>
        <v xml:space="preserve"> </v>
      </c>
      <c r="D866" s="30" t="str">
        <f>IFERROR(VLOOKUP(A866,Tabla1[],8,0)," ")</f>
        <v xml:space="preserve"> </v>
      </c>
      <c r="E866" s="31"/>
      <c r="F866" s="30" t="str">
        <f t="shared" si="14"/>
        <v xml:space="preserve"> </v>
      </c>
    </row>
    <row r="867" spans="1:6" ht="22.7" customHeight="1">
      <c r="A867" s="28"/>
      <c r="B867" s="29" t="str">
        <f>IFERROR(VLOOKUP(A867,Tabla1[],2,0)," ")</f>
        <v xml:space="preserve"> </v>
      </c>
      <c r="C867" s="29" t="str">
        <f>IFERROR(VLOOKUP(A867,Tabla1[],6,0)," ")</f>
        <v xml:space="preserve"> </v>
      </c>
      <c r="D867" s="30" t="str">
        <f>IFERROR(VLOOKUP(A867,Tabla1[],8,0)," ")</f>
        <v xml:space="preserve"> </v>
      </c>
      <c r="E867" s="31"/>
      <c r="F867" s="30" t="str">
        <f t="shared" si="14"/>
        <v xml:space="preserve"> </v>
      </c>
    </row>
    <row r="868" spans="1:6" ht="22.7" customHeight="1">
      <c r="A868" s="28"/>
      <c r="B868" s="29" t="str">
        <f>IFERROR(VLOOKUP(A868,Tabla1[],2,0)," ")</f>
        <v xml:space="preserve"> </v>
      </c>
      <c r="C868" s="29" t="str">
        <f>IFERROR(VLOOKUP(A868,Tabla1[],6,0)," ")</f>
        <v xml:space="preserve"> </v>
      </c>
      <c r="D868" s="30" t="str">
        <f>IFERROR(VLOOKUP(A868,Tabla1[],8,0)," ")</f>
        <v xml:space="preserve"> </v>
      </c>
      <c r="E868" s="31"/>
      <c r="F868" s="30" t="str">
        <f t="shared" si="14"/>
        <v xml:space="preserve"> </v>
      </c>
    </row>
    <row r="869" spans="1:6" ht="22.7" customHeight="1">
      <c r="A869" s="28"/>
      <c r="B869" s="29" t="str">
        <f>IFERROR(VLOOKUP(A869,Tabla1[],2,0)," ")</f>
        <v xml:space="preserve"> </v>
      </c>
      <c r="C869" s="29" t="str">
        <f>IFERROR(VLOOKUP(A869,Tabla1[],6,0)," ")</f>
        <v xml:space="preserve"> </v>
      </c>
      <c r="D869" s="30" t="str">
        <f>IFERROR(VLOOKUP(A869,Tabla1[],8,0)," ")</f>
        <v xml:space="preserve"> </v>
      </c>
      <c r="E869" s="31"/>
      <c r="F869" s="30" t="str">
        <f t="shared" si="14"/>
        <v xml:space="preserve"> </v>
      </c>
    </row>
    <row r="870" spans="1:6" ht="22.7" customHeight="1">
      <c r="A870" s="28"/>
      <c r="B870" s="29" t="str">
        <f>IFERROR(VLOOKUP(A870,Tabla1[],2,0)," ")</f>
        <v xml:space="preserve"> </v>
      </c>
      <c r="C870" s="29" t="str">
        <f>IFERROR(VLOOKUP(A870,Tabla1[],6,0)," ")</f>
        <v xml:space="preserve"> </v>
      </c>
      <c r="D870" s="30" t="str">
        <f>IFERROR(VLOOKUP(A870,Tabla1[],8,0)," ")</f>
        <v xml:space="preserve"> </v>
      </c>
      <c r="E870" s="31"/>
      <c r="F870" s="30" t="str">
        <f t="shared" si="14"/>
        <v xml:space="preserve"> </v>
      </c>
    </row>
    <row r="871" spans="1:6" ht="22.7" customHeight="1">
      <c r="A871" s="28"/>
      <c r="B871" s="29" t="str">
        <f>IFERROR(VLOOKUP(A871,Tabla1[],2,0)," ")</f>
        <v xml:space="preserve"> </v>
      </c>
      <c r="C871" s="29" t="str">
        <f>IFERROR(VLOOKUP(A871,Tabla1[],6,0)," ")</f>
        <v xml:space="preserve"> </v>
      </c>
      <c r="D871" s="30" t="str">
        <f>IFERROR(VLOOKUP(A871,Tabla1[],8,0)," ")</f>
        <v xml:space="preserve"> </v>
      </c>
      <c r="E871" s="31"/>
      <c r="F871" s="30" t="str">
        <f t="shared" si="14"/>
        <v xml:space="preserve"> </v>
      </c>
    </row>
    <row r="872" spans="1:6" ht="22.7" customHeight="1">
      <c r="A872" s="28"/>
      <c r="B872" s="29" t="str">
        <f>IFERROR(VLOOKUP(A872,Tabla1[],2,0)," ")</f>
        <v xml:space="preserve"> </v>
      </c>
      <c r="C872" s="29" t="str">
        <f>IFERROR(VLOOKUP(A872,Tabla1[],6,0)," ")</f>
        <v xml:space="preserve"> </v>
      </c>
      <c r="D872" s="30" t="str">
        <f>IFERROR(VLOOKUP(A872,Tabla1[],8,0)," ")</f>
        <v xml:space="preserve"> </v>
      </c>
      <c r="E872" s="31"/>
      <c r="F872" s="30" t="str">
        <f t="shared" si="14"/>
        <v xml:space="preserve"> </v>
      </c>
    </row>
    <row r="873" spans="1:6" ht="22.7" customHeight="1">
      <c r="A873" s="28"/>
      <c r="B873" s="29" t="str">
        <f>IFERROR(VLOOKUP(A873,Tabla1[],2,0)," ")</f>
        <v xml:space="preserve"> </v>
      </c>
      <c r="C873" s="29" t="str">
        <f>IFERROR(VLOOKUP(A873,Tabla1[],6,0)," ")</f>
        <v xml:space="preserve"> </v>
      </c>
      <c r="D873" s="30" t="str">
        <f>IFERROR(VLOOKUP(A873,Tabla1[],8,0)," ")</f>
        <v xml:space="preserve"> </v>
      </c>
      <c r="E873" s="31"/>
      <c r="F873" s="30" t="str">
        <f t="shared" si="14"/>
        <v xml:space="preserve"> </v>
      </c>
    </row>
    <row r="874" spans="1:6" ht="22.7" customHeight="1">
      <c r="A874" s="28"/>
      <c r="B874" s="29" t="str">
        <f>IFERROR(VLOOKUP(A874,Tabla1[],2,0)," ")</f>
        <v xml:space="preserve"> </v>
      </c>
      <c r="C874" s="29" t="str">
        <f>IFERROR(VLOOKUP(A874,Tabla1[],6,0)," ")</f>
        <v xml:space="preserve"> </v>
      </c>
      <c r="D874" s="30" t="str">
        <f>IFERROR(VLOOKUP(A874,Tabla1[],8,0)," ")</f>
        <v xml:space="preserve"> </v>
      </c>
      <c r="E874" s="31"/>
      <c r="F874" s="30" t="str">
        <f t="shared" si="14"/>
        <v xml:space="preserve"> </v>
      </c>
    </row>
    <row r="875" spans="1:6" ht="22.7" customHeight="1">
      <c r="A875" s="28"/>
      <c r="B875" s="29" t="str">
        <f>IFERROR(VLOOKUP(A875,Tabla1[],2,0)," ")</f>
        <v xml:space="preserve"> </v>
      </c>
      <c r="C875" s="29" t="str">
        <f>IFERROR(VLOOKUP(A875,Tabla1[],6,0)," ")</f>
        <v xml:space="preserve"> </v>
      </c>
      <c r="D875" s="30" t="str">
        <f>IFERROR(VLOOKUP(A875,Tabla1[],8,0)," ")</f>
        <v xml:space="preserve"> </v>
      </c>
      <c r="E875" s="31"/>
      <c r="F875" s="30" t="str">
        <f t="shared" si="14"/>
        <v xml:space="preserve"> </v>
      </c>
    </row>
    <row r="876" spans="1:6" ht="22.7" customHeight="1">
      <c r="A876" s="28"/>
      <c r="B876" s="29" t="str">
        <f>IFERROR(VLOOKUP(A876,Tabla1[],2,0)," ")</f>
        <v xml:space="preserve"> </v>
      </c>
      <c r="C876" s="29" t="str">
        <f>IFERROR(VLOOKUP(A876,Tabla1[],6,0)," ")</f>
        <v xml:space="preserve"> </v>
      </c>
      <c r="D876" s="30" t="str">
        <f>IFERROR(VLOOKUP(A876,Tabla1[],8,0)," ")</f>
        <v xml:space="preserve"> </v>
      </c>
      <c r="E876" s="31"/>
      <c r="F876" s="30" t="str">
        <f t="shared" si="14"/>
        <v xml:space="preserve"> </v>
      </c>
    </row>
    <row r="877" spans="1:6" ht="22.7" customHeight="1">
      <c r="A877" s="28"/>
      <c r="B877" s="29" t="str">
        <f>IFERROR(VLOOKUP(A877,Tabla1[],2,0)," ")</f>
        <v xml:space="preserve"> </v>
      </c>
      <c r="C877" s="29" t="str">
        <f>IFERROR(VLOOKUP(A877,Tabla1[],6,0)," ")</f>
        <v xml:space="preserve"> </v>
      </c>
      <c r="D877" s="30" t="str">
        <f>IFERROR(VLOOKUP(A877,Tabla1[],8,0)," ")</f>
        <v xml:space="preserve"> </v>
      </c>
      <c r="E877" s="31"/>
      <c r="F877" s="30" t="str">
        <f t="shared" si="14"/>
        <v xml:space="preserve"> </v>
      </c>
    </row>
    <row r="878" spans="1:6" ht="22.7" customHeight="1">
      <c r="A878" s="28"/>
      <c r="B878" s="29" t="str">
        <f>IFERROR(VLOOKUP(A878,Tabla1[],2,0)," ")</f>
        <v xml:space="preserve"> </v>
      </c>
      <c r="C878" s="29" t="str">
        <f>IFERROR(VLOOKUP(A878,Tabla1[],6,0)," ")</f>
        <v xml:space="preserve"> </v>
      </c>
      <c r="D878" s="30" t="str">
        <f>IFERROR(VLOOKUP(A878,Tabla1[],8,0)," ")</f>
        <v xml:space="preserve"> </v>
      </c>
      <c r="E878" s="31"/>
      <c r="F878" s="30" t="str">
        <f t="shared" si="14"/>
        <v xml:space="preserve"> </v>
      </c>
    </row>
    <row r="879" spans="1:6" ht="22.7" customHeight="1">
      <c r="A879" s="28"/>
      <c r="B879" s="29" t="str">
        <f>IFERROR(VLOOKUP(A879,Tabla1[],2,0)," ")</f>
        <v xml:space="preserve"> </v>
      </c>
      <c r="C879" s="29" t="str">
        <f>IFERROR(VLOOKUP(A879,Tabla1[],6,0)," ")</f>
        <v xml:space="preserve"> </v>
      </c>
      <c r="D879" s="30" t="str">
        <f>IFERROR(VLOOKUP(A879,Tabla1[],8,0)," ")</f>
        <v xml:space="preserve"> </v>
      </c>
      <c r="E879" s="31"/>
      <c r="F879" s="30" t="str">
        <f t="shared" si="14"/>
        <v xml:space="preserve"> </v>
      </c>
    </row>
    <row r="880" spans="1:6" ht="22.7" customHeight="1">
      <c r="A880" s="28"/>
      <c r="B880" s="29" t="str">
        <f>IFERROR(VLOOKUP(A880,Tabla1[],2,0)," ")</f>
        <v xml:space="preserve"> </v>
      </c>
      <c r="C880" s="29" t="str">
        <f>IFERROR(VLOOKUP(A880,Tabla1[],6,0)," ")</f>
        <v xml:space="preserve"> </v>
      </c>
      <c r="D880" s="30" t="str">
        <f>IFERROR(VLOOKUP(A880,Tabla1[],8,0)," ")</f>
        <v xml:space="preserve"> </v>
      </c>
      <c r="E880" s="31"/>
      <c r="F880" s="30" t="str">
        <f t="shared" si="14"/>
        <v xml:space="preserve"> </v>
      </c>
    </row>
    <row r="881" spans="1:6" ht="22.7" customHeight="1">
      <c r="A881" s="28"/>
      <c r="B881" s="29" t="str">
        <f>IFERROR(VLOOKUP(A881,Tabla1[],2,0)," ")</f>
        <v xml:space="preserve"> </v>
      </c>
      <c r="C881" s="29" t="str">
        <f>IFERROR(VLOOKUP(A881,Tabla1[],6,0)," ")</f>
        <v xml:space="preserve"> </v>
      </c>
      <c r="D881" s="30" t="str">
        <f>IFERROR(VLOOKUP(A881,Tabla1[],8,0)," ")</f>
        <v xml:space="preserve"> </v>
      </c>
      <c r="E881" s="31"/>
      <c r="F881" s="30" t="str">
        <f t="shared" si="14"/>
        <v xml:space="preserve"> </v>
      </c>
    </row>
    <row r="882" spans="1:6" ht="22.7" customHeight="1">
      <c r="A882" s="28"/>
      <c r="B882" s="29" t="str">
        <f>IFERROR(VLOOKUP(A882,Tabla1[],2,0)," ")</f>
        <v xml:space="preserve"> </v>
      </c>
      <c r="C882" s="29" t="str">
        <f>IFERROR(VLOOKUP(A882,Tabla1[],6,0)," ")</f>
        <v xml:space="preserve"> </v>
      </c>
      <c r="D882" s="30" t="str">
        <f>IFERROR(VLOOKUP(A882,Tabla1[],8,0)," ")</f>
        <v xml:space="preserve"> </v>
      </c>
      <c r="E882" s="31"/>
      <c r="F882" s="30" t="str">
        <f t="shared" si="14"/>
        <v xml:space="preserve"> </v>
      </c>
    </row>
    <row r="883" spans="1:6" ht="22.7" customHeight="1">
      <c r="A883" s="28"/>
      <c r="B883" s="29" t="str">
        <f>IFERROR(VLOOKUP(A883,Tabla1[],2,0)," ")</f>
        <v xml:space="preserve"> </v>
      </c>
      <c r="C883" s="29" t="str">
        <f>IFERROR(VLOOKUP(A883,Tabla1[],6,0)," ")</f>
        <v xml:space="preserve"> </v>
      </c>
      <c r="D883" s="30" t="str">
        <f>IFERROR(VLOOKUP(A883,Tabla1[],8,0)," ")</f>
        <v xml:space="preserve"> </v>
      </c>
      <c r="E883" s="31"/>
      <c r="F883" s="30" t="str">
        <f t="shared" si="14"/>
        <v xml:space="preserve"> </v>
      </c>
    </row>
    <row r="884" spans="1:6" ht="22.7" customHeight="1">
      <c r="A884" s="28"/>
      <c r="B884" s="29" t="str">
        <f>IFERROR(VLOOKUP(A884,Tabla1[],2,0)," ")</f>
        <v xml:space="preserve"> </v>
      </c>
      <c r="C884" s="29" t="str">
        <f>IFERROR(VLOOKUP(A884,Tabla1[],6,0)," ")</f>
        <v xml:space="preserve"> </v>
      </c>
      <c r="D884" s="30" t="str">
        <f>IFERROR(VLOOKUP(A884,Tabla1[],8,0)," ")</f>
        <v xml:space="preserve"> </v>
      </c>
      <c r="E884" s="31"/>
      <c r="F884" s="30" t="str">
        <f t="shared" si="14"/>
        <v xml:space="preserve"> </v>
      </c>
    </row>
    <row r="885" spans="1:6" ht="22.7" customHeight="1">
      <c r="A885" s="28"/>
      <c r="B885" s="29" t="str">
        <f>IFERROR(VLOOKUP(A885,Tabla1[],2,0)," ")</f>
        <v xml:space="preserve"> </v>
      </c>
      <c r="C885" s="29" t="str">
        <f>IFERROR(VLOOKUP(A885,Tabla1[],6,0)," ")</f>
        <v xml:space="preserve"> </v>
      </c>
      <c r="D885" s="30" t="str">
        <f>IFERROR(VLOOKUP(A885,Tabla1[],8,0)," ")</f>
        <v xml:space="preserve"> </v>
      </c>
      <c r="E885" s="31"/>
      <c r="F885" s="30" t="str">
        <f t="shared" si="14"/>
        <v xml:space="preserve"> </v>
      </c>
    </row>
    <row r="886" spans="1:6" ht="22.7" customHeight="1">
      <c r="A886" s="28"/>
      <c r="B886" s="29" t="str">
        <f>IFERROR(VLOOKUP(A886,Tabla1[],2,0)," ")</f>
        <v xml:space="preserve"> </v>
      </c>
      <c r="C886" s="29" t="str">
        <f>IFERROR(VLOOKUP(A886,Tabla1[],6,0)," ")</f>
        <v xml:space="preserve"> </v>
      </c>
      <c r="D886" s="30" t="str">
        <f>IFERROR(VLOOKUP(A886,Tabla1[],8,0)," ")</f>
        <v xml:space="preserve"> </v>
      </c>
      <c r="E886" s="31"/>
      <c r="F886" s="30" t="str">
        <f t="shared" si="14"/>
        <v xml:space="preserve"> </v>
      </c>
    </row>
    <row r="887" spans="1:6" ht="22.7" customHeight="1">
      <c r="A887" s="28"/>
      <c r="B887" s="29" t="str">
        <f>IFERROR(VLOOKUP(A887,Tabla1[],2,0)," ")</f>
        <v xml:space="preserve"> </v>
      </c>
      <c r="C887" s="29" t="str">
        <f>IFERROR(VLOOKUP(A887,Tabla1[],6,0)," ")</f>
        <v xml:space="preserve"> </v>
      </c>
      <c r="D887" s="30" t="str">
        <f>IFERROR(VLOOKUP(A887,Tabla1[],8,0)," ")</f>
        <v xml:space="preserve"> </v>
      </c>
      <c r="E887" s="31"/>
      <c r="F887" s="30" t="str">
        <f t="shared" si="14"/>
        <v xml:space="preserve"> </v>
      </c>
    </row>
    <row r="888" spans="1:6" ht="22.7" customHeight="1">
      <c r="A888" s="28"/>
      <c r="B888" s="29" t="str">
        <f>IFERROR(VLOOKUP(A888,Tabla1[],2,0)," ")</f>
        <v xml:space="preserve"> </v>
      </c>
      <c r="C888" s="29" t="str">
        <f>IFERROR(VLOOKUP(A888,Tabla1[],6,0)," ")</f>
        <v xml:space="preserve"> </v>
      </c>
      <c r="D888" s="30" t="str">
        <f>IFERROR(VLOOKUP(A888,Tabla1[],8,0)," ")</f>
        <v xml:space="preserve"> </v>
      </c>
      <c r="E888" s="31"/>
      <c r="F888" s="30" t="str">
        <f t="shared" si="14"/>
        <v xml:space="preserve"> </v>
      </c>
    </row>
    <row r="889" spans="1:6" ht="22.7" customHeight="1">
      <c r="A889" s="28"/>
      <c r="B889" s="29" t="str">
        <f>IFERROR(VLOOKUP(A889,Tabla1[],2,0)," ")</f>
        <v xml:space="preserve"> </v>
      </c>
      <c r="C889" s="29" t="str">
        <f>IFERROR(VLOOKUP(A889,Tabla1[],6,0)," ")</f>
        <v xml:space="preserve"> </v>
      </c>
      <c r="D889" s="30" t="str">
        <f>IFERROR(VLOOKUP(A889,Tabla1[],8,0)," ")</f>
        <v xml:space="preserve"> </v>
      </c>
      <c r="E889" s="31"/>
      <c r="F889" s="30" t="str">
        <f t="shared" si="14"/>
        <v xml:space="preserve"> </v>
      </c>
    </row>
    <row r="890" spans="1:6" ht="22.7" customHeight="1">
      <c r="A890" s="28"/>
      <c r="B890" s="29" t="str">
        <f>IFERROR(VLOOKUP(A890,Tabla1[],2,0)," ")</f>
        <v xml:space="preserve"> </v>
      </c>
      <c r="C890" s="29" t="str">
        <f>IFERROR(VLOOKUP(A890,Tabla1[],6,0)," ")</f>
        <v xml:space="preserve"> </v>
      </c>
      <c r="D890" s="30" t="str">
        <f>IFERROR(VLOOKUP(A890,Tabla1[],8,0)," ")</f>
        <v xml:space="preserve"> </v>
      </c>
      <c r="E890" s="31"/>
      <c r="F890" s="30" t="str">
        <f t="shared" si="14"/>
        <v xml:space="preserve"> </v>
      </c>
    </row>
    <row r="891" spans="1:6" ht="22.7" customHeight="1">
      <c r="A891" s="28"/>
      <c r="B891" s="29" t="str">
        <f>IFERROR(VLOOKUP(A891,Tabla1[],2,0)," ")</f>
        <v xml:space="preserve"> </v>
      </c>
      <c r="C891" s="29" t="str">
        <f>IFERROR(VLOOKUP(A891,Tabla1[],6,0)," ")</f>
        <v xml:space="preserve"> </v>
      </c>
      <c r="D891" s="30" t="str">
        <f>IFERROR(VLOOKUP(A891,Tabla1[],8,0)," ")</f>
        <v xml:space="preserve"> </v>
      </c>
      <c r="E891" s="31"/>
      <c r="F891" s="30" t="str">
        <f t="shared" si="14"/>
        <v xml:space="preserve"> </v>
      </c>
    </row>
    <row r="892" spans="1:6" ht="22.7" customHeight="1">
      <c r="A892" s="28"/>
      <c r="B892" s="29" t="str">
        <f>IFERROR(VLOOKUP(A892,Tabla1[],2,0)," ")</f>
        <v xml:space="preserve"> </v>
      </c>
      <c r="C892" s="29" t="str">
        <f>IFERROR(VLOOKUP(A892,Tabla1[],6,0)," ")</f>
        <v xml:space="preserve"> </v>
      </c>
      <c r="D892" s="30" t="str">
        <f>IFERROR(VLOOKUP(A892,Tabla1[],8,0)," ")</f>
        <v xml:space="preserve"> </v>
      </c>
      <c r="E892" s="31"/>
      <c r="F892" s="30" t="str">
        <f t="shared" si="14"/>
        <v xml:space="preserve"> </v>
      </c>
    </row>
    <row r="893" spans="1:6" ht="22.7" customHeight="1">
      <c r="A893" s="28"/>
      <c r="B893" s="29" t="str">
        <f>IFERROR(VLOOKUP(A893,Tabla1[],2,0)," ")</f>
        <v xml:space="preserve"> </v>
      </c>
      <c r="C893" s="29" t="str">
        <f>IFERROR(VLOOKUP(A893,Tabla1[],6,0)," ")</f>
        <v xml:space="preserve"> </v>
      </c>
      <c r="D893" s="30" t="str">
        <f>IFERROR(VLOOKUP(A893,Tabla1[],8,0)," ")</f>
        <v xml:space="preserve"> </v>
      </c>
      <c r="E893" s="31"/>
      <c r="F893" s="30" t="str">
        <f t="shared" si="14"/>
        <v xml:space="preserve"> </v>
      </c>
    </row>
    <row r="894" spans="1:6" ht="22.7" customHeight="1">
      <c r="A894" s="28"/>
      <c r="B894" s="29" t="str">
        <f>IFERROR(VLOOKUP(A894,Tabla1[],2,0)," ")</f>
        <v xml:space="preserve"> </v>
      </c>
      <c r="C894" s="29" t="str">
        <f>IFERROR(VLOOKUP(A894,Tabla1[],6,0)," ")</f>
        <v xml:space="preserve"> </v>
      </c>
      <c r="D894" s="30" t="str">
        <f>IFERROR(VLOOKUP(A894,Tabla1[],8,0)," ")</f>
        <v xml:space="preserve"> </v>
      </c>
      <c r="E894" s="31"/>
      <c r="F894" s="30" t="str">
        <f t="shared" si="14"/>
        <v xml:space="preserve"> </v>
      </c>
    </row>
    <row r="895" spans="1:6" ht="22.7" customHeight="1">
      <c r="A895" s="28"/>
      <c r="B895" s="29" t="str">
        <f>IFERROR(VLOOKUP(A895,Tabla1[],2,0)," ")</f>
        <v xml:space="preserve"> </v>
      </c>
      <c r="C895" s="29" t="str">
        <f>IFERROR(VLOOKUP(A895,Tabla1[],6,0)," ")</f>
        <v xml:space="preserve"> </v>
      </c>
      <c r="D895" s="30" t="str">
        <f>IFERROR(VLOOKUP(A895,Tabla1[],8,0)," ")</f>
        <v xml:space="preserve"> </v>
      </c>
      <c r="E895" s="31"/>
      <c r="F895" s="30" t="str">
        <f t="shared" si="14"/>
        <v xml:space="preserve"> </v>
      </c>
    </row>
    <row r="896" spans="1:6" ht="22.7" customHeight="1">
      <c r="A896" s="28"/>
      <c r="B896" s="29" t="str">
        <f>IFERROR(VLOOKUP(A896,Tabla1[],2,0)," ")</f>
        <v xml:space="preserve"> </v>
      </c>
      <c r="C896" s="29" t="str">
        <f>IFERROR(VLOOKUP(A896,Tabla1[],6,0)," ")</f>
        <v xml:space="preserve"> </v>
      </c>
      <c r="D896" s="30" t="str">
        <f>IFERROR(VLOOKUP(A896,Tabla1[],8,0)," ")</f>
        <v xml:space="preserve"> </v>
      </c>
      <c r="E896" s="31"/>
      <c r="F896" s="30" t="str">
        <f t="shared" si="14"/>
        <v xml:space="preserve"> </v>
      </c>
    </row>
    <row r="897" spans="1:6" ht="22.7" customHeight="1">
      <c r="A897" s="28"/>
      <c r="B897" s="29" t="str">
        <f>IFERROR(VLOOKUP(A897,Tabla1[],2,0)," ")</f>
        <v xml:space="preserve"> </v>
      </c>
      <c r="C897" s="29" t="str">
        <f>IFERROR(VLOOKUP(A897,Tabla1[],6,0)," ")</f>
        <v xml:space="preserve"> </v>
      </c>
      <c r="D897" s="30" t="str">
        <f>IFERROR(VLOOKUP(A897,Tabla1[],8,0)," ")</f>
        <v xml:space="preserve"> </v>
      </c>
      <c r="E897" s="31"/>
      <c r="F897" s="30" t="str">
        <f t="shared" si="14"/>
        <v xml:space="preserve"> </v>
      </c>
    </row>
    <row r="898" spans="1:6" ht="22.7" customHeight="1">
      <c r="A898" s="28"/>
      <c r="B898" s="29" t="str">
        <f>IFERROR(VLOOKUP(A898,Tabla1[],2,0)," ")</f>
        <v xml:space="preserve"> </v>
      </c>
      <c r="C898" s="29" t="str">
        <f>IFERROR(VLOOKUP(A898,Tabla1[],6,0)," ")</f>
        <v xml:space="preserve"> </v>
      </c>
      <c r="D898" s="30" t="str">
        <f>IFERROR(VLOOKUP(A898,Tabla1[],8,0)," ")</f>
        <v xml:space="preserve"> </v>
      </c>
      <c r="E898" s="31"/>
      <c r="F898" s="30" t="str">
        <f t="shared" si="14"/>
        <v xml:space="preserve"> </v>
      </c>
    </row>
    <row r="899" spans="1:6" ht="22.7" customHeight="1">
      <c r="A899" s="28"/>
      <c r="B899" s="29" t="str">
        <f>IFERROR(VLOOKUP(A899,Tabla1[],2,0)," ")</f>
        <v xml:space="preserve"> </v>
      </c>
      <c r="C899" s="29" t="str">
        <f>IFERROR(VLOOKUP(A899,Tabla1[],6,0)," ")</f>
        <v xml:space="preserve"> </v>
      </c>
      <c r="D899" s="30" t="str">
        <f>IFERROR(VLOOKUP(A899,Tabla1[],8,0)," ")</f>
        <v xml:space="preserve"> </v>
      </c>
      <c r="E899" s="31"/>
      <c r="F899" s="30" t="str">
        <f t="shared" si="14"/>
        <v xml:space="preserve"> </v>
      </c>
    </row>
    <row r="900" spans="1:6" ht="22.7" customHeight="1">
      <c r="A900" s="28"/>
      <c r="B900" s="29" t="str">
        <f>IFERROR(VLOOKUP(A900,Tabla1[],2,0)," ")</f>
        <v xml:space="preserve"> </v>
      </c>
      <c r="C900" s="29" t="str">
        <f>IFERROR(VLOOKUP(A900,Tabla1[],6,0)," ")</f>
        <v xml:space="preserve"> </v>
      </c>
      <c r="D900" s="30" t="str">
        <f>IFERROR(VLOOKUP(A900,Tabla1[],8,0)," ")</f>
        <v xml:space="preserve"> </v>
      </c>
      <c r="E900" s="31"/>
      <c r="F900" s="30" t="str">
        <f t="shared" ref="F900:F963" si="15">IFERROR((E900*D900), " ")</f>
        <v xml:space="preserve"> </v>
      </c>
    </row>
    <row r="901" spans="1:6" ht="22.7" customHeight="1">
      <c r="A901" s="28"/>
      <c r="B901" s="29" t="str">
        <f>IFERROR(VLOOKUP(A901,Tabla1[],2,0)," ")</f>
        <v xml:space="preserve"> </v>
      </c>
      <c r="C901" s="29" t="str">
        <f>IFERROR(VLOOKUP(A901,Tabla1[],6,0)," ")</f>
        <v xml:space="preserve"> </v>
      </c>
      <c r="D901" s="30" t="str">
        <f>IFERROR(VLOOKUP(A901,Tabla1[],8,0)," ")</f>
        <v xml:space="preserve"> </v>
      </c>
      <c r="E901" s="31"/>
      <c r="F901" s="30" t="str">
        <f t="shared" si="15"/>
        <v xml:space="preserve"> </v>
      </c>
    </row>
    <row r="902" spans="1:6" ht="22.7" customHeight="1">
      <c r="A902" s="28"/>
      <c r="B902" s="29" t="str">
        <f>IFERROR(VLOOKUP(A902,Tabla1[],2,0)," ")</f>
        <v xml:space="preserve"> </v>
      </c>
      <c r="C902" s="29" t="str">
        <f>IFERROR(VLOOKUP(A902,Tabla1[],6,0)," ")</f>
        <v xml:space="preserve"> </v>
      </c>
      <c r="D902" s="30" t="str">
        <f>IFERROR(VLOOKUP(A902,Tabla1[],8,0)," ")</f>
        <v xml:space="preserve"> </v>
      </c>
      <c r="E902" s="31"/>
      <c r="F902" s="30" t="str">
        <f t="shared" si="15"/>
        <v xml:space="preserve"> </v>
      </c>
    </row>
    <row r="903" spans="1:6" ht="22.7" customHeight="1">
      <c r="A903" s="28"/>
      <c r="B903" s="29" t="str">
        <f>IFERROR(VLOOKUP(A903,Tabla1[],2,0)," ")</f>
        <v xml:space="preserve"> </v>
      </c>
      <c r="C903" s="29" t="str">
        <f>IFERROR(VLOOKUP(A903,Tabla1[],6,0)," ")</f>
        <v xml:space="preserve"> </v>
      </c>
      <c r="D903" s="30" t="str">
        <f>IFERROR(VLOOKUP(A903,Tabla1[],8,0)," ")</f>
        <v xml:space="preserve"> </v>
      </c>
      <c r="E903" s="31"/>
      <c r="F903" s="30" t="str">
        <f t="shared" si="15"/>
        <v xml:space="preserve"> </v>
      </c>
    </row>
    <row r="904" spans="1:6" ht="22.7" customHeight="1">
      <c r="A904" s="28"/>
      <c r="B904" s="29" t="str">
        <f>IFERROR(VLOOKUP(A904,Tabla1[],2,0)," ")</f>
        <v xml:space="preserve"> </v>
      </c>
      <c r="C904" s="29" t="str">
        <f>IFERROR(VLOOKUP(A904,Tabla1[],6,0)," ")</f>
        <v xml:space="preserve"> </v>
      </c>
      <c r="D904" s="30" t="str">
        <f>IFERROR(VLOOKUP(A904,Tabla1[],8,0)," ")</f>
        <v xml:space="preserve"> </v>
      </c>
      <c r="E904" s="31"/>
      <c r="F904" s="30" t="str">
        <f t="shared" si="15"/>
        <v xml:space="preserve"> </v>
      </c>
    </row>
    <row r="905" spans="1:6" ht="22.7" customHeight="1">
      <c r="A905" s="28"/>
      <c r="B905" s="29" t="str">
        <f>IFERROR(VLOOKUP(A905,Tabla1[],2,0)," ")</f>
        <v xml:space="preserve"> </v>
      </c>
      <c r="C905" s="29" t="str">
        <f>IFERROR(VLOOKUP(A905,Tabla1[],6,0)," ")</f>
        <v xml:space="preserve"> </v>
      </c>
      <c r="D905" s="30" t="str">
        <f>IFERROR(VLOOKUP(A905,Tabla1[],8,0)," ")</f>
        <v xml:space="preserve"> </v>
      </c>
      <c r="E905" s="31"/>
      <c r="F905" s="30" t="str">
        <f t="shared" si="15"/>
        <v xml:space="preserve"> </v>
      </c>
    </row>
    <row r="906" spans="1:6" ht="22.7" customHeight="1">
      <c r="A906" s="28"/>
      <c r="B906" s="29" t="str">
        <f>IFERROR(VLOOKUP(A906,Tabla1[],2,0)," ")</f>
        <v xml:space="preserve"> </v>
      </c>
      <c r="C906" s="29" t="str">
        <f>IFERROR(VLOOKUP(A906,Tabla1[],6,0)," ")</f>
        <v xml:space="preserve"> </v>
      </c>
      <c r="D906" s="30" t="str">
        <f>IFERROR(VLOOKUP(A906,Tabla1[],8,0)," ")</f>
        <v xml:space="preserve"> </v>
      </c>
      <c r="E906" s="31"/>
      <c r="F906" s="30" t="str">
        <f t="shared" si="15"/>
        <v xml:space="preserve"> </v>
      </c>
    </row>
    <row r="907" spans="1:6" ht="22.7" customHeight="1">
      <c r="A907" s="28"/>
      <c r="B907" s="29" t="str">
        <f>IFERROR(VLOOKUP(A907,Tabla1[],2,0)," ")</f>
        <v xml:space="preserve"> </v>
      </c>
      <c r="C907" s="29" t="str">
        <f>IFERROR(VLOOKUP(A907,Tabla1[],6,0)," ")</f>
        <v xml:space="preserve"> </v>
      </c>
      <c r="D907" s="30" t="str">
        <f>IFERROR(VLOOKUP(A907,Tabla1[],8,0)," ")</f>
        <v xml:space="preserve"> </v>
      </c>
      <c r="E907" s="31"/>
      <c r="F907" s="30" t="str">
        <f t="shared" si="15"/>
        <v xml:space="preserve"> </v>
      </c>
    </row>
    <row r="908" spans="1:6" ht="22.7" customHeight="1">
      <c r="A908" s="28"/>
      <c r="B908" s="29" t="str">
        <f>IFERROR(VLOOKUP(A908,Tabla1[],2,0)," ")</f>
        <v xml:space="preserve"> </v>
      </c>
      <c r="C908" s="29" t="str">
        <f>IFERROR(VLOOKUP(A908,Tabla1[],6,0)," ")</f>
        <v xml:space="preserve"> </v>
      </c>
      <c r="D908" s="30" t="str">
        <f>IFERROR(VLOOKUP(A908,Tabla1[],8,0)," ")</f>
        <v xml:space="preserve"> </v>
      </c>
      <c r="E908" s="31"/>
      <c r="F908" s="30" t="str">
        <f t="shared" si="15"/>
        <v xml:space="preserve"> </v>
      </c>
    </row>
    <row r="909" spans="1:6" ht="22.7" customHeight="1">
      <c r="A909" s="28"/>
      <c r="B909" s="29" t="str">
        <f>IFERROR(VLOOKUP(A909,Tabla1[],2,0)," ")</f>
        <v xml:space="preserve"> </v>
      </c>
      <c r="C909" s="29" t="str">
        <f>IFERROR(VLOOKUP(A909,Tabla1[],6,0)," ")</f>
        <v xml:space="preserve"> </v>
      </c>
      <c r="D909" s="30" t="str">
        <f>IFERROR(VLOOKUP(A909,Tabla1[],8,0)," ")</f>
        <v xml:space="preserve"> </v>
      </c>
      <c r="E909" s="31"/>
      <c r="F909" s="30" t="str">
        <f t="shared" si="15"/>
        <v xml:space="preserve"> </v>
      </c>
    </row>
    <row r="910" spans="1:6" ht="22.7" customHeight="1">
      <c r="A910" s="28"/>
      <c r="B910" s="29" t="str">
        <f>IFERROR(VLOOKUP(A910,Tabla1[],2,0)," ")</f>
        <v xml:space="preserve"> </v>
      </c>
      <c r="C910" s="29" t="str">
        <f>IFERROR(VLOOKUP(A910,Tabla1[],6,0)," ")</f>
        <v xml:space="preserve"> </v>
      </c>
      <c r="D910" s="30" t="str">
        <f>IFERROR(VLOOKUP(A910,Tabla1[],8,0)," ")</f>
        <v xml:space="preserve"> </v>
      </c>
      <c r="E910" s="31"/>
      <c r="F910" s="30" t="str">
        <f t="shared" si="15"/>
        <v xml:space="preserve"> </v>
      </c>
    </row>
    <row r="911" spans="1:6" ht="22.7" customHeight="1">
      <c r="A911" s="28"/>
      <c r="B911" s="29" t="str">
        <f>IFERROR(VLOOKUP(A911,Tabla1[],2,0)," ")</f>
        <v xml:space="preserve"> </v>
      </c>
      <c r="C911" s="29" t="str">
        <f>IFERROR(VLOOKUP(A911,Tabla1[],6,0)," ")</f>
        <v xml:space="preserve"> </v>
      </c>
      <c r="D911" s="30" t="str">
        <f>IFERROR(VLOOKUP(A911,Tabla1[],8,0)," ")</f>
        <v xml:space="preserve"> </v>
      </c>
      <c r="E911" s="31"/>
      <c r="F911" s="30" t="str">
        <f t="shared" si="15"/>
        <v xml:space="preserve"> </v>
      </c>
    </row>
    <row r="912" spans="1:6" ht="22.7" customHeight="1">
      <c r="A912" s="28"/>
      <c r="B912" s="29" t="str">
        <f>IFERROR(VLOOKUP(A912,Tabla1[],2,0)," ")</f>
        <v xml:space="preserve"> </v>
      </c>
      <c r="C912" s="29" t="str">
        <f>IFERROR(VLOOKUP(A912,Tabla1[],6,0)," ")</f>
        <v xml:space="preserve"> </v>
      </c>
      <c r="D912" s="30" t="str">
        <f>IFERROR(VLOOKUP(A912,Tabla1[],8,0)," ")</f>
        <v xml:space="preserve"> </v>
      </c>
      <c r="E912" s="31"/>
      <c r="F912" s="30" t="str">
        <f t="shared" si="15"/>
        <v xml:space="preserve"> </v>
      </c>
    </row>
    <row r="913" spans="1:6" ht="22.7" customHeight="1">
      <c r="A913" s="28"/>
      <c r="B913" s="29" t="str">
        <f>IFERROR(VLOOKUP(A913,Tabla1[],2,0)," ")</f>
        <v xml:space="preserve"> </v>
      </c>
      <c r="C913" s="29" t="str">
        <f>IFERROR(VLOOKUP(A913,Tabla1[],6,0)," ")</f>
        <v xml:space="preserve"> </v>
      </c>
      <c r="D913" s="30" t="str">
        <f>IFERROR(VLOOKUP(A913,Tabla1[],8,0)," ")</f>
        <v xml:space="preserve"> </v>
      </c>
      <c r="E913" s="31"/>
      <c r="F913" s="30" t="str">
        <f t="shared" si="15"/>
        <v xml:space="preserve"> </v>
      </c>
    </row>
    <row r="914" spans="1:6" ht="22.7" customHeight="1">
      <c r="A914" s="28"/>
      <c r="B914" s="29" t="str">
        <f>IFERROR(VLOOKUP(A914,Tabla1[],2,0)," ")</f>
        <v xml:space="preserve"> </v>
      </c>
      <c r="C914" s="29" t="str">
        <f>IFERROR(VLOOKUP(A914,Tabla1[],6,0)," ")</f>
        <v xml:space="preserve"> </v>
      </c>
      <c r="D914" s="30" t="str">
        <f>IFERROR(VLOOKUP(A914,Tabla1[],8,0)," ")</f>
        <v xml:space="preserve"> </v>
      </c>
      <c r="E914" s="31"/>
      <c r="F914" s="30" t="str">
        <f t="shared" si="15"/>
        <v xml:space="preserve"> </v>
      </c>
    </row>
    <row r="915" spans="1:6" ht="22.7" customHeight="1">
      <c r="A915" s="28"/>
      <c r="B915" s="29" t="str">
        <f>IFERROR(VLOOKUP(A915,Tabla1[],2,0)," ")</f>
        <v xml:space="preserve"> </v>
      </c>
      <c r="C915" s="29" t="str">
        <f>IFERROR(VLOOKUP(A915,Tabla1[],6,0)," ")</f>
        <v xml:space="preserve"> </v>
      </c>
      <c r="D915" s="30" t="str">
        <f>IFERROR(VLOOKUP(A915,Tabla1[],8,0)," ")</f>
        <v xml:space="preserve"> </v>
      </c>
      <c r="E915" s="31"/>
      <c r="F915" s="30" t="str">
        <f t="shared" si="15"/>
        <v xml:space="preserve"> </v>
      </c>
    </row>
    <row r="916" spans="1:6" ht="22.7" customHeight="1">
      <c r="A916" s="28"/>
      <c r="B916" s="29" t="str">
        <f>IFERROR(VLOOKUP(A916,Tabla1[],2,0)," ")</f>
        <v xml:space="preserve"> </v>
      </c>
      <c r="C916" s="29" t="str">
        <f>IFERROR(VLOOKUP(A916,Tabla1[],6,0)," ")</f>
        <v xml:space="preserve"> </v>
      </c>
      <c r="D916" s="30" t="str">
        <f>IFERROR(VLOOKUP(A916,Tabla1[],8,0)," ")</f>
        <v xml:space="preserve"> </v>
      </c>
      <c r="E916" s="31"/>
      <c r="F916" s="30" t="str">
        <f t="shared" si="15"/>
        <v xml:space="preserve"> </v>
      </c>
    </row>
    <row r="917" spans="1:6" ht="22.7" customHeight="1">
      <c r="A917" s="28"/>
      <c r="B917" s="29" t="str">
        <f>IFERROR(VLOOKUP(A917,Tabla1[],2,0)," ")</f>
        <v xml:space="preserve"> </v>
      </c>
      <c r="C917" s="29" t="str">
        <f>IFERROR(VLOOKUP(A917,Tabla1[],6,0)," ")</f>
        <v xml:space="preserve"> </v>
      </c>
      <c r="D917" s="30" t="str">
        <f>IFERROR(VLOOKUP(A917,Tabla1[],8,0)," ")</f>
        <v xml:space="preserve"> </v>
      </c>
      <c r="E917" s="31"/>
      <c r="F917" s="30" t="str">
        <f t="shared" si="15"/>
        <v xml:space="preserve"> </v>
      </c>
    </row>
    <row r="918" spans="1:6" ht="22.7" customHeight="1">
      <c r="A918" s="28"/>
      <c r="B918" s="29" t="str">
        <f>IFERROR(VLOOKUP(A918,Tabla1[],2,0)," ")</f>
        <v xml:space="preserve"> </v>
      </c>
      <c r="C918" s="29" t="str">
        <f>IFERROR(VLOOKUP(A918,Tabla1[],6,0)," ")</f>
        <v xml:space="preserve"> </v>
      </c>
      <c r="D918" s="30" t="str">
        <f>IFERROR(VLOOKUP(A918,Tabla1[],8,0)," ")</f>
        <v xml:space="preserve"> </v>
      </c>
      <c r="E918" s="31"/>
      <c r="F918" s="30" t="str">
        <f t="shared" si="15"/>
        <v xml:space="preserve"> </v>
      </c>
    </row>
    <row r="919" spans="1:6" ht="22.7" customHeight="1">
      <c r="A919" s="28"/>
      <c r="B919" s="29" t="str">
        <f>IFERROR(VLOOKUP(A919,Tabla1[],2,0)," ")</f>
        <v xml:space="preserve"> </v>
      </c>
      <c r="C919" s="29" t="str">
        <f>IFERROR(VLOOKUP(A919,Tabla1[],6,0)," ")</f>
        <v xml:space="preserve"> </v>
      </c>
      <c r="D919" s="30" t="str">
        <f>IFERROR(VLOOKUP(A919,Tabla1[],8,0)," ")</f>
        <v xml:space="preserve"> </v>
      </c>
      <c r="E919" s="31"/>
      <c r="F919" s="30" t="str">
        <f t="shared" si="15"/>
        <v xml:space="preserve"> </v>
      </c>
    </row>
    <row r="920" spans="1:6" ht="22.7" customHeight="1">
      <c r="A920" s="28"/>
      <c r="B920" s="29" t="str">
        <f>IFERROR(VLOOKUP(A920,Tabla1[],2,0)," ")</f>
        <v xml:space="preserve"> </v>
      </c>
      <c r="C920" s="29" t="str">
        <f>IFERROR(VLOOKUP(A920,Tabla1[],6,0)," ")</f>
        <v xml:space="preserve"> </v>
      </c>
      <c r="D920" s="30" t="str">
        <f>IFERROR(VLOOKUP(A920,Tabla1[],8,0)," ")</f>
        <v xml:space="preserve"> </v>
      </c>
      <c r="E920" s="31"/>
      <c r="F920" s="30" t="str">
        <f t="shared" si="15"/>
        <v xml:space="preserve"> </v>
      </c>
    </row>
    <row r="921" spans="1:6" ht="22.7" customHeight="1">
      <c r="A921" s="28"/>
      <c r="B921" s="29" t="str">
        <f>IFERROR(VLOOKUP(A921,Tabla1[],2,0)," ")</f>
        <v xml:space="preserve"> </v>
      </c>
      <c r="C921" s="29" t="str">
        <f>IFERROR(VLOOKUP(A921,Tabla1[],6,0)," ")</f>
        <v xml:space="preserve"> </v>
      </c>
      <c r="D921" s="30" t="str">
        <f>IFERROR(VLOOKUP(A921,Tabla1[],8,0)," ")</f>
        <v xml:space="preserve"> </v>
      </c>
      <c r="E921" s="31"/>
      <c r="F921" s="30" t="str">
        <f t="shared" si="15"/>
        <v xml:space="preserve"> </v>
      </c>
    </row>
    <row r="922" spans="1:6" ht="22.7" customHeight="1">
      <c r="A922" s="28"/>
      <c r="B922" s="29" t="str">
        <f>IFERROR(VLOOKUP(A922,Tabla1[],2,0)," ")</f>
        <v xml:space="preserve"> </v>
      </c>
      <c r="C922" s="29" t="str">
        <f>IFERROR(VLOOKUP(A922,Tabla1[],6,0)," ")</f>
        <v xml:space="preserve"> </v>
      </c>
      <c r="D922" s="30" t="str">
        <f>IFERROR(VLOOKUP(A922,Tabla1[],8,0)," ")</f>
        <v xml:space="preserve"> </v>
      </c>
      <c r="E922" s="31"/>
      <c r="F922" s="30" t="str">
        <f t="shared" si="15"/>
        <v xml:space="preserve"> </v>
      </c>
    </row>
    <row r="923" spans="1:6" ht="22.7" customHeight="1">
      <c r="A923" s="28"/>
      <c r="B923" s="29" t="str">
        <f>IFERROR(VLOOKUP(A923,Tabla1[],2,0)," ")</f>
        <v xml:space="preserve"> </v>
      </c>
      <c r="C923" s="29" t="str">
        <f>IFERROR(VLOOKUP(A923,Tabla1[],6,0)," ")</f>
        <v xml:space="preserve"> </v>
      </c>
      <c r="D923" s="30" t="str">
        <f>IFERROR(VLOOKUP(A923,Tabla1[],8,0)," ")</f>
        <v xml:space="preserve"> </v>
      </c>
      <c r="E923" s="31"/>
      <c r="F923" s="30" t="str">
        <f t="shared" si="15"/>
        <v xml:space="preserve"> </v>
      </c>
    </row>
    <row r="924" spans="1:6" ht="22.7" customHeight="1">
      <c r="A924" s="28"/>
      <c r="B924" s="29" t="str">
        <f>IFERROR(VLOOKUP(A924,Tabla1[],2,0)," ")</f>
        <v xml:space="preserve"> </v>
      </c>
      <c r="C924" s="29" t="str">
        <f>IFERROR(VLOOKUP(A924,Tabla1[],6,0)," ")</f>
        <v xml:space="preserve"> </v>
      </c>
      <c r="D924" s="30" t="str">
        <f>IFERROR(VLOOKUP(A924,Tabla1[],8,0)," ")</f>
        <v xml:space="preserve"> </v>
      </c>
      <c r="E924" s="31"/>
      <c r="F924" s="30" t="str">
        <f t="shared" si="15"/>
        <v xml:space="preserve"> </v>
      </c>
    </row>
    <row r="925" spans="1:6" ht="22.7" customHeight="1">
      <c r="A925" s="28"/>
      <c r="B925" s="29" t="str">
        <f>IFERROR(VLOOKUP(A925,Tabla1[],2,0)," ")</f>
        <v xml:space="preserve"> </v>
      </c>
      <c r="C925" s="29" t="str">
        <f>IFERROR(VLOOKUP(A925,Tabla1[],6,0)," ")</f>
        <v xml:space="preserve"> </v>
      </c>
      <c r="D925" s="30" t="str">
        <f>IFERROR(VLOOKUP(A925,Tabla1[],8,0)," ")</f>
        <v xml:space="preserve"> </v>
      </c>
      <c r="E925" s="31"/>
      <c r="F925" s="30" t="str">
        <f t="shared" si="15"/>
        <v xml:space="preserve"> </v>
      </c>
    </row>
    <row r="926" spans="1:6" ht="22.7" customHeight="1">
      <c r="A926" s="28"/>
      <c r="B926" s="29" t="str">
        <f>IFERROR(VLOOKUP(A926,Tabla1[],2,0)," ")</f>
        <v xml:space="preserve"> </v>
      </c>
      <c r="C926" s="29" t="str">
        <f>IFERROR(VLOOKUP(A926,Tabla1[],6,0)," ")</f>
        <v xml:space="preserve"> </v>
      </c>
      <c r="D926" s="30" t="str">
        <f>IFERROR(VLOOKUP(A926,Tabla1[],8,0)," ")</f>
        <v xml:space="preserve"> </v>
      </c>
      <c r="E926" s="31"/>
      <c r="F926" s="30" t="str">
        <f t="shared" si="15"/>
        <v xml:space="preserve"> </v>
      </c>
    </row>
    <row r="927" spans="1:6" ht="22.7" customHeight="1">
      <c r="A927" s="28"/>
      <c r="B927" s="29" t="str">
        <f>IFERROR(VLOOKUP(A927,Tabla1[],2,0)," ")</f>
        <v xml:space="preserve"> </v>
      </c>
      <c r="C927" s="29" t="str">
        <f>IFERROR(VLOOKUP(A927,Tabla1[],6,0)," ")</f>
        <v xml:space="preserve"> </v>
      </c>
      <c r="D927" s="30" t="str">
        <f>IFERROR(VLOOKUP(A927,Tabla1[],8,0)," ")</f>
        <v xml:space="preserve"> </v>
      </c>
      <c r="E927" s="31"/>
      <c r="F927" s="30" t="str">
        <f t="shared" si="15"/>
        <v xml:space="preserve"> </v>
      </c>
    </row>
    <row r="928" spans="1:6" ht="22.7" customHeight="1">
      <c r="A928" s="28"/>
      <c r="B928" s="29" t="str">
        <f>IFERROR(VLOOKUP(A928,Tabla1[],2,0)," ")</f>
        <v xml:space="preserve"> </v>
      </c>
      <c r="C928" s="29" t="str">
        <f>IFERROR(VLOOKUP(A928,Tabla1[],6,0)," ")</f>
        <v xml:space="preserve"> </v>
      </c>
      <c r="D928" s="30" t="str">
        <f>IFERROR(VLOOKUP(A928,Tabla1[],8,0)," ")</f>
        <v xml:space="preserve"> </v>
      </c>
      <c r="E928" s="31"/>
      <c r="F928" s="30" t="str">
        <f t="shared" si="15"/>
        <v xml:space="preserve"> </v>
      </c>
    </row>
    <row r="929" spans="1:6" ht="22.7" customHeight="1">
      <c r="A929" s="28"/>
      <c r="B929" s="29" t="str">
        <f>IFERROR(VLOOKUP(A929,Tabla1[],2,0)," ")</f>
        <v xml:space="preserve"> </v>
      </c>
      <c r="C929" s="29" t="str">
        <f>IFERROR(VLOOKUP(A929,Tabla1[],6,0)," ")</f>
        <v xml:space="preserve"> </v>
      </c>
      <c r="D929" s="30" t="str">
        <f>IFERROR(VLOOKUP(A929,Tabla1[],8,0)," ")</f>
        <v xml:space="preserve"> </v>
      </c>
      <c r="E929" s="31"/>
      <c r="F929" s="30" t="str">
        <f t="shared" si="15"/>
        <v xml:space="preserve"> </v>
      </c>
    </row>
    <row r="930" spans="1:6" ht="22.7" customHeight="1">
      <c r="A930" s="28"/>
      <c r="B930" s="29" t="str">
        <f>IFERROR(VLOOKUP(A930,Tabla1[],2,0)," ")</f>
        <v xml:space="preserve"> </v>
      </c>
      <c r="C930" s="29" t="str">
        <f>IFERROR(VLOOKUP(A930,Tabla1[],6,0)," ")</f>
        <v xml:space="preserve"> </v>
      </c>
      <c r="D930" s="30" t="str">
        <f>IFERROR(VLOOKUP(A930,Tabla1[],8,0)," ")</f>
        <v xml:space="preserve"> </v>
      </c>
      <c r="E930" s="31"/>
      <c r="F930" s="30" t="str">
        <f t="shared" si="15"/>
        <v xml:space="preserve"> </v>
      </c>
    </row>
    <row r="931" spans="1:6" ht="22.7" customHeight="1">
      <c r="A931" s="28"/>
      <c r="B931" s="29" t="str">
        <f>IFERROR(VLOOKUP(A931,Tabla1[],2,0)," ")</f>
        <v xml:space="preserve"> </v>
      </c>
      <c r="C931" s="29" t="str">
        <f>IFERROR(VLOOKUP(A931,Tabla1[],6,0)," ")</f>
        <v xml:space="preserve"> </v>
      </c>
      <c r="D931" s="30" t="str">
        <f>IFERROR(VLOOKUP(A931,Tabla1[],8,0)," ")</f>
        <v xml:space="preserve"> </v>
      </c>
      <c r="E931" s="31"/>
      <c r="F931" s="30" t="str">
        <f t="shared" si="15"/>
        <v xml:space="preserve"> </v>
      </c>
    </row>
    <row r="932" spans="1:6" ht="22.7" customHeight="1">
      <c r="A932" s="28"/>
      <c r="B932" s="29" t="str">
        <f>IFERROR(VLOOKUP(A932,Tabla1[],2,0)," ")</f>
        <v xml:space="preserve"> </v>
      </c>
      <c r="C932" s="29" t="str">
        <f>IFERROR(VLOOKUP(A932,Tabla1[],6,0)," ")</f>
        <v xml:space="preserve"> </v>
      </c>
      <c r="D932" s="30" t="str">
        <f>IFERROR(VLOOKUP(A932,Tabla1[],8,0)," ")</f>
        <v xml:space="preserve"> </v>
      </c>
      <c r="E932" s="31"/>
      <c r="F932" s="30" t="str">
        <f t="shared" si="15"/>
        <v xml:space="preserve"> </v>
      </c>
    </row>
    <row r="933" spans="1:6" ht="22.7" customHeight="1">
      <c r="A933" s="28"/>
      <c r="B933" s="29" t="str">
        <f>IFERROR(VLOOKUP(A933,Tabla1[],2,0)," ")</f>
        <v xml:space="preserve"> </v>
      </c>
      <c r="C933" s="29" t="str">
        <f>IFERROR(VLOOKUP(A933,Tabla1[],6,0)," ")</f>
        <v xml:space="preserve"> </v>
      </c>
      <c r="D933" s="30" t="str">
        <f>IFERROR(VLOOKUP(A933,Tabla1[],8,0)," ")</f>
        <v xml:space="preserve"> </v>
      </c>
      <c r="E933" s="31"/>
      <c r="F933" s="30" t="str">
        <f t="shared" si="15"/>
        <v xml:space="preserve"> </v>
      </c>
    </row>
    <row r="934" spans="1:6" ht="22.7" customHeight="1">
      <c r="A934" s="28"/>
      <c r="B934" s="29" t="str">
        <f>IFERROR(VLOOKUP(A934,Tabla1[],2,0)," ")</f>
        <v xml:space="preserve"> </v>
      </c>
      <c r="C934" s="29" t="str">
        <f>IFERROR(VLOOKUP(A934,Tabla1[],6,0)," ")</f>
        <v xml:space="preserve"> </v>
      </c>
      <c r="D934" s="30" t="str">
        <f>IFERROR(VLOOKUP(A934,Tabla1[],8,0)," ")</f>
        <v xml:space="preserve"> </v>
      </c>
      <c r="E934" s="31"/>
      <c r="F934" s="30" t="str">
        <f t="shared" si="15"/>
        <v xml:space="preserve"> </v>
      </c>
    </row>
    <row r="935" spans="1:6" ht="22.7" customHeight="1">
      <c r="A935" s="28"/>
      <c r="B935" s="29" t="str">
        <f>IFERROR(VLOOKUP(A935,Tabla1[],2,0)," ")</f>
        <v xml:space="preserve"> </v>
      </c>
      <c r="C935" s="29" t="str">
        <f>IFERROR(VLOOKUP(A935,Tabla1[],6,0)," ")</f>
        <v xml:space="preserve"> </v>
      </c>
      <c r="D935" s="30" t="str">
        <f>IFERROR(VLOOKUP(A935,Tabla1[],8,0)," ")</f>
        <v xml:space="preserve"> </v>
      </c>
      <c r="E935" s="31"/>
      <c r="F935" s="30" t="str">
        <f t="shared" si="15"/>
        <v xml:space="preserve"> </v>
      </c>
    </row>
    <row r="936" spans="1:6" ht="22.7" customHeight="1">
      <c r="A936" s="28"/>
      <c r="B936" s="29" t="str">
        <f>IFERROR(VLOOKUP(A936,Tabla1[],2,0)," ")</f>
        <v xml:space="preserve"> </v>
      </c>
      <c r="C936" s="29" t="str">
        <f>IFERROR(VLOOKUP(A936,Tabla1[],6,0)," ")</f>
        <v xml:space="preserve"> </v>
      </c>
      <c r="D936" s="30" t="str">
        <f>IFERROR(VLOOKUP(A936,Tabla1[],8,0)," ")</f>
        <v xml:space="preserve"> </v>
      </c>
      <c r="E936" s="31"/>
      <c r="F936" s="30" t="str">
        <f t="shared" si="15"/>
        <v xml:space="preserve"> </v>
      </c>
    </row>
    <row r="937" spans="1:6" ht="22.7" customHeight="1">
      <c r="A937" s="28"/>
      <c r="B937" s="29" t="str">
        <f>IFERROR(VLOOKUP(A937,Tabla1[],2,0)," ")</f>
        <v xml:space="preserve"> </v>
      </c>
      <c r="C937" s="29" t="str">
        <f>IFERROR(VLOOKUP(A937,Tabla1[],6,0)," ")</f>
        <v xml:space="preserve"> </v>
      </c>
      <c r="D937" s="30" t="str">
        <f>IFERROR(VLOOKUP(A937,Tabla1[],8,0)," ")</f>
        <v xml:space="preserve"> </v>
      </c>
      <c r="E937" s="31"/>
      <c r="F937" s="30" t="str">
        <f t="shared" si="15"/>
        <v xml:space="preserve"> </v>
      </c>
    </row>
    <row r="938" spans="1:6" ht="22.7" customHeight="1">
      <c r="A938" s="28"/>
      <c r="B938" s="29" t="str">
        <f>IFERROR(VLOOKUP(A938,Tabla1[],2,0)," ")</f>
        <v xml:space="preserve"> </v>
      </c>
      <c r="C938" s="29" t="str">
        <f>IFERROR(VLOOKUP(A938,Tabla1[],6,0)," ")</f>
        <v xml:space="preserve"> </v>
      </c>
      <c r="D938" s="30" t="str">
        <f>IFERROR(VLOOKUP(A938,Tabla1[],8,0)," ")</f>
        <v xml:space="preserve"> </v>
      </c>
      <c r="E938" s="31"/>
      <c r="F938" s="30" t="str">
        <f t="shared" si="15"/>
        <v xml:space="preserve"> </v>
      </c>
    </row>
    <row r="939" spans="1:6" ht="22.7" customHeight="1">
      <c r="A939" s="28"/>
      <c r="B939" s="29" t="str">
        <f>IFERROR(VLOOKUP(A939,Tabla1[],2,0)," ")</f>
        <v xml:space="preserve"> </v>
      </c>
      <c r="C939" s="29" t="str">
        <f>IFERROR(VLOOKUP(A939,Tabla1[],6,0)," ")</f>
        <v xml:space="preserve"> </v>
      </c>
      <c r="D939" s="30" t="str">
        <f>IFERROR(VLOOKUP(A939,Tabla1[],8,0)," ")</f>
        <v xml:space="preserve"> </v>
      </c>
      <c r="E939" s="31"/>
      <c r="F939" s="30" t="str">
        <f t="shared" si="15"/>
        <v xml:space="preserve"> </v>
      </c>
    </row>
    <row r="940" spans="1:6" ht="22.7" customHeight="1">
      <c r="A940" s="28"/>
      <c r="B940" s="29" t="str">
        <f>IFERROR(VLOOKUP(A940,Tabla1[],2,0)," ")</f>
        <v xml:space="preserve"> </v>
      </c>
      <c r="C940" s="29" t="str">
        <f>IFERROR(VLOOKUP(A940,Tabla1[],6,0)," ")</f>
        <v xml:space="preserve"> </v>
      </c>
      <c r="D940" s="30" t="str">
        <f>IFERROR(VLOOKUP(A940,Tabla1[],8,0)," ")</f>
        <v xml:space="preserve"> </v>
      </c>
      <c r="E940" s="31"/>
      <c r="F940" s="30" t="str">
        <f t="shared" si="15"/>
        <v xml:space="preserve"> </v>
      </c>
    </row>
    <row r="941" spans="1:6" ht="22.7" customHeight="1">
      <c r="A941" s="28"/>
      <c r="B941" s="29" t="str">
        <f>IFERROR(VLOOKUP(A941,Tabla1[],2,0)," ")</f>
        <v xml:space="preserve"> </v>
      </c>
      <c r="C941" s="29" t="str">
        <f>IFERROR(VLOOKUP(A941,Tabla1[],6,0)," ")</f>
        <v xml:space="preserve"> </v>
      </c>
      <c r="D941" s="30" t="str">
        <f>IFERROR(VLOOKUP(A941,Tabla1[],8,0)," ")</f>
        <v xml:space="preserve"> </v>
      </c>
      <c r="E941" s="31"/>
      <c r="F941" s="30" t="str">
        <f t="shared" si="15"/>
        <v xml:space="preserve"> </v>
      </c>
    </row>
    <row r="942" spans="1:6" ht="22.7" customHeight="1">
      <c r="A942" s="28"/>
      <c r="B942" s="29" t="str">
        <f>IFERROR(VLOOKUP(A942,Tabla1[],2,0)," ")</f>
        <v xml:space="preserve"> </v>
      </c>
      <c r="C942" s="29" t="str">
        <f>IFERROR(VLOOKUP(A942,Tabla1[],6,0)," ")</f>
        <v xml:space="preserve"> </v>
      </c>
      <c r="D942" s="30" t="str">
        <f>IFERROR(VLOOKUP(A942,Tabla1[],8,0)," ")</f>
        <v xml:space="preserve"> </v>
      </c>
      <c r="E942" s="31"/>
      <c r="F942" s="30" t="str">
        <f t="shared" si="15"/>
        <v xml:space="preserve"> </v>
      </c>
    </row>
    <row r="943" spans="1:6" ht="22.7" customHeight="1">
      <c r="A943" s="28"/>
      <c r="B943" s="29" t="str">
        <f>IFERROR(VLOOKUP(A943,Tabla1[],2,0)," ")</f>
        <v xml:space="preserve"> </v>
      </c>
      <c r="C943" s="29" t="str">
        <f>IFERROR(VLOOKUP(A943,Tabla1[],6,0)," ")</f>
        <v xml:space="preserve"> </v>
      </c>
      <c r="D943" s="30" t="str">
        <f>IFERROR(VLOOKUP(A943,Tabla1[],8,0)," ")</f>
        <v xml:space="preserve"> </v>
      </c>
      <c r="E943" s="31"/>
      <c r="F943" s="30" t="str">
        <f t="shared" si="15"/>
        <v xml:space="preserve"> </v>
      </c>
    </row>
    <row r="944" spans="1:6" ht="22.7" customHeight="1">
      <c r="A944" s="28"/>
      <c r="B944" s="29" t="str">
        <f>IFERROR(VLOOKUP(A944,Tabla1[],2,0)," ")</f>
        <v xml:space="preserve"> </v>
      </c>
      <c r="C944" s="29" t="str">
        <f>IFERROR(VLOOKUP(A944,Tabla1[],6,0)," ")</f>
        <v xml:space="preserve"> </v>
      </c>
      <c r="D944" s="30" t="str">
        <f>IFERROR(VLOOKUP(A944,Tabla1[],8,0)," ")</f>
        <v xml:space="preserve"> </v>
      </c>
      <c r="E944" s="31"/>
      <c r="F944" s="30" t="str">
        <f t="shared" si="15"/>
        <v xml:space="preserve"> </v>
      </c>
    </row>
    <row r="945" spans="1:6" ht="22.7" customHeight="1">
      <c r="A945" s="28"/>
      <c r="B945" s="29" t="str">
        <f>IFERROR(VLOOKUP(A945,Tabla1[],2,0)," ")</f>
        <v xml:space="preserve"> </v>
      </c>
      <c r="C945" s="29" t="str">
        <f>IFERROR(VLOOKUP(A945,Tabla1[],6,0)," ")</f>
        <v xml:space="preserve"> </v>
      </c>
      <c r="D945" s="30" t="str">
        <f>IFERROR(VLOOKUP(A945,Tabla1[],8,0)," ")</f>
        <v xml:space="preserve"> </v>
      </c>
      <c r="E945" s="31"/>
      <c r="F945" s="30" t="str">
        <f t="shared" si="15"/>
        <v xml:space="preserve"> </v>
      </c>
    </row>
    <row r="946" spans="1:6" ht="22.7" customHeight="1">
      <c r="A946" s="28"/>
      <c r="B946" s="29" t="str">
        <f>IFERROR(VLOOKUP(A946,Tabla1[],2,0)," ")</f>
        <v xml:space="preserve"> </v>
      </c>
      <c r="C946" s="29" t="str">
        <f>IFERROR(VLOOKUP(A946,Tabla1[],6,0)," ")</f>
        <v xml:space="preserve"> </v>
      </c>
      <c r="D946" s="30" t="str">
        <f>IFERROR(VLOOKUP(A946,Tabla1[],8,0)," ")</f>
        <v xml:space="preserve"> </v>
      </c>
      <c r="E946" s="31"/>
      <c r="F946" s="30" t="str">
        <f t="shared" si="15"/>
        <v xml:space="preserve"> </v>
      </c>
    </row>
    <row r="947" spans="1:6" ht="22.7" customHeight="1">
      <c r="A947" s="28"/>
      <c r="B947" s="29" t="str">
        <f>IFERROR(VLOOKUP(A947,Tabla1[],2,0)," ")</f>
        <v xml:space="preserve"> </v>
      </c>
      <c r="C947" s="29" t="str">
        <f>IFERROR(VLOOKUP(A947,Tabla1[],6,0)," ")</f>
        <v xml:space="preserve"> </v>
      </c>
      <c r="D947" s="30" t="str">
        <f>IFERROR(VLOOKUP(A947,Tabla1[],8,0)," ")</f>
        <v xml:space="preserve"> </v>
      </c>
      <c r="E947" s="31"/>
      <c r="F947" s="30" t="str">
        <f t="shared" si="15"/>
        <v xml:space="preserve"> </v>
      </c>
    </row>
    <row r="948" spans="1:6" ht="22.7" customHeight="1">
      <c r="A948" s="28"/>
      <c r="B948" s="29" t="str">
        <f>IFERROR(VLOOKUP(A948,Tabla1[],2,0)," ")</f>
        <v xml:space="preserve"> </v>
      </c>
      <c r="C948" s="29" t="str">
        <f>IFERROR(VLOOKUP(A948,Tabla1[],6,0)," ")</f>
        <v xml:space="preserve"> </v>
      </c>
      <c r="D948" s="30" t="str">
        <f>IFERROR(VLOOKUP(A948,Tabla1[],8,0)," ")</f>
        <v xml:space="preserve"> </v>
      </c>
      <c r="E948" s="31"/>
      <c r="F948" s="30" t="str">
        <f t="shared" si="15"/>
        <v xml:space="preserve"> </v>
      </c>
    </row>
    <row r="949" spans="1:6" ht="22.7" customHeight="1">
      <c r="A949" s="28"/>
      <c r="B949" s="29" t="str">
        <f>IFERROR(VLOOKUP(A949,Tabla1[],2,0)," ")</f>
        <v xml:space="preserve"> </v>
      </c>
      <c r="C949" s="29" t="str">
        <f>IFERROR(VLOOKUP(A949,Tabla1[],6,0)," ")</f>
        <v xml:space="preserve"> </v>
      </c>
      <c r="D949" s="30" t="str">
        <f>IFERROR(VLOOKUP(A949,Tabla1[],8,0)," ")</f>
        <v xml:space="preserve"> </v>
      </c>
      <c r="E949" s="31"/>
      <c r="F949" s="30" t="str">
        <f t="shared" si="15"/>
        <v xml:space="preserve"> </v>
      </c>
    </row>
    <row r="950" spans="1:6" ht="22.7" customHeight="1">
      <c r="A950" s="28"/>
      <c r="B950" s="29" t="str">
        <f>IFERROR(VLOOKUP(A950,Tabla1[],2,0)," ")</f>
        <v xml:space="preserve"> </v>
      </c>
      <c r="C950" s="29" t="str">
        <f>IFERROR(VLOOKUP(A950,Tabla1[],6,0)," ")</f>
        <v xml:space="preserve"> </v>
      </c>
      <c r="D950" s="30" t="str">
        <f>IFERROR(VLOOKUP(A950,Tabla1[],8,0)," ")</f>
        <v xml:space="preserve"> </v>
      </c>
      <c r="E950" s="31"/>
      <c r="F950" s="30" t="str">
        <f t="shared" si="15"/>
        <v xml:space="preserve"> </v>
      </c>
    </row>
    <row r="951" spans="1:6" ht="22.7" customHeight="1">
      <c r="A951" s="28"/>
      <c r="B951" s="29" t="str">
        <f>IFERROR(VLOOKUP(A951,Tabla1[],2,0)," ")</f>
        <v xml:space="preserve"> </v>
      </c>
      <c r="C951" s="29" t="str">
        <f>IFERROR(VLOOKUP(A951,Tabla1[],6,0)," ")</f>
        <v xml:space="preserve"> </v>
      </c>
      <c r="D951" s="30" t="str">
        <f>IFERROR(VLOOKUP(A951,Tabla1[],8,0)," ")</f>
        <v xml:space="preserve"> </v>
      </c>
      <c r="E951" s="31"/>
      <c r="F951" s="30" t="str">
        <f t="shared" si="15"/>
        <v xml:space="preserve"> </v>
      </c>
    </row>
    <row r="952" spans="1:6" ht="22.7" customHeight="1">
      <c r="A952" s="28"/>
      <c r="B952" s="29" t="str">
        <f>IFERROR(VLOOKUP(A952,Tabla1[],2,0)," ")</f>
        <v xml:space="preserve"> </v>
      </c>
      <c r="C952" s="29" t="str">
        <f>IFERROR(VLOOKUP(A952,Tabla1[],6,0)," ")</f>
        <v xml:space="preserve"> </v>
      </c>
      <c r="D952" s="30" t="str">
        <f>IFERROR(VLOOKUP(A952,Tabla1[],8,0)," ")</f>
        <v xml:space="preserve"> </v>
      </c>
      <c r="E952" s="31"/>
      <c r="F952" s="30" t="str">
        <f t="shared" si="15"/>
        <v xml:space="preserve"> </v>
      </c>
    </row>
    <row r="953" spans="1:6" ht="22.7" customHeight="1">
      <c r="A953" s="28"/>
      <c r="B953" s="29" t="str">
        <f>IFERROR(VLOOKUP(A953,Tabla1[],2,0)," ")</f>
        <v xml:space="preserve"> </v>
      </c>
      <c r="C953" s="29" t="str">
        <f>IFERROR(VLOOKUP(A953,Tabla1[],6,0)," ")</f>
        <v xml:space="preserve"> </v>
      </c>
      <c r="D953" s="30" t="str">
        <f>IFERROR(VLOOKUP(A953,Tabla1[],8,0)," ")</f>
        <v xml:space="preserve"> </v>
      </c>
      <c r="E953" s="31"/>
      <c r="F953" s="30" t="str">
        <f t="shared" si="15"/>
        <v xml:space="preserve"> </v>
      </c>
    </row>
    <row r="954" spans="1:6" ht="22.7" customHeight="1">
      <c r="A954" s="28"/>
      <c r="B954" s="29" t="str">
        <f>IFERROR(VLOOKUP(A954,Tabla1[],2,0)," ")</f>
        <v xml:space="preserve"> </v>
      </c>
      <c r="C954" s="29" t="str">
        <f>IFERROR(VLOOKUP(A954,Tabla1[],6,0)," ")</f>
        <v xml:space="preserve"> </v>
      </c>
      <c r="D954" s="30" t="str">
        <f>IFERROR(VLOOKUP(A954,Tabla1[],8,0)," ")</f>
        <v xml:space="preserve"> </v>
      </c>
      <c r="E954" s="31"/>
      <c r="F954" s="30" t="str">
        <f t="shared" si="15"/>
        <v xml:space="preserve"> </v>
      </c>
    </row>
    <row r="955" spans="1:6" ht="22.7" customHeight="1">
      <c r="A955" s="28"/>
      <c r="B955" s="29" t="str">
        <f>IFERROR(VLOOKUP(A955,Tabla1[],2,0)," ")</f>
        <v xml:space="preserve"> </v>
      </c>
      <c r="C955" s="29" t="str">
        <f>IFERROR(VLOOKUP(A955,Tabla1[],6,0)," ")</f>
        <v xml:space="preserve"> </v>
      </c>
      <c r="D955" s="30" t="str">
        <f>IFERROR(VLOOKUP(A955,Tabla1[],8,0)," ")</f>
        <v xml:space="preserve"> </v>
      </c>
      <c r="E955" s="31"/>
      <c r="F955" s="30" t="str">
        <f t="shared" si="15"/>
        <v xml:space="preserve"> </v>
      </c>
    </row>
    <row r="956" spans="1:6" ht="22.7" customHeight="1">
      <c r="A956" s="28"/>
      <c r="B956" s="29" t="str">
        <f>IFERROR(VLOOKUP(A956,Tabla1[],2,0)," ")</f>
        <v xml:space="preserve"> </v>
      </c>
      <c r="C956" s="29" t="str">
        <f>IFERROR(VLOOKUP(A956,Tabla1[],6,0)," ")</f>
        <v xml:space="preserve"> </v>
      </c>
      <c r="D956" s="30" t="str">
        <f>IFERROR(VLOOKUP(A956,Tabla1[],8,0)," ")</f>
        <v xml:space="preserve"> </v>
      </c>
      <c r="E956" s="31"/>
      <c r="F956" s="30" t="str">
        <f t="shared" si="15"/>
        <v xml:space="preserve"> </v>
      </c>
    </row>
    <row r="957" spans="1:6" ht="22.7" customHeight="1">
      <c r="A957" s="28"/>
      <c r="B957" s="29" t="str">
        <f>IFERROR(VLOOKUP(A957,Tabla1[],2,0)," ")</f>
        <v xml:space="preserve"> </v>
      </c>
      <c r="C957" s="29" t="str">
        <f>IFERROR(VLOOKUP(A957,Tabla1[],6,0)," ")</f>
        <v xml:space="preserve"> </v>
      </c>
      <c r="D957" s="30" t="str">
        <f>IFERROR(VLOOKUP(A957,Tabla1[],8,0)," ")</f>
        <v xml:space="preserve"> </v>
      </c>
      <c r="E957" s="31"/>
      <c r="F957" s="30" t="str">
        <f t="shared" si="15"/>
        <v xml:space="preserve"> </v>
      </c>
    </row>
    <row r="958" spans="1:6" ht="22.7" customHeight="1">
      <c r="A958" s="28"/>
      <c r="B958" s="29" t="str">
        <f>IFERROR(VLOOKUP(A958,Tabla1[],2,0)," ")</f>
        <v xml:space="preserve"> </v>
      </c>
      <c r="C958" s="29" t="str">
        <f>IFERROR(VLOOKUP(A958,Tabla1[],6,0)," ")</f>
        <v xml:space="preserve"> </v>
      </c>
      <c r="D958" s="30" t="str">
        <f>IFERROR(VLOOKUP(A958,Tabla1[],8,0)," ")</f>
        <v xml:space="preserve"> </v>
      </c>
      <c r="E958" s="31"/>
      <c r="F958" s="30" t="str">
        <f t="shared" si="15"/>
        <v xml:space="preserve"> </v>
      </c>
    </row>
    <row r="959" spans="1:6" ht="22.7" customHeight="1">
      <c r="A959" s="28"/>
      <c r="B959" s="29" t="str">
        <f>IFERROR(VLOOKUP(A959,Tabla1[],2,0)," ")</f>
        <v xml:space="preserve"> </v>
      </c>
      <c r="C959" s="29" t="str">
        <f>IFERROR(VLOOKUP(A959,Tabla1[],6,0)," ")</f>
        <v xml:space="preserve"> </v>
      </c>
      <c r="D959" s="30" t="str">
        <f>IFERROR(VLOOKUP(A959,Tabla1[],8,0)," ")</f>
        <v xml:space="preserve"> </v>
      </c>
      <c r="E959" s="31"/>
      <c r="F959" s="30" t="str">
        <f t="shared" si="15"/>
        <v xml:space="preserve"> </v>
      </c>
    </row>
    <row r="960" spans="1:6" ht="22.7" customHeight="1">
      <c r="A960" s="28"/>
      <c r="B960" s="29" t="str">
        <f>IFERROR(VLOOKUP(A960,Tabla1[],2,0)," ")</f>
        <v xml:space="preserve"> </v>
      </c>
      <c r="C960" s="29" t="str">
        <f>IFERROR(VLOOKUP(A960,Tabla1[],6,0)," ")</f>
        <v xml:space="preserve"> </v>
      </c>
      <c r="D960" s="30" t="str">
        <f>IFERROR(VLOOKUP(A960,Tabla1[],8,0)," ")</f>
        <v xml:space="preserve"> </v>
      </c>
      <c r="E960" s="31"/>
      <c r="F960" s="30" t="str">
        <f t="shared" si="15"/>
        <v xml:space="preserve"> </v>
      </c>
    </row>
    <row r="961" spans="1:6" ht="22.7" customHeight="1">
      <c r="A961" s="28"/>
      <c r="B961" s="29" t="str">
        <f>IFERROR(VLOOKUP(A961,Tabla1[],2,0)," ")</f>
        <v xml:space="preserve"> </v>
      </c>
      <c r="C961" s="29" t="str">
        <f>IFERROR(VLOOKUP(A961,Tabla1[],6,0)," ")</f>
        <v xml:space="preserve"> </v>
      </c>
      <c r="D961" s="30" t="str">
        <f>IFERROR(VLOOKUP(A961,Tabla1[],8,0)," ")</f>
        <v xml:space="preserve"> </v>
      </c>
      <c r="E961" s="31"/>
      <c r="F961" s="30" t="str">
        <f t="shared" si="15"/>
        <v xml:space="preserve"> </v>
      </c>
    </row>
    <row r="962" spans="1:6" ht="22.7" customHeight="1">
      <c r="A962" s="28"/>
      <c r="B962" s="29" t="str">
        <f>IFERROR(VLOOKUP(A962,Tabla1[],2,0)," ")</f>
        <v xml:space="preserve"> </v>
      </c>
      <c r="C962" s="29" t="str">
        <f>IFERROR(VLOOKUP(A962,Tabla1[],6,0)," ")</f>
        <v xml:space="preserve"> </v>
      </c>
      <c r="D962" s="30" t="str">
        <f>IFERROR(VLOOKUP(A962,Tabla1[],8,0)," ")</f>
        <v xml:space="preserve"> </v>
      </c>
      <c r="E962" s="31"/>
      <c r="F962" s="30" t="str">
        <f t="shared" si="15"/>
        <v xml:space="preserve"> </v>
      </c>
    </row>
    <row r="963" spans="1:6" ht="22.7" customHeight="1">
      <c r="A963" s="28"/>
      <c r="B963" s="29" t="str">
        <f>IFERROR(VLOOKUP(A963,Tabla1[],2,0)," ")</f>
        <v xml:space="preserve"> </v>
      </c>
      <c r="C963" s="29" t="str">
        <f>IFERROR(VLOOKUP(A963,Tabla1[],6,0)," ")</f>
        <v xml:space="preserve"> </v>
      </c>
      <c r="D963" s="30" t="str">
        <f>IFERROR(VLOOKUP(A963,Tabla1[],8,0)," ")</f>
        <v xml:space="preserve"> </v>
      </c>
      <c r="E963" s="31"/>
      <c r="F963" s="30" t="str">
        <f t="shared" si="15"/>
        <v xml:space="preserve"> </v>
      </c>
    </row>
    <row r="964" spans="1:6" ht="22.7" customHeight="1">
      <c r="A964" s="28"/>
      <c r="B964" s="29" t="str">
        <f>IFERROR(VLOOKUP(A964,Tabla1[],2,0)," ")</f>
        <v xml:space="preserve"> </v>
      </c>
      <c r="C964" s="29" t="str">
        <f>IFERROR(VLOOKUP(A964,Tabla1[],6,0)," ")</f>
        <v xml:space="preserve"> </v>
      </c>
      <c r="D964" s="30" t="str">
        <f>IFERROR(VLOOKUP(A964,Tabla1[],8,0)," ")</f>
        <v xml:space="preserve"> </v>
      </c>
      <c r="E964" s="31"/>
      <c r="F964" s="30" t="str">
        <f t="shared" ref="F964:F1027" si="16">IFERROR((E964*D964), " ")</f>
        <v xml:space="preserve"> </v>
      </c>
    </row>
    <row r="965" spans="1:6" ht="22.7" customHeight="1">
      <c r="A965" s="28"/>
      <c r="B965" s="29" t="str">
        <f>IFERROR(VLOOKUP(A965,Tabla1[],2,0)," ")</f>
        <v xml:space="preserve"> </v>
      </c>
      <c r="C965" s="29" t="str">
        <f>IFERROR(VLOOKUP(A965,Tabla1[],6,0)," ")</f>
        <v xml:space="preserve"> </v>
      </c>
      <c r="D965" s="30" t="str">
        <f>IFERROR(VLOOKUP(A965,Tabla1[],8,0)," ")</f>
        <v xml:space="preserve"> </v>
      </c>
      <c r="E965" s="31"/>
      <c r="F965" s="30" t="str">
        <f t="shared" si="16"/>
        <v xml:space="preserve"> </v>
      </c>
    </row>
    <row r="966" spans="1:6" ht="22.7" customHeight="1">
      <c r="A966" s="28"/>
      <c r="B966" s="29" t="str">
        <f>IFERROR(VLOOKUP(A966,Tabla1[],2,0)," ")</f>
        <v xml:space="preserve"> </v>
      </c>
      <c r="C966" s="29" t="str">
        <f>IFERROR(VLOOKUP(A966,Tabla1[],6,0)," ")</f>
        <v xml:space="preserve"> </v>
      </c>
      <c r="D966" s="30" t="str">
        <f>IFERROR(VLOOKUP(A966,Tabla1[],8,0)," ")</f>
        <v xml:space="preserve"> </v>
      </c>
      <c r="E966" s="31"/>
      <c r="F966" s="30" t="str">
        <f t="shared" si="16"/>
        <v xml:space="preserve"> </v>
      </c>
    </row>
    <row r="967" spans="1:6" ht="22.7" customHeight="1">
      <c r="A967" s="28"/>
      <c r="B967" s="29" t="str">
        <f>IFERROR(VLOOKUP(A967,Tabla1[],2,0)," ")</f>
        <v xml:space="preserve"> </v>
      </c>
      <c r="C967" s="29" t="str">
        <f>IFERROR(VLOOKUP(A967,Tabla1[],6,0)," ")</f>
        <v xml:space="preserve"> </v>
      </c>
      <c r="D967" s="30" t="str">
        <f>IFERROR(VLOOKUP(A967,Tabla1[],8,0)," ")</f>
        <v xml:space="preserve"> </v>
      </c>
      <c r="E967" s="31"/>
      <c r="F967" s="30" t="str">
        <f t="shared" si="16"/>
        <v xml:space="preserve"> </v>
      </c>
    </row>
    <row r="968" spans="1:6" ht="22.7" customHeight="1">
      <c r="A968" s="28"/>
      <c r="B968" s="29" t="str">
        <f>IFERROR(VLOOKUP(A968,Tabla1[],2,0)," ")</f>
        <v xml:space="preserve"> </v>
      </c>
      <c r="C968" s="29" t="str">
        <f>IFERROR(VLOOKUP(A968,Tabla1[],6,0)," ")</f>
        <v xml:space="preserve"> </v>
      </c>
      <c r="D968" s="30" t="str">
        <f>IFERROR(VLOOKUP(A968,Tabla1[],8,0)," ")</f>
        <v xml:space="preserve"> </v>
      </c>
      <c r="E968" s="31"/>
      <c r="F968" s="30" t="str">
        <f t="shared" si="16"/>
        <v xml:space="preserve"> </v>
      </c>
    </row>
    <row r="969" spans="1:6" ht="22.7" customHeight="1">
      <c r="A969" s="28"/>
      <c r="B969" s="29" t="str">
        <f>IFERROR(VLOOKUP(A969,Tabla1[],2,0)," ")</f>
        <v xml:space="preserve"> </v>
      </c>
      <c r="C969" s="29" t="str">
        <f>IFERROR(VLOOKUP(A969,Tabla1[],6,0)," ")</f>
        <v xml:space="preserve"> </v>
      </c>
      <c r="D969" s="30" t="str">
        <f>IFERROR(VLOOKUP(A969,Tabla1[],8,0)," ")</f>
        <v xml:space="preserve"> </v>
      </c>
      <c r="E969" s="31"/>
      <c r="F969" s="30" t="str">
        <f t="shared" si="16"/>
        <v xml:space="preserve"> </v>
      </c>
    </row>
    <row r="970" spans="1:6" ht="22.7" customHeight="1">
      <c r="A970" s="28"/>
      <c r="B970" s="29" t="str">
        <f>IFERROR(VLOOKUP(A970,Tabla1[],2,0)," ")</f>
        <v xml:space="preserve"> </v>
      </c>
      <c r="C970" s="29" t="str">
        <f>IFERROR(VLOOKUP(A970,Tabla1[],6,0)," ")</f>
        <v xml:space="preserve"> </v>
      </c>
      <c r="D970" s="30" t="str">
        <f>IFERROR(VLOOKUP(A970,Tabla1[],8,0)," ")</f>
        <v xml:space="preserve"> </v>
      </c>
      <c r="E970" s="31"/>
      <c r="F970" s="30" t="str">
        <f t="shared" si="16"/>
        <v xml:space="preserve"> </v>
      </c>
    </row>
    <row r="971" spans="1:6" ht="22.7" customHeight="1">
      <c r="A971" s="28"/>
      <c r="B971" s="29" t="str">
        <f>IFERROR(VLOOKUP(A971,Tabla1[],2,0)," ")</f>
        <v xml:space="preserve"> </v>
      </c>
      <c r="C971" s="29" t="str">
        <f>IFERROR(VLOOKUP(A971,Tabla1[],6,0)," ")</f>
        <v xml:space="preserve"> </v>
      </c>
      <c r="D971" s="30" t="str">
        <f>IFERROR(VLOOKUP(A971,Tabla1[],8,0)," ")</f>
        <v xml:space="preserve"> </v>
      </c>
      <c r="E971" s="31"/>
      <c r="F971" s="30" t="str">
        <f t="shared" si="16"/>
        <v xml:space="preserve"> </v>
      </c>
    </row>
    <row r="972" spans="1:6" ht="22.7" customHeight="1">
      <c r="A972" s="28"/>
      <c r="B972" s="29" t="str">
        <f>IFERROR(VLOOKUP(A972,Tabla1[],2,0)," ")</f>
        <v xml:space="preserve"> </v>
      </c>
      <c r="C972" s="29" t="str">
        <f>IFERROR(VLOOKUP(A972,Tabla1[],6,0)," ")</f>
        <v xml:space="preserve"> </v>
      </c>
      <c r="D972" s="30" t="str">
        <f>IFERROR(VLOOKUP(A972,Tabla1[],8,0)," ")</f>
        <v xml:space="preserve"> </v>
      </c>
      <c r="E972" s="31"/>
      <c r="F972" s="30" t="str">
        <f t="shared" si="16"/>
        <v xml:space="preserve"> </v>
      </c>
    </row>
    <row r="973" spans="1:6" ht="22.7" customHeight="1">
      <c r="A973" s="28"/>
      <c r="B973" s="29" t="str">
        <f>IFERROR(VLOOKUP(A973,Tabla1[],2,0)," ")</f>
        <v xml:space="preserve"> </v>
      </c>
      <c r="C973" s="29" t="str">
        <f>IFERROR(VLOOKUP(A973,Tabla1[],6,0)," ")</f>
        <v xml:space="preserve"> </v>
      </c>
      <c r="D973" s="30" t="str">
        <f>IFERROR(VLOOKUP(A973,Tabla1[],8,0)," ")</f>
        <v xml:space="preserve"> </v>
      </c>
      <c r="E973" s="31"/>
      <c r="F973" s="30" t="str">
        <f t="shared" si="16"/>
        <v xml:space="preserve"> </v>
      </c>
    </row>
    <row r="974" spans="1:6" ht="22.7" customHeight="1">
      <c r="A974" s="28"/>
      <c r="B974" s="29" t="str">
        <f>IFERROR(VLOOKUP(A974,Tabla1[],2,0)," ")</f>
        <v xml:space="preserve"> </v>
      </c>
      <c r="C974" s="29" t="str">
        <f>IFERROR(VLOOKUP(A974,Tabla1[],6,0)," ")</f>
        <v xml:space="preserve"> </v>
      </c>
      <c r="D974" s="30" t="str">
        <f>IFERROR(VLOOKUP(A974,Tabla1[],8,0)," ")</f>
        <v xml:space="preserve"> </v>
      </c>
      <c r="E974" s="31"/>
      <c r="F974" s="30" t="str">
        <f t="shared" si="16"/>
        <v xml:space="preserve"> </v>
      </c>
    </row>
    <row r="975" spans="1:6" ht="22.7" customHeight="1">
      <c r="A975" s="28"/>
      <c r="B975" s="29" t="str">
        <f>IFERROR(VLOOKUP(A975,Tabla1[],2,0)," ")</f>
        <v xml:space="preserve"> </v>
      </c>
      <c r="C975" s="29" t="str">
        <f>IFERROR(VLOOKUP(A975,Tabla1[],6,0)," ")</f>
        <v xml:space="preserve"> </v>
      </c>
      <c r="D975" s="30" t="str">
        <f>IFERROR(VLOOKUP(A975,Tabla1[],8,0)," ")</f>
        <v xml:space="preserve"> </v>
      </c>
      <c r="E975" s="31"/>
      <c r="F975" s="30" t="str">
        <f t="shared" si="16"/>
        <v xml:space="preserve"> </v>
      </c>
    </row>
    <row r="976" spans="1:6" ht="22.7" customHeight="1">
      <c r="A976" s="28"/>
      <c r="B976" s="29" t="str">
        <f>IFERROR(VLOOKUP(A976,Tabla1[],2,0)," ")</f>
        <v xml:space="preserve"> </v>
      </c>
      <c r="C976" s="29" t="str">
        <f>IFERROR(VLOOKUP(A976,Tabla1[],6,0)," ")</f>
        <v xml:space="preserve"> </v>
      </c>
      <c r="D976" s="30" t="str">
        <f>IFERROR(VLOOKUP(A976,Tabla1[],8,0)," ")</f>
        <v xml:space="preserve"> </v>
      </c>
      <c r="E976" s="31"/>
      <c r="F976" s="30" t="str">
        <f t="shared" si="16"/>
        <v xml:space="preserve"> </v>
      </c>
    </row>
    <row r="977" spans="1:6" ht="22.7" customHeight="1">
      <c r="A977" s="28"/>
      <c r="B977" s="29" t="str">
        <f>IFERROR(VLOOKUP(A977,Tabla1[],2,0)," ")</f>
        <v xml:space="preserve"> </v>
      </c>
      <c r="C977" s="29" t="str">
        <f>IFERROR(VLOOKUP(A977,Tabla1[],6,0)," ")</f>
        <v xml:space="preserve"> </v>
      </c>
      <c r="D977" s="30" t="str">
        <f>IFERROR(VLOOKUP(A977,Tabla1[],8,0)," ")</f>
        <v xml:space="preserve"> </v>
      </c>
      <c r="E977" s="31"/>
      <c r="F977" s="30" t="str">
        <f t="shared" si="16"/>
        <v xml:space="preserve"> </v>
      </c>
    </row>
    <row r="978" spans="1:6" ht="22.7" customHeight="1">
      <c r="A978" s="28"/>
      <c r="B978" s="29" t="str">
        <f>IFERROR(VLOOKUP(A978,Tabla1[],2,0)," ")</f>
        <v xml:space="preserve"> </v>
      </c>
      <c r="C978" s="29" t="str">
        <f>IFERROR(VLOOKUP(A978,Tabla1[],6,0)," ")</f>
        <v xml:space="preserve"> </v>
      </c>
      <c r="D978" s="30" t="str">
        <f>IFERROR(VLOOKUP(A978,Tabla1[],8,0)," ")</f>
        <v xml:space="preserve"> </v>
      </c>
      <c r="E978" s="31"/>
      <c r="F978" s="30" t="str">
        <f t="shared" si="16"/>
        <v xml:space="preserve"> </v>
      </c>
    </row>
    <row r="979" spans="1:6" ht="22.7" customHeight="1">
      <c r="A979" s="28"/>
      <c r="B979" s="29" t="str">
        <f>IFERROR(VLOOKUP(A979,Tabla1[],2,0)," ")</f>
        <v xml:space="preserve"> </v>
      </c>
      <c r="C979" s="29" t="str">
        <f>IFERROR(VLOOKUP(A979,Tabla1[],6,0)," ")</f>
        <v xml:space="preserve"> </v>
      </c>
      <c r="D979" s="30" t="str">
        <f>IFERROR(VLOOKUP(A979,Tabla1[],8,0)," ")</f>
        <v xml:space="preserve"> </v>
      </c>
      <c r="E979" s="31"/>
      <c r="F979" s="30" t="str">
        <f t="shared" si="16"/>
        <v xml:space="preserve"> </v>
      </c>
    </row>
    <row r="980" spans="1:6" ht="22.7" customHeight="1">
      <c r="A980" s="28"/>
      <c r="B980" s="29" t="str">
        <f>IFERROR(VLOOKUP(A980,Tabla1[],2,0)," ")</f>
        <v xml:space="preserve"> </v>
      </c>
      <c r="C980" s="29" t="str">
        <f>IFERROR(VLOOKUP(A980,Tabla1[],6,0)," ")</f>
        <v xml:space="preserve"> </v>
      </c>
      <c r="D980" s="30" t="str">
        <f>IFERROR(VLOOKUP(A980,Tabla1[],8,0)," ")</f>
        <v xml:space="preserve"> </v>
      </c>
      <c r="E980" s="31"/>
      <c r="F980" s="30" t="str">
        <f t="shared" si="16"/>
        <v xml:space="preserve"> </v>
      </c>
    </row>
    <row r="981" spans="1:6" ht="22.7" customHeight="1">
      <c r="A981" s="28"/>
      <c r="B981" s="29" t="str">
        <f>IFERROR(VLOOKUP(A981,Tabla1[],2,0)," ")</f>
        <v xml:space="preserve"> </v>
      </c>
      <c r="C981" s="29" t="str">
        <f>IFERROR(VLOOKUP(A981,Tabla1[],6,0)," ")</f>
        <v xml:space="preserve"> </v>
      </c>
      <c r="D981" s="30" t="str">
        <f>IFERROR(VLOOKUP(A981,Tabla1[],8,0)," ")</f>
        <v xml:space="preserve"> </v>
      </c>
      <c r="E981" s="31"/>
      <c r="F981" s="30" t="str">
        <f t="shared" si="16"/>
        <v xml:space="preserve"> </v>
      </c>
    </row>
    <row r="982" spans="1:6" ht="22.7" customHeight="1">
      <c r="A982" s="28"/>
      <c r="B982" s="29" t="str">
        <f>IFERROR(VLOOKUP(A982,Tabla1[],2,0)," ")</f>
        <v xml:space="preserve"> </v>
      </c>
      <c r="C982" s="29" t="str">
        <f>IFERROR(VLOOKUP(A982,Tabla1[],6,0)," ")</f>
        <v xml:space="preserve"> </v>
      </c>
      <c r="D982" s="30" t="str">
        <f>IFERROR(VLOOKUP(A982,Tabla1[],8,0)," ")</f>
        <v xml:space="preserve"> </v>
      </c>
      <c r="E982" s="31"/>
      <c r="F982" s="30" t="str">
        <f t="shared" si="16"/>
        <v xml:space="preserve"> </v>
      </c>
    </row>
    <row r="983" spans="1:6" ht="22.7" customHeight="1">
      <c r="A983" s="28"/>
      <c r="B983" s="29" t="str">
        <f>IFERROR(VLOOKUP(A983,Tabla1[],2,0)," ")</f>
        <v xml:space="preserve"> </v>
      </c>
      <c r="C983" s="29" t="str">
        <f>IFERROR(VLOOKUP(A983,Tabla1[],6,0)," ")</f>
        <v xml:space="preserve"> </v>
      </c>
      <c r="D983" s="30" t="str">
        <f>IFERROR(VLOOKUP(A983,Tabla1[],8,0)," ")</f>
        <v xml:space="preserve"> </v>
      </c>
      <c r="E983" s="31"/>
      <c r="F983" s="30" t="str">
        <f t="shared" si="16"/>
        <v xml:space="preserve"> </v>
      </c>
    </row>
    <row r="984" spans="1:6" ht="22.7" customHeight="1">
      <c r="A984" s="28"/>
      <c r="B984" s="29" t="str">
        <f>IFERROR(VLOOKUP(A984,Tabla1[],2,0)," ")</f>
        <v xml:space="preserve"> </v>
      </c>
      <c r="C984" s="29" t="str">
        <f>IFERROR(VLOOKUP(A984,Tabla1[],6,0)," ")</f>
        <v xml:space="preserve"> </v>
      </c>
      <c r="D984" s="30" t="str">
        <f>IFERROR(VLOOKUP(A984,Tabla1[],8,0)," ")</f>
        <v xml:space="preserve"> </v>
      </c>
      <c r="E984" s="31"/>
      <c r="F984" s="30" t="str">
        <f t="shared" si="16"/>
        <v xml:space="preserve"> </v>
      </c>
    </row>
    <row r="985" spans="1:6" ht="22.7" customHeight="1">
      <c r="A985" s="28"/>
      <c r="B985" s="29" t="str">
        <f>IFERROR(VLOOKUP(A985,Tabla1[],2,0)," ")</f>
        <v xml:space="preserve"> </v>
      </c>
      <c r="C985" s="29" t="str">
        <f>IFERROR(VLOOKUP(A985,Tabla1[],6,0)," ")</f>
        <v xml:space="preserve"> </v>
      </c>
      <c r="D985" s="30" t="str">
        <f>IFERROR(VLOOKUP(A985,Tabla1[],8,0)," ")</f>
        <v xml:space="preserve"> </v>
      </c>
      <c r="E985" s="31"/>
      <c r="F985" s="30" t="str">
        <f t="shared" si="16"/>
        <v xml:space="preserve"> </v>
      </c>
    </row>
    <row r="986" spans="1:6" ht="22.7" customHeight="1">
      <c r="A986" s="28"/>
      <c r="B986" s="29" t="str">
        <f>IFERROR(VLOOKUP(A986,Tabla1[],2,0)," ")</f>
        <v xml:space="preserve"> </v>
      </c>
      <c r="C986" s="29" t="str">
        <f>IFERROR(VLOOKUP(A986,Tabla1[],6,0)," ")</f>
        <v xml:space="preserve"> </v>
      </c>
      <c r="D986" s="30" t="str">
        <f>IFERROR(VLOOKUP(A986,Tabla1[],8,0)," ")</f>
        <v xml:space="preserve"> </v>
      </c>
      <c r="E986" s="31"/>
      <c r="F986" s="30" t="str">
        <f t="shared" si="16"/>
        <v xml:space="preserve"> </v>
      </c>
    </row>
    <row r="987" spans="1:6" ht="22.7" customHeight="1">
      <c r="A987" s="28"/>
      <c r="B987" s="29" t="str">
        <f>IFERROR(VLOOKUP(A987,Tabla1[],2,0)," ")</f>
        <v xml:space="preserve"> </v>
      </c>
      <c r="C987" s="29" t="str">
        <f>IFERROR(VLOOKUP(A987,Tabla1[],6,0)," ")</f>
        <v xml:space="preserve"> </v>
      </c>
      <c r="D987" s="30" t="str">
        <f>IFERROR(VLOOKUP(A987,Tabla1[],8,0)," ")</f>
        <v xml:space="preserve"> </v>
      </c>
      <c r="E987" s="31"/>
      <c r="F987" s="30" t="str">
        <f t="shared" si="16"/>
        <v xml:space="preserve"> </v>
      </c>
    </row>
    <row r="988" spans="1:6" ht="22.7" customHeight="1">
      <c r="A988" s="28"/>
      <c r="B988" s="29" t="str">
        <f>IFERROR(VLOOKUP(A988,Tabla1[],2,0)," ")</f>
        <v xml:space="preserve"> </v>
      </c>
      <c r="C988" s="29" t="str">
        <f>IFERROR(VLOOKUP(A988,Tabla1[],6,0)," ")</f>
        <v xml:space="preserve"> </v>
      </c>
      <c r="D988" s="30" t="str">
        <f>IFERROR(VLOOKUP(A988,Tabla1[],8,0)," ")</f>
        <v xml:space="preserve"> </v>
      </c>
      <c r="E988" s="31"/>
      <c r="F988" s="30" t="str">
        <f t="shared" si="16"/>
        <v xml:space="preserve"> </v>
      </c>
    </row>
    <row r="989" spans="1:6" ht="22.7" customHeight="1">
      <c r="A989" s="28"/>
      <c r="B989" s="29" t="str">
        <f>IFERROR(VLOOKUP(A989,Tabla1[],2,0)," ")</f>
        <v xml:space="preserve"> </v>
      </c>
      <c r="C989" s="29" t="str">
        <f>IFERROR(VLOOKUP(A989,Tabla1[],6,0)," ")</f>
        <v xml:space="preserve"> </v>
      </c>
      <c r="D989" s="30" t="str">
        <f>IFERROR(VLOOKUP(A989,Tabla1[],8,0)," ")</f>
        <v xml:space="preserve"> </v>
      </c>
      <c r="E989" s="31"/>
      <c r="F989" s="30" t="str">
        <f t="shared" si="16"/>
        <v xml:space="preserve"> </v>
      </c>
    </row>
    <row r="990" spans="1:6" ht="22.7" customHeight="1">
      <c r="A990" s="28"/>
      <c r="B990" s="29" t="str">
        <f>IFERROR(VLOOKUP(A990,Tabla1[],2,0)," ")</f>
        <v xml:space="preserve"> </v>
      </c>
      <c r="C990" s="29" t="str">
        <f>IFERROR(VLOOKUP(A990,Tabla1[],6,0)," ")</f>
        <v xml:space="preserve"> </v>
      </c>
      <c r="D990" s="30" t="str">
        <f>IFERROR(VLOOKUP(A990,Tabla1[],8,0)," ")</f>
        <v xml:space="preserve"> </v>
      </c>
      <c r="E990" s="31"/>
      <c r="F990" s="30" t="str">
        <f t="shared" si="16"/>
        <v xml:space="preserve"> </v>
      </c>
    </row>
    <row r="991" spans="1:6" ht="22.7" customHeight="1">
      <c r="A991" s="28"/>
      <c r="B991" s="29" t="str">
        <f>IFERROR(VLOOKUP(A991,Tabla1[],2,0)," ")</f>
        <v xml:space="preserve"> </v>
      </c>
      <c r="C991" s="29" t="str">
        <f>IFERROR(VLOOKUP(A991,Tabla1[],6,0)," ")</f>
        <v xml:space="preserve"> </v>
      </c>
      <c r="D991" s="30" t="str">
        <f>IFERROR(VLOOKUP(A991,Tabla1[],8,0)," ")</f>
        <v xml:space="preserve"> </v>
      </c>
      <c r="E991" s="31"/>
      <c r="F991" s="30" t="str">
        <f t="shared" si="16"/>
        <v xml:space="preserve"> </v>
      </c>
    </row>
    <row r="992" spans="1:6" ht="22.7" customHeight="1">
      <c r="A992" s="28"/>
      <c r="B992" s="29" t="str">
        <f>IFERROR(VLOOKUP(A992,Tabla1[],2,0)," ")</f>
        <v xml:space="preserve"> </v>
      </c>
      <c r="C992" s="29" t="str">
        <f>IFERROR(VLOOKUP(A992,Tabla1[],6,0)," ")</f>
        <v xml:space="preserve"> </v>
      </c>
      <c r="D992" s="30" t="str">
        <f>IFERROR(VLOOKUP(A992,Tabla1[],8,0)," ")</f>
        <v xml:space="preserve"> </v>
      </c>
      <c r="E992" s="31"/>
      <c r="F992" s="30" t="str">
        <f t="shared" si="16"/>
        <v xml:space="preserve"> </v>
      </c>
    </row>
    <row r="993" spans="1:6" ht="22.7" customHeight="1">
      <c r="A993" s="28"/>
      <c r="B993" s="29" t="str">
        <f>IFERROR(VLOOKUP(A993,Tabla1[],2,0)," ")</f>
        <v xml:space="preserve"> </v>
      </c>
      <c r="C993" s="29" t="str">
        <f>IFERROR(VLOOKUP(A993,Tabla1[],6,0)," ")</f>
        <v xml:space="preserve"> </v>
      </c>
      <c r="D993" s="30" t="str">
        <f>IFERROR(VLOOKUP(A993,Tabla1[],8,0)," ")</f>
        <v xml:space="preserve"> </v>
      </c>
      <c r="E993" s="31"/>
      <c r="F993" s="30" t="str">
        <f t="shared" si="16"/>
        <v xml:space="preserve"> </v>
      </c>
    </row>
    <row r="994" spans="1:6" ht="22.7" customHeight="1">
      <c r="A994" s="28"/>
      <c r="B994" s="29" t="str">
        <f>IFERROR(VLOOKUP(A994,Tabla1[],2,0)," ")</f>
        <v xml:space="preserve"> </v>
      </c>
      <c r="C994" s="29" t="str">
        <f>IFERROR(VLOOKUP(A994,Tabla1[],6,0)," ")</f>
        <v xml:space="preserve"> </v>
      </c>
      <c r="D994" s="30" t="str">
        <f>IFERROR(VLOOKUP(A994,Tabla1[],8,0)," ")</f>
        <v xml:space="preserve"> </v>
      </c>
      <c r="E994" s="31"/>
      <c r="F994" s="30" t="str">
        <f t="shared" si="16"/>
        <v xml:space="preserve"> </v>
      </c>
    </row>
    <row r="995" spans="1:6" ht="22.7" customHeight="1">
      <c r="A995" s="28"/>
      <c r="B995" s="29" t="str">
        <f>IFERROR(VLOOKUP(A995,Tabla1[],2,0)," ")</f>
        <v xml:space="preserve"> </v>
      </c>
      <c r="C995" s="29" t="str">
        <f>IFERROR(VLOOKUP(A995,Tabla1[],6,0)," ")</f>
        <v xml:space="preserve"> </v>
      </c>
      <c r="D995" s="30" t="str">
        <f>IFERROR(VLOOKUP(A995,Tabla1[],8,0)," ")</f>
        <v xml:space="preserve"> </v>
      </c>
      <c r="E995" s="31"/>
      <c r="F995" s="30" t="str">
        <f t="shared" si="16"/>
        <v xml:space="preserve"> </v>
      </c>
    </row>
    <row r="996" spans="1:6" ht="22.7" customHeight="1">
      <c r="A996" s="28"/>
      <c r="B996" s="29" t="str">
        <f>IFERROR(VLOOKUP(A996,Tabla1[],2,0)," ")</f>
        <v xml:space="preserve"> </v>
      </c>
      <c r="C996" s="29" t="str">
        <f>IFERROR(VLOOKUP(A996,Tabla1[],6,0)," ")</f>
        <v xml:space="preserve"> </v>
      </c>
      <c r="D996" s="30" t="str">
        <f>IFERROR(VLOOKUP(A996,Tabla1[],8,0)," ")</f>
        <v xml:space="preserve"> </v>
      </c>
      <c r="E996" s="31"/>
      <c r="F996" s="30" t="str">
        <f t="shared" si="16"/>
        <v xml:space="preserve"> </v>
      </c>
    </row>
    <row r="997" spans="1:6" ht="22.7" customHeight="1">
      <c r="A997" s="28"/>
      <c r="B997" s="29" t="str">
        <f>IFERROR(VLOOKUP(A997,Tabla1[],2,0)," ")</f>
        <v xml:space="preserve"> </v>
      </c>
      <c r="C997" s="29" t="str">
        <f>IFERROR(VLOOKUP(A997,Tabla1[],6,0)," ")</f>
        <v xml:space="preserve"> </v>
      </c>
      <c r="D997" s="30" t="str">
        <f>IFERROR(VLOOKUP(A997,Tabla1[],8,0)," ")</f>
        <v xml:space="preserve"> </v>
      </c>
      <c r="E997" s="31"/>
      <c r="F997" s="30" t="str">
        <f t="shared" si="16"/>
        <v xml:space="preserve"> </v>
      </c>
    </row>
    <row r="998" spans="1:6" ht="22.7" customHeight="1">
      <c r="A998" s="28"/>
      <c r="B998" s="29" t="str">
        <f>IFERROR(VLOOKUP(A998,Tabla1[],2,0)," ")</f>
        <v xml:space="preserve"> </v>
      </c>
      <c r="C998" s="29" t="str">
        <f>IFERROR(VLOOKUP(A998,Tabla1[],6,0)," ")</f>
        <v xml:space="preserve"> </v>
      </c>
      <c r="D998" s="30" t="str">
        <f>IFERROR(VLOOKUP(A998,Tabla1[],8,0)," ")</f>
        <v xml:space="preserve"> </v>
      </c>
      <c r="E998" s="31"/>
      <c r="F998" s="30" t="str">
        <f t="shared" si="16"/>
        <v xml:space="preserve"> </v>
      </c>
    </row>
    <row r="999" spans="1:6" ht="22.7" customHeight="1">
      <c r="A999" s="28"/>
      <c r="B999" s="29" t="str">
        <f>IFERROR(VLOOKUP(A999,Tabla1[],2,0)," ")</f>
        <v xml:space="preserve"> </v>
      </c>
      <c r="C999" s="29" t="str">
        <f>IFERROR(VLOOKUP(A999,Tabla1[],6,0)," ")</f>
        <v xml:space="preserve"> </v>
      </c>
      <c r="D999" s="30" t="str">
        <f>IFERROR(VLOOKUP(A999,Tabla1[],8,0)," ")</f>
        <v xml:space="preserve"> </v>
      </c>
      <c r="E999" s="31"/>
      <c r="F999" s="30" t="str">
        <f t="shared" si="16"/>
        <v xml:space="preserve"> </v>
      </c>
    </row>
    <row r="1000" spans="1:6" ht="22.7" customHeight="1">
      <c r="A1000" s="28"/>
      <c r="B1000" s="29" t="str">
        <f>IFERROR(VLOOKUP(A1000,Tabla1[],2,0)," ")</f>
        <v xml:space="preserve"> </v>
      </c>
      <c r="C1000" s="29" t="str">
        <f>IFERROR(VLOOKUP(A1000,Tabla1[],6,0)," ")</f>
        <v xml:space="preserve"> </v>
      </c>
      <c r="D1000" s="30" t="str">
        <f>IFERROR(VLOOKUP(A1000,Tabla1[],8,0)," ")</f>
        <v xml:space="preserve"> </v>
      </c>
      <c r="E1000" s="31"/>
      <c r="F1000" s="30" t="str">
        <f t="shared" si="16"/>
        <v xml:space="preserve"> </v>
      </c>
    </row>
    <row r="1001" spans="1:6" ht="22.7" customHeight="1">
      <c r="A1001" s="28"/>
      <c r="B1001" s="29" t="str">
        <f>IFERROR(VLOOKUP(A1001,Tabla1[],2,0)," ")</f>
        <v xml:space="preserve"> </v>
      </c>
      <c r="C1001" s="29" t="str">
        <f>IFERROR(VLOOKUP(A1001,Tabla1[],6,0)," ")</f>
        <v xml:space="preserve"> </v>
      </c>
      <c r="D1001" s="30" t="str">
        <f>IFERROR(VLOOKUP(A1001,Tabla1[],8,0)," ")</f>
        <v xml:space="preserve"> </v>
      </c>
      <c r="E1001" s="31"/>
      <c r="F1001" s="30" t="str">
        <f t="shared" si="16"/>
        <v xml:space="preserve"> </v>
      </c>
    </row>
    <row r="1002" spans="1:6" ht="22.7" customHeight="1">
      <c r="A1002" s="28"/>
      <c r="B1002" s="29" t="str">
        <f>IFERROR(VLOOKUP(A1002,Tabla1[],2,0)," ")</f>
        <v xml:space="preserve"> </v>
      </c>
      <c r="C1002" s="29" t="str">
        <f>IFERROR(VLOOKUP(A1002,Tabla1[],6,0)," ")</f>
        <v xml:space="preserve"> </v>
      </c>
      <c r="D1002" s="30" t="str">
        <f>IFERROR(VLOOKUP(A1002,Tabla1[],8,0)," ")</f>
        <v xml:space="preserve"> </v>
      </c>
      <c r="E1002" s="31"/>
      <c r="F1002" s="30" t="str">
        <f t="shared" si="16"/>
        <v xml:space="preserve"> </v>
      </c>
    </row>
    <row r="1003" spans="1:6" ht="22.7" customHeight="1">
      <c r="A1003" s="28"/>
      <c r="B1003" s="29" t="str">
        <f>IFERROR(VLOOKUP(A1003,Tabla1[],2,0)," ")</f>
        <v xml:space="preserve"> </v>
      </c>
      <c r="C1003" s="29" t="str">
        <f>IFERROR(VLOOKUP(A1003,Tabla1[],6,0)," ")</f>
        <v xml:space="preserve"> </v>
      </c>
      <c r="D1003" s="30" t="str">
        <f>IFERROR(VLOOKUP(A1003,Tabla1[],8,0)," ")</f>
        <v xml:space="preserve"> </v>
      </c>
      <c r="E1003" s="31"/>
      <c r="F1003" s="30" t="str">
        <f t="shared" si="16"/>
        <v xml:space="preserve"> </v>
      </c>
    </row>
    <row r="1004" spans="1:6" ht="22.7" customHeight="1">
      <c r="A1004" s="28"/>
      <c r="B1004" s="29" t="str">
        <f>IFERROR(VLOOKUP(A1004,Tabla1[],2,0)," ")</f>
        <v xml:space="preserve"> </v>
      </c>
      <c r="C1004" s="29" t="str">
        <f>IFERROR(VLOOKUP(A1004,Tabla1[],6,0)," ")</f>
        <v xml:space="preserve"> </v>
      </c>
      <c r="D1004" s="30" t="str">
        <f>IFERROR(VLOOKUP(A1004,Tabla1[],8,0)," ")</f>
        <v xml:space="preserve"> </v>
      </c>
      <c r="E1004" s="31"/>
      <c r="F1004" s="30" t="str">
        <f t="shared" si="16"/>
        <v xml:space="preserve"> </v>
      </c>
    </row>
    <row r="1005" spans="1:6" ht="22.7" customHeight="1">
      <c r="A1005" s="28"/>
      <c r="B1005" s="29" t="str">
        <f>IFERROR(VLOOKUP(A1005,Tabla1[],2,0)," ")</f>
        <v xml:space="preserve"> </v>
      </c>
      <c r="C1005" s="29" t="str">
        <f>IFERROR(VLOOKUP(A1005,Tabla1[],6,0)," ")</f>
        <v xml:space="preserve"> </v>
      </c>
      <c r="D1005" s="30" t="str">
        <f>IFERROR(VLOOKUP(A1005,Tabla1[],8,0)," ")</f>
        <v xml:space="preserve"> </v>
      </c>
      <c r="E1005" s="31"/>
      <c r="F1005" s="30" t="str">
        <f t="shared" si="16"/>
        <v xml:space="preserve"> </v>
      </c>
    </row>
    <row r="1006" spans="1:6" ht="22.7" customHeight="1">
      <c r="A1006" s="28"/>
      <c r="B1006" s="29" t="str">
        <f>IFERROR(VLOOKUP(A1006,Tabla1[],2,0)," ")</f>
        <v xml:space="preserve"> </v>
      </c>
      <c r="C1006" s="29" t="str">
        <f>IFERROR(VLOOKUP(A1006,Tabla1[],6,0)," ")</f>
        <v xml:space="preserve"> </v>
      </c>
      <c r="D1006" s="30" t="str">
        <f>IFERROR(VLOOKUP(A1006,Tabla1[],8,0)," ")</f>
        <v xml:space="preserve"> </v>
      </c>
      <c r="E1006" s="31"/>
      <c r="F1006" s="30" t="str">
        <f t="shared" si="16"/>
        <v xml:space="preserve"> </v>
      </c>
    </row>
    <row r="1007" spans="1:6" ht="22.7" customHeight="1">
      <c r="A1007" s="28"/>
      <c r="B1007" s="29" t="str">
        <f>IFERROR(VLOOKUP(A1007,Tabla1[],2,0)," ")</f>
        <v xml:space="preserve"> </v>
      </c>
      <c r="C1007" s="29" t="str">
        <f>IFERROR(VLOOKUP(A1007,Tabla1[],6,0)," ")</f>
        <v xml:space="preserve"> </v>
      </c>
      <c r="D1007" s="30" t="str">
        <f>IFERROR(VLOOKUP(A1007,Tabla1[],8,0)," ")</f>
        <v xml:space="preserve"> </v>
      </c>
      <c r="E1007" s="31"/>
      <c r="F1007" s="30" t="str">
        <f t="shared" si="16"/>
        <v xml:space="preserve"> </v>
      </c>
    </row>
    <row r="1008" spans="1:6" ht="22.7" customHeight="1">
      <c r="A1008" s="28"/>
      <c r="B1008" s="29" t="str">
        <f>IFERROR(VLOOKUP(A1008,Tabla1[],2,0)," ")</f>
        <v xml:space="preserve"> </v>
      </c>
      <c r="C1008" s="29" t="str">
        <f>IFERROR(VLOOKUP(A1008,Tabla1[],6,0)," ")</f>
        <v xml:space="preserve"> </v>
      </c>
      <c r="D1008" s="30" t="str">
        <f>IFERROR(VLOOKUP(A1008,Tabla1[],8,0)," ")</f>
        <v xml:space="preserve"> </v>
      </c>
      <c r="E1008" s="31"/>
      <c r="F1008" s="30" t="str">
        <f t="shared" si="16"/>
        <v xml:space="preserve"> </v>
      </c>
    </row>
    <row r="1009" spans="1:6" ht="22.7" customHeight="1">
      <c r="A1009" s="28"/>
      <c r="B1009" s="29" t="str">
        <f>IFERROR(VLOOKUP(A1009,Tabla1[],2,0)," ")</f>
        <v xml:space="preserve"> </v>
      </c>
      <c r="C1009" s="29" t="str">
        <f>IFERROR(VLOOKUP(A1009,Tabla1[],6,0)," ")</f>
        <v xml:space="preserve"> </v>
      </c>
      <c r="D1009" s="30" t="str">
        <f>IFERROR(VLOOKUP(A1009,Tabla1[],8,0)," ")</f>
        <v xml:space="preserve"> </v>
      </c>
      <c r="E1009" s="31"/>
      <c r="F1009" s="30" t="str">
        <f t="shared" si="16"/>
        <v xml:space="preserve"> </v>
      </c>
    </row>
    <row r="1010" spans="1:6" ht="22.7" customHeight="1">
      <c r="A1010" s="28"/>
      <c r="B1010" s="29" t="str">
        <f>IFERROR(VLOOKUP(A1010,Tabla1[],2,0)," ")</f>
        <v xml:space="preserve"> </v>
      </c>
      <c r="C1010" s="29" t="str">
        <f>IFERROR(VLOOKUP(A1010,Tabla1[],6,0)," ")</f>
        <v xml:space="preserve"> </v>
      </c>
      <c r="D1010" s="30" t="str">
        <f>IFERROR(VLOOKUP(A1010,Tabla1[],8,0)," ")</f>
        <v xml:space="preserve"> </v>
      </c>
      <c r="E1010" s="31"/>
      <c r="F1010" s="30" t="str">
        <f t="shared" si="16"/>
        <v xml:space="preserve"> </v>
      </c>
    </row>
    <row r="1011" spans="1:6" ht="22.7" customHeight="1">
      <c r="A1011" s="28"/>
      <c r="B1011" s="29" t="str">
        <f>IFERROR(VLOOKUP(A1011,Tabla1[],2,0)," ")</f>
        <v xml:space="preserve"> </v>
      </c>
      <c r="C1011" s="29" t="str">
        <f>IFERROR(VLOOKUP(A1011,Tabla1[],6,0)," ")</f>
        <v xml:space="preserve"> </v>
      </c>
      <c r="D1011" s="30" t="str">
        <f>IFERROR(VLOOKUP(A1011,Tabla1[],8,0)," ")</f>
        <v xml:space="preserve"> </v>
      </c>
      <c r="E1011" s="31"/>
      <c r="F1011" s="30" t="str">
        <f t="shared" si="16"/>
        <v xml:space="preserve"> </v>
      </c>
    </row>
    <row r="1012" spans="1:6" ht="22.7" customHeight="1">
      <c r="A1012" s="28"/>
      <c r="B1012" s="29" t="str">
        <f>IFERROR(VLOOKUP(A1012,Tabla1[],2,0)," ")</f>
        <v xml:space="preserve"> </v>
      </c>
      <c r="C1012" s="29" t="str">
        <f>IFERROR(VLOOKUP(A1012,Tabla1[],6,0)," ")</f>
        <v xml:space="preserve"> </v>
      </c>
      <c r="D1012" s="30" t="str">
        <f>IFERROR(VLOOKUP(A1012,Tabla1[],8,0)," ")</f>
        <v xml:space="preserve"> </v>
      </c>
      <c r="E1012" s="31"/>
      <c r="F1012" s="30" t="str">
        <f t="shared" si="16"/>
        <v xml:space="preserve"> </v>
      </c>
    </row>
    <row r="1013" spans="1:6" ht="22.7" customHeight="1">
      <c r="A1013" s="28"/>
      <c r="B1013" s="29" t="str">
        <f>IFERROR(VLOOKUP(A1013,Tabla1[],2,0)," ")</f>
        <v xml:space="preserve"> </v>
      </c>
      <c r="C1013" s="29" t="str">
        <f>IFERROR(VLOOKUP(A1013,Tabla1[],6,0)," ")</f>
        <v xml:space="preserve"> </v>
      </c>
      <c r="D1013" s="30" t="str">
        <f>IFERROR(VLOOKUP(A1013,Tabla1[],8,0)," ")</f>
        <v xml:space="preserve"> </v>
      </c>
      <c r="E1013" s="31"/>
      <c r="F1013" s="30" t="str">
        <f t="shared" si="16"/>
        <v xml:space="preserve"> </v>
      </c>
    </row>
    <row r="1014" spans="1:6" ht="22.7" customHeight="1">
      <c r="A1014" s="28"/>
      <c r="B1014" s="29" t="str">
        <f>IFERROR(VLOOKUP(A1014,Tabla1[],2,0)," ")</f>
        <v xml:space="preserve"> </v>
      </c>
      <c r="C1014" s="29" t="str">
        <f>IFERROR(VLOOKUP(A1014,Tabla1[],6,0)," ")</f>
        <v xml:space="preserve"> </v>
      </c>
      <c r="D1014" s="30" t="str">
        <f>IFERROR(VLOOKUP(A1014,Tabla1[],8,0)," ")</f>
        <v xml:space="preserve"> </v>
      </c>
      <c r="E1014" s="31"/>
      <c r="F1014" s="30" t="str">
        <f t="shared" si="16"/>
        <v xml:space="preserve"> </v>
      </c>
    </row>
    <row r="1015" spans="1:6" ht="22.7" customHeight="1">
      <c r="A1015" s="28"/>
      <c r="B1015" s="29" t="str">
        <f>IFERROR(VLOOKUP(A1015,Tabla1[],2,0)," ")</f>
        <v xml:space="preserve"> </v>
      </c>
      <c r="C1015" s="29" t="str">
        <f>IFERROR(VLOOKUP(A1015,Tabla1[],6,0)," ")</f>
        <v xml:space="preserve"> </v>
      </c>
      <c r="D1015" s="30" t="str">
        <f>IFERROR(VLOOKUP(A1015,Tabla1[],8,0)," ")</f>
        <v xml:space="preserve"> </v>
      </c>
      <c r="E1015" s="31"/>
      <c r="F1015" s="30" t="str">
        <f t="shared" si="16"/>
        <v xml:space="preserve"> </v>
      </c>
    </row>
    <row r="1016" spans="1:6" ht="22.7" customHeight="1">
      <c r="A1016" s="28"/>
      <c r="B1016" s="29" t="str">
        <f>IFERROR(VLOOKUP(A1016,Tabla1[],2,0)," ")</f>
        <v xml:space="preserve"> </v>
      </c>
      <c r="C1016" s="29" t="str">
        <f>IFERROR(VLOOKUP(A1016,Tabla1[],6,0)," ")</f>
        <v xml:space="preserve"> </v>
      </c>
      <c r="D1016" s="30" t="str">
        <f>IFERROR(VLOOKUP(A1016,Tabla1[],8,0)," ")</f>
        <v xml:space="preserve"> </v>
      </c>
      <c r="E1016" s="31"/>
      <c r="F1016" s="30" t="str">
        <f t="shared" si="16"/>
        <v xml:space="preserve"> </v>
      </c>
    </row>
    <row r="1017" spans="1:6" ht="22.7" customHeight="1">
      <c r="A1017" s="28"/>
      <c r="B1017" s="29" t="str">
        <f>IFERROR(VLOOKUP(A1017,Tabla1[],2,0)," ")</f>
        <v xml:space="preserve"> </v>
      </c>
      <c r="C1017" s="29" t="str">
        <f>IFERROR(VLOOKUP(A1017,Tabla1[],6,0)," ")</f>
        <v xml:space="preserve"> </v>
      </c>
      <c r="D1017" s="30" t="str">
        <f>IFERROR(VLOOKUP(A1017,Tabla1[],8,0)," ")</f>
        <v xml:space="preserve"> </v>
      </c>
      <c r="E1017" s="31"/>
      <c r="F1017" s="30" t="str">
        <f t="shared" si="16"/>
        <v xml:space="preserve"> </v>
      </c>
    </row>
    <row r="1018" spans="1:6" ht="22.7" customHeight="1">
      <c r="A1018" s="28"/>
      <c r="B1018" s="29" t="str">
        <f>IFERROR(VLOOKUP(A1018,Tabla1[],2,0)," ")</f>
        <v xml:space="preserve"> </v>
      </c>
      <c r="C1018" s="29" t="str">
        <f>IFERROR(VLOOKUP(A1018,Tabla1[],6,0)," ")</f>
        <v xml:space="preserve"> </v>
      </c>
      <c r="D1018" s="30" t="str">
        <f>IFERROR(VLOOKUP(A1018,Tabla1[],8,0)," ")</f>
        <v xml:space="preserve"> </v>
      </c>
      <c r="E1018" s="31"/>
      <c r="F1018" s="30" t="str">
        <f t="shared" si="16"/>
        <v xml:space="preserve"> </v>
      </c>
    </row>
    <row r="1019" spans="1:6" ht="22.7" customHeight="1">
      <c r="A1019" s="28"/>
      <c r="B1019" s="29" t="str">
        <f>IFERROR(VLOOKUP(A1019,Tabla1[],2,0)," ")</f>
        <v xml:space="preserve"> </v>
      </c>
      <c r="C1019" s="29" t="str">
        <f>IFERROR(VLOOKUP(A1019,Tabla1[],6,0)," ")</f>
        <v xml:space="preserve"> </v>
      </c>
      <c r="D1019" s="30" t="str">
        <f>IFERROR(VLOOKUP(A1019,Tabla1[],8,0)," ")</f>
        <v xml:space="preserve"> </v>
      </c>
      <c r="E1019" s="31"/>
      <c r="F1019" s="30" t="str">
        <f t="shared" si="16"/>
        <v xml:space="preserve"> </v>
      </c>
    </row>
    <row r="1020" spans="1:6" ht="22.7" customHeight="1">
      <c r="A1020" s="28"/>
      <c r="B1020" s="29" t="str">
        <f>IFERROR(VLOOKUP(A1020,Tabla1[],2,0)," ")</f>
        <v xml:space="preserve"> </v>
      </c>
      <c r="C1020" s="29" t="str">
        <f>IFERROR(VLOOKUP(A1020,Tabla1[],6,0)," ")</f>
        <v xml:space="preserve"> </v>
      </c>
      <c r="D1020" s="30" t="str">
        <f>IFERROR(VLOOKUP(A1020,Tabla1[],8,0)," ")</f>
        <v xml:space="preserve"> </v>
      </c>
      <c r="E1020" s="31"/>
      <c r="F1020" s="30" t="str">
        <f t="shared" si="16"/>
        <v xml:space="preserve"> </v>
      </c>
    </row>
    <row r="1021" spans="1:6" ht="22.7" customHeight="1">
      <c r="A1021" s="28"/>
      <c r="B1021" s="29" t="str">
        <f>IFERROR(VLOOKUP(A1021,Tabla1[],2,0)," ")</f>
        <v xml:space="preserve"> </v>
      </c>
      <c r="C1021" s="29" t="str">
        <f>IFERROR(VLOOKUP(A1021,Tabla1[],6,0)," ")</f>
        <v xml:space="preserve"> </v>
      </c>
      <c r="D1021" s="30" t="str">
        <f>IFERROR(VLOOKUP(A1021,Tabla1[],8,0)," ")</f>
        <v xml:space="preserve"> </v>
      </c>
      <c r="E1021" s="31"/>
      <c r="F1021" s="30" t="str">
        <f t="shared" si="16"/>
        <v xml:space="preserve"> </v>
      </c>
    </row>
    <row r="1022" spans="1:6" ht="22.7" customHeight="1">
      <c r="A1022" s="28"/>
      <c r="B1022" s="29" t="str">
        <f>IFERROR(VLOOKUP(A1022,Tabla1[],2,0)," ")</f>
        <v xml:space="preserve"> </v>
      </c>
      <c r="C1022" s="29" t="str">
        <f>IFERROR(VLOOKUP(A1022,Tabla1[],6,0)," ")</f>
        <v xml:space="preserve"> </v>
      </c>
      <c r="D1022" s="30" t="str">
        <f>IFERROR(VLOOKUP(A1022,Tabla1[],8,0)," ")</f>
        <v xml:space="preserve"> </v>
      </c>
      <c r="E1022" s="31"/>
      <c r="F1022" s="30" t="str">
        <f t="shared" si="16"/>
        <v xml:space="preserve"> </v>
      </c>
    </row>
    <row r="1023" spans="1:6" ht="22.7" customHeight="1">
      <c r="A1023" s="28"/>
      <c r="B1023" s="29" t="str">
        <f>IFERROR(VLOOKUP(A1023,Tabla1[],2,0)," ")</f>
        <v xml:space="preserve"> </v>
      </c>
      <c r="C1023" s="29" t="str">
        <f>IFERROR(VLOOKUP(A1023,Tabla1[],6,0)," ")</f>
        <v xml:space="preserve"> </v>
      </c>
      <c r="D1023" s="30" t="str">
        <f>IFERROR(VLOOKUP(A1023,Tabla1[],8,0)," ")</f>
        <v xml:space="preserve"> </v>
      </c>
      <c r="E1023" s="31"/>
      <c r="F1023" s="30" t="str">
        <f t="shared" si="16"/>
        <v xml:space="preserve"> </v>
      </c>
    </row>
    <row r="1024" spans="1:6" ht="22.7" customHeight="1">
      <c r="A1024" s="28"/>
      <c r="B1024" s="29" t="str">
        <f>IFERROR(VLOOKUP(A1024,Tabla1[],2,0)," ")</f>
        <v xml:space="preserve"> </v>
      </c>
      <c r="C1024" s="29" t="str">
        <f>IFERROR(VLOOKUP(A1024,Tabla1[],6,0)," ")</f>
        <v xml:space="preserve"> </v>
      </c>
      <c r="D1024" s="30" t="str">
        <f>IFERROR(VLOOKUP(A1024,Tabla1[],8,0)," ")</f>
        <v xml:space="preserve"> </v>
      </c>
      <c r="E1024" s="31"/>
      <c r="F1024" s="30" t="str">
        <f t="shared" si="16"/>
        <v xml:space="preserve"> </v>
      </c>
    </row>
    <row r="1025" spans="1:6" ht="22.7" customHeight="1">
      <c r="A1025" s="28"/>
      <c r="B1025" s="29" t="str">
        <f>IFERROR(VLOOKUP(A1025,Tabla1[],2,0)," ")</f>
        <v xml:space="preserve"> </v>
      </c>
      <c r="C1025" s="29" t="str">
        <f>IFERROR(VLOOKUP(A1025,Tabla1[],6,0)," ")</f>
        <v xml:space="preserve"> </v>
      </c>
      <c r="D1025" s="30" t="str">
        <f>IFERROR(VLOOKUP(A1025,Tabla1[],8,0)," ")</f>
        <v xml:space="preserve"> </v>
      </c>
      <c r="E1025" s="31"/>
      <c r="F1025" s="30" t="str">
        <f t="shared" si="16"/>
        <v xml:space="preserve"> </v>
      </c>
    </row>
    <row r="1026" spans="1:6" ht="22.7" customHeight="1">
      <c r="A1026" s="28"/>
      <c r="B1026" s="29" t="str">
        <f>IFERROR(VLOOKUP(A1026,Tabla1[],2,0)," ")</f>
        <v xml:space="preserve"> </v>
      </c>
      <c r="C1026" s="29" t="str">
        <f>IFERROR(VLOOKUP(A1026,Tabla1[],6,0)," ")</f>
        <v xml:space="preserve"> </v>
      </c>
      <c r="D1026" s="30" t="str">
        <f>IFERROR(VLOOKUP(A1026,Tabla1[],8,0)," ")</f>
        <v xml:space="preserve"> </v>
      </c>
      <c r="E1026" s="31"/>
      <c r="F1026" s="30" t="str">
        <f t="shared" si="16"/>
        <v xml:space="preserve"> </v>
      </c>
    </row>
    <row r="1027" spans="1:6" ht="22.7" customHeight="1">
      <c r="A1027" s="28"/>
      <c r="B1027" s="29" t="str">
        <f>IFERROR(VLOOKUP(A1027,Tabla1[],2,0)," ")</f>
        <v xml:space="preserve"> </v>
      </c>
      <c r="C1027" s="29" t="str">
        <f>IFERROR(VLOOKUP(A1027,Tabla1[],6,0)," ")</f>
        <v xml:space="preserve"> </v>
      </c>
      <c r="D1027" s="30" t="str">
        <f>IFERROR(VLOOKUP(A1027,Tabla1[],8,0)," ")</f>
        <v xml:space="preserve"> </v>
      </c>
      <c r="E1027" s="31"/>
      <c r="F1027" s="30" t="str">
        <f t="shared" si="16"/>
        <v xml:space="preserve"> </v>
      </c>
    </row>
    <row r="1028" spans="1:6" ht="22.7" customHeight="1">
      <c r="A1028" s="28"/>
      <c r="B1028" s="29" t="str">
        <f>IFERROR(VLOOKUP(A1028,Tabla1[],2,0)," ")</f>
        <v xml:space="preserve"> </v>
      </c>
      <c r="C1028" s="29" t="str">
        <f>IFERROR(VLOOKUP(A1028,Tabla1[],6,0)," ")</f>
        <v xml:space="preserve"> </v>
      </c>
      <c r="D1028" s="30" t="str">
        <f>IFERROR(VLOOKUP(A1028,Tabla1[],8,0)," ")</f>
        <v xml:space="preserve"> </v>
      </c>
      <c r="E1028" s="31"/>
      <c r="F1028" s="30" t="str">
        <f t="shared" ref="F1028:F1091" si="17">IFERROR((E1028*D1028), " ")</f>
        <v xml:space="preserve"> </v>
      </c>
    </row>
    <row r="1029" spans="1:6" ht="22.7" customHeight="1">
      <c r="A1029" s="28"/>
      <c r="B1029" s="29" t="str">
        <f>IFERROR(VLOOKUP(A1029,Tabla1[],2,0)," ")</f>
        <v xml:space="preserve"> </v>
      </c>
      <c r="C1029" s="29" t="str">
        <f>IFERROR(VLOOKUP(A1029,Tabla1[],6,0)," ")</f>
        <v xml:space="preserve"> </v>
      </c>
      <c r="D1029" s="30" t="str">
        <f>IFERROR(VLOOKUP(A1029,Tabla1[],8,0)," ")</f>
        <v xml:space="preserve"> </v>
      </c>
      <c r="E1029" s="31"/>
      <c r="F1029" s="30" t="str">
        <f t="shared" si="17"/>
        <v xml:space="preserve"> </v>
      </c>
    </row>
    <row r="1030" spans="1:6" ht="22.7" customHeight="1">
      <c r="A1030" s="28"/>
      <c r="B1030" s="29" t="str">
        <f>IFERROR(VLOOKUP(A1030,Tabla1[],2,0)," ")</f>
        <v xml:space="preserve"> </v>
      </c>
      <c r="C1030" s="29" t="str">
        <f>IFERROR(VLOOKUP(A1030,Tabla1[],6,0)," ")</f>
        <v xml:space="preserve"> </v>
      </c>
      <c r="D1030" s="30" t="str">
        <f>IFERROR(VLOOKUP(A1030,Tabla1[],8,0)," ")</f>
        <v xml:space="preserve"> </v>
      </c>
      <c r="E1030" s="31"/>
      <c r="F1030" s="30" t="str">
        <f t="shared" si="17"/>
        <v xml:space="preserve"> </v>
      </c>
    </row>
    <row r="1031" spans="1:6" ht="22.7" customHeight="1">
      <c r="A1031" s="28"/>
      <c r="B1031" s="29" t="str">
        <f>IFERROR(VLOOKUP(A1031,Tabla1[],2,0)," ")</f>
        <v xml:space="preserve"> </v>
      </c>
      <c r="C1031" s="29" t="str">
        <f>IFERROR(VLOOKUP(A1031,Tabla1[],6,0)," ")</f>
        <v xml:space="preserve"> </v>
      </c>
      <c r="D1031" s="30" t="str">
        <f>IFERROR(VLOOKUP(A1031,Tabla1[],8,0)," ")</f>
        <v xml:space="preserve"> </v>
      </c>
      <c r="E1031" s="31"/>
      <c r="F1031" s="30" t="str">
        <f t="shared" si="17"/>
        <v xml:space="preserve"> </v>
      </c>
    </row>
    <row r="1032" spans="1:6" ht="22.7" customHeight="1">
      <c r="A1032" s="28"/>
      <c r="B1032" s="29" t="str">
        <f>IFERROR(VLOOKUP(A1032,Tabla1[],2,0)," ")</f>
        <v xml:space="preserve"> </v>
      </c>
      <c r="C1032" s="29" t="str">
        <f>IFERROR(VLOOKUP(A1032,Tabla1[],6,0)," ")</f>
        <v xml:space="preserve"> </v>
      </c>
      <c r="D1032" s="30" t="str">
        <f>IFERROR(VLOOKUP(A1032,Tabla1[],8,0)," ")</f>
        <v xml:space="preserve"> </v>
      </c>
      <c r="E1032" s="31"/>
      <c r="F1032" s="30" t="str">
        <f t="shared" si="17"/>
        <v xml:space="preserve"> </v>
      </c>
    </row>
    <row r="1033" spans="1:6" ht="22.7" customHeight="1">
      <c r="A1033" s="28"/>
      <c r="B1033" s="29" t="str">
        <f>IFERROR(VLOOKUP(A1033,Tabla1[],2,0)," ")</f>
        <v xml:space="preserve"> </v>
      </c>
      <c r="C1033" s="29" t="str">
        <f>IFERROR(VLOOKUP(A1033,Tabla1[],6,0)," ")</f>
        <v xml:space="preserve"> </v>
      </c>
      <c r="D1033" s="30" t="str">
        <f>IFERROR(VLOOKUP(A1033,Tabla1[],8,0)," ")</f>
        <v xml:space="preserve"> </v>
      </c>
      <c r="E1033" s="31"/>
      <c r="F1033" s="30" t="str">
        <f t="shared" si="17"/>
        <v xml:space="preserve"> </v>
      </c>
    </row>
    <row r="1034" spans="1:6" ht="22.7" customHeight="1">
      <c r="A1034" s="28"/>
      <c r="B1034" s="29" t="str">
        <f>IFERROR(VLOOKUP(A1034,Tabla1[],2,0)," ")</f>
        <v xml:space="preserve"> </v>
      </c>
      <c r="C1034" s="29" t="str">
        <f>IFERROR(VLOOKUP(A1034,Tabla1[],6,0)," ")</f>
        <v xml:space="preserve"> </v>
      </c>
      <c r="D1034" s="30" t="str">
        <f>IFERROR(VLOOKUP(A1034,Tabla1[],8,0)," ")</f>
        <v xml:space="preserve"> </v>
      </c>
      <c r="E1034" s="31"/>
      <c r="F1034" s="30" t="str">
        <f t="shared" si="17"/>
        <v xml:space="preserve"> </v>
      </c>
    </row>
    <row r="1035" spans="1:6" ht="22.7" customHeight="1">
      <c r="A1035" s="28"/>
      <c r="B1035" s="29" t="str">
        <f>IFERROR(VLOOKUP(A1035,Tabla1[],2,0)," ")</f>
        <v xml:space="preserve"> </v>
      </c>
      <c r="C1035" s="29" t="str">
        <f>IFERROR(VLOOKUP(A1035,Tabla1[],6,0)," ")</f>
        <v xml:space="preserve"> </v>
      </c>
      <c r="D1035" s="30" t="str">
        <f>IFERROR(VLOOKUP(A1035,Tabla1[],8,0)," ")</f>
        <v xml:space="preserve"> </v>
      </c>
      <c r="E1035" s="31"/>
      <c r="F1035" s="30" t="str">
        <f t="shared" si="17"/>
        <v xml:space="preserve"> </v>
      </c>
    </row>
    <row r="1036" spans="1:6" ht="22.7" customHeight="1">
      <c r="A1036" s="28"/>
      <c r="B1036" s="29" t="str">
        <f>IFERROR(VLOOKUP(A1036,Tabla1[],2,0)," ")</f>
        <v xml:space="preserve"> </v>
      </c>
      <c r="C1036" s="29" t="str">
        <f>IFERROR(VLOOKUP(A1036,Tabla1[],6,0)," ")</f>
        <v xml:space="preserve"> </v>
      </c>
      <c r="D1036" s="30" t="str">
        <f>IFERROR(VLOOKUP(A1036,Tabla1[],8,0)," ")</f>
        <v xml:space="preserve"> </v>
      </c>
      <c r="E1036" s="31"/>
      <c r="F1036" s="30" t="str">
        <f t="shared" si="17"/>
        <v xml:space="preserve"> </v>
      </c>
    </row>
    <row r="1037" spans="1:6" ht="22.7" customHeight="1">
      <c r="A1037" s="28"/>
      <c r="B1037" s="29" t="str">
        <f>IFERROR(VLOOKUP(A1037,Tabla1[],2,0)," ")</f>
        <v xml:space="preserve"> </v>
      </c>
      <c r="C1037" s="29" t="str">
        <f>IFERROR(VLOOKUP(A1037,Tabla1[],6,0)," ")</f>
        <v xml:space="preserve"> </v>
      </c>
      <c r="D1037" s="30" t="str">
        <f>IFERROR(VLOOKUP(A1037,Tabla1[],8,0)," ")</f>
        <v xml:space="preserve"> </v>
      </c>
      <c r="E1037" s="31"/>
      <c r="F1037" s="30" t="str">
        <f t="shared" si="17"/>
        <v xml:space="preserve"> </v>
      </c>
    </row>
    <row r="1038" spans="1:6" ht="22.7" customHeight="1">
      <c r="A1038" s="28"/>
      <c r="B1038" s="29" t="str">
        <f>IFERROR(VLOOKUP(A1038,Tabla1[],2,0)," ")</f>
        <v xml:space="preserve"> </v>
      </c>
      <c r="C1038" s="29" t="str">
        <f>IFERROR(VLOOKUP(A1038,Tabla1[],6,0)," ")</f>
        <v xml:space="preserve"> </v>
      </c>
      <c r="D1038" s="30" t="str">
        <f>IFERROR(VLOOKUP(A1038,Tabla1[],8,0)," ")</f>
        <v xml:space="preserve"> </v>
      </c>
      <c r="E1038" s="31"/>
      <c r="F1038" s="30" t="str">
        <f t="shared" si="17"/>
        <v xml:space="preserve"> </v>
      </c>
    </row>
    <row r="1039" spans="1:6" ht="22.7" customHeight="1">
      <c r="A1039" s="28"/>
      <c r="B1039" s="29" t="str">
        <f>IFERROR(VLOOKUP(A1039,Tabla1[],2,0)," ")</f>
        <v xml:space="preserve"> </v>
      </c>
      <c r="C1039" s="29" t="str">
        <f>IFERROR(VLOOKUP(A1039,Tabla1[],6,0)," ")</f>
        <v xml:space="preserve"> </v>
      </c>
      <c r="D1039" s="30" t="str">
        <f>IFERROR(VLOOKUP(A1039,Tabla1[],8,0)," ")</f>
        <v xml:space="preserve"> </v>
      </c>
      <c r="E1039" s="31"/>
      <c r="F1039" s="30" t="str">
        <f t="shared" si="17"/>
        <v xml:space="preserve"> </v>
      </c>
    </row>
    <row r="1040" spans="1:6" ht="22.7" customHeight="1">
      <c r="A1040" s="28"/>
      <c r="B1040" s="29" t="str">
        <f>IFERROR(VLOOKUP(A1040,Tabla1[],2,0)," ")</f>
        <v xml:space="preserve"> </v>
      </c>
      <c r="C1040" s="29" t="str">
        <f>IFERROR(VLOOKUP(A1040,Tabla1[],6,0)," ")</f>
        <v xml:space="preserve"> </v>
      </c>
      <c r="D1040" s="30" t="str">
        <f>IFERROR(VLOOKUP(A1040,Tabla1[],8,0)," ")</f>
        <v xml:space="preserve"> </v>
      </c>
      <c r="E1040" s="31"/>
      <c r="F1040" s="30" t="str">
        <f t="shared" si="17"/>
        <v xml:space="preserve"> </v>
      </c>
    </row>
    <row r="1041" spans="1:6" ht="22.7" customHeight="1">
      <c r="A1041" s="28"/>
      <c r="B1041" s="29" t="str">
        <f>IFERROR(VLOOKUP(A1041,Tabla1[],2,0)," ")</f>
        <v xml:space="preserve"> </v>
      </c>
      <c r="C1041" s="29" t="str">
        <f>IFERROR(VLOOKUP(A1041,Tabla1[],6,0)," ")</f>
        <v xml:space="preserve"> </v>
      </c>
      <c r="D1041" s="30" t="str">
        <f>IFERROR(VLOOKUP(A1041,Tabla1[],8,0)," ")</f>
        <v xml:space="preserve"> </v>
      </c>
      <c r="E1041" s="31"/>
      <c r="F1041" s="30" t="str">
        <f t="shared" si="17"/>
        <v xml:space="preserve"> </v>
      </c>
    </row>
    <row r="1042" spans="1:6" ht="22.7" customHeight="1">
      <c r="A1042" s="28"/>
      <c r="B1042" s="29" t="str">
        <f>IFERROR(VLOOKUP(A1042,Tabla1[],2,0)," ")</f>
        <v xml:space="preserve"> </v>
      </c>
      <c r="C1042" s="29" t="str">
        <f>IFERROR(VLOOKUP(A1042,Tabla1[],6,0)," ")</f>
        <v xml:space="preserve"> </v>
      </c>
      <c r="D1042" s="30" t="str">
        <f>IFERROR(VLOOKUP(A1042,Tabla1[],8,0)," ")</f>
        <v xml:space="preserve"> </v>
      </c>
      <c r="E1042" s="31"/>
      <c r="F1042" s="30" t="str">
        <f t="shared" si="17"/>
        <v xml:space="preserve"> </v>
      </c>
    </row>
    <row r="1043" spans="1:6" ht="22.7" customHeight="1">
      <c r="A1043" s="28"/>
      <c r="B1043" s="29" t="str">
        <f>IFERROR(VLOOKUP(A1043,Tabla1[],2,0)," ")</f>
        <v xml:space="preserve"> </v>
      </c>
      <c r="C1043" s="29" t="str">
        <f>IFERROR(VLOOKUP(A1043,Tabla1[],6,0)," ")</f>
        <v xml:space="preserve"> </v>
      </c>
      <c r="D1043" s="30" t="str">
        <f>IFERROR(VLOOKUP(A1043,Tabla1[],8,0)," ")</f>
        <v xml:space="preserve"> </v>
      </c>
      <c r="E1043" s="31"/>
      <c r="F1043" s="30" t="str">
        <f t="shared" si="17"/>
        <v xml:space="preserve"> </v>
      </c>
    </row>
    <row r="1044" spans="1:6" ht="22.7" customHeight="1">
      <c r="A1044" s="28"/>
      <c r="B1044" s="29" t="str">
        <f>IFERROR(VLOOKUP(A1044,Tabla1[],2,0)," ")</f>
        <v xml:space="preserve"> </v>
      </c>
      <c r="C1044" s="29" t="str">
        <f>IFERROR(VLOOKUP(A1044,Tabla1[],6,0)," ")</f>
        <v xml:space="preserve"> </v>
      </c>
      <c r="D1044" s="30" t="str">
        <f>IFERROR(VLOOKUP(A1044,Tabla1[],8,0)," ")</f>
        <v xml:space="preserve"> </v>
      </c>
      <c r="E1044" s="31"/>
      <c r="F1044" s="30" t="str">
        <f t="shared" si="17"/>
        <v xml:space="preserve"> </v>
      </c>
    </row>
    <row r="1045" spans="1:6" ht="22.7" customHeight="1">
      <c r="A1045" s="28"/>
      <c r="B1045" s="29" t="str">
        <f>IFERROR(VLOOKUP(A1045,Tabla1[],2,0)," ")</f>
        <v xml:space="preserve"> </v>
      </c>
      <c r="C1045" s="29" t="str">
        <f>IFERROR(VLOOKUP(A1045,Tabla1[],6,0)," ")</f>
        <v xml:space="preserve"> </v>
      </c>
      <c r="D1045" s="30" t="str">
        <f>IFERROR(VLOOKUP(A1045,Tabla1[],8,0)," ")</f>
        <v xml:space="preserve"> </v>
      </c>
      <c r="E1045" s="31"/>
      <c r="F1045" s="30" t="str">
        <f t="shared" si="17"/>
        <v xml:space="preserve"> </v>
      </c>
    </row>
    <row r="1046" spans="1:6" ht="22.7" customHeight="1">
      <c r="A1046" s="28"/>
      <c r="B1046" s="29" t="str">
        <f>IFERROR(VLOOKUP(A1046,Tabla1[],2,0)," ")</f>
        <v xml:space="preserve"> </v>
      </c>
      <c r="C1046" s="29" t="str">
        <f>IFERROR(VLOOKUP(A1046,Tabla1[],6,0)," ")</f>
        <v xml:space="preserve"> </v>
      </c>
      <c r="D1046" s="30" t="str">
        <f>IFERROR(VLOOKUP(A1046,Tabla1[],8,0)," ")</f>
        <v xml:space="preserve"> </v>
      </c>
      <c r="E1046" s="31"/>
      <c r="F1046" s="30" t="str">
        <f t="shared" si="17"/>
        <v xml:space="preserve"> </v>
      </c>
    </row>
    <row r="1047" spans="1:6" ht="22.7" customHeight="1">
      <c r="A1047" s="28"/>
      <c r="B1047" s="29" t="str">
        <f>IFERROR(VLOOKUP(A1047,Tabla1[],2,0)," ")</f>
        <v xml:space="preserve"> </v>
      </c>
      <c r="C1047" s="29" t="str">
        <f>IFERROR(VLOOKUP(A1047,Tabla1[],6,0)," ")</f>
        <v xml:space="preserve"> </v>
      </c>
      <c r="D1047" s="30" t="str">
        <f>IFERROR(VLOOKUP(A1047,Tabla1[],8,0)," ")</f>
        <v xml:space="preserve"> </v>
      </c>
      <c r="E1047" s="31"/>
      <c r="F1047" s="30" t="str">
        <f t="shared" si="17"/>
        <v xml:space="preserve"> </v>
      </c>
    </row>
    <row r="1048" spans="1:6" ht="22.7" customHeight="1">
      <c r="A1048" s="28"/>
      <c r="B1048" s="29" t="str">
        <f>IFERROR(VLOOKUP(A1048,Tabla1[],2,0)," ")</f>
        <v xml:space="preserve"> </v>
      </c>
      <c r="C1048" s="29" t="str">
        <f>IFERROR(VLOOKUP(A1048,Tabla1[],6,0)," ")</f>
        <v xml:space="preserve"> </v>
      </c>
      <c r="D1048" s="30" t="str">
        <f>IFERROR(VLOOKUP(A1048,Tabla1[],8,0)," ")</f>
        <v xml:space="preserve"> </v>
      </c>
      <c r="E1048" s="31"/>
      <c r="F1048" s="30" t="str">
        <f t="shared" si="17"/>
        <v xml:space="preserve"> </v>
      </c>
    </row>
    <row r="1049" spans="1:6" ht="22.7" customHeight="1">
      <c r="A1049" s="28"/>
      <c r="B1049" s="29" t="str">
        <f>IFERROR(VLOOKUP(A1049,Tabla1[],2,0)," ")</f>
        <v xml:space="preserve"> </v>
      </c>
      <c r="C1049" s="29" t="str">
        <f>IFERROR(VLOOKUP(A1049,Tabla1[],6,0)," ")</f>
        <v xml:space="preserve"> </v>
      </c>
      <c r="D1049" s="30" t="str">
        <f>IFERROR(VLOOKUP(A1049,Tabla1[],8,0)," ")</f>
        <v xml:space="preserve"> </v>
      </c>
      <c r="E1049" s="31"/>
      <c r="F1049" s="30" t="str">
        <f t="shared" si="17"/>
        <v xml:space="preserve"> </v>
      </c>
    </row>
    <row r="1050" spans="1:6" ht="22.7" customHeight="1">
      <c r="A1050" s="28"/>
      <c r="B1050" s="29" t="str">
        <f>IFERROR(VLOOKUP(A1050,Tabla1[],2,0)," ")</f>
        <v xml:space="preserve"> </v>
      </c>
      <c r="C1050" s="29" t="str">
        <f>IFERROR(VLOOKUP(A1050,Tabla1[],6,0)," ")</f>
        <v xml:space="preserve"> </v>
      </c>
      <c r="D1050" s="30" t="str">
        <f>IFERROR(VLOOKUP(A1050,Tabla1[],8,0)," ")</f>
        <v xml:space="preserve"> </v>
      </c>
      <c r="E1050" s="31"/>
      <c r="F1050" s="30" t="str">
        <f t="shared" si="17"/>
        <v xml:space="preserve"> </v>
      </c>
    </row>
    <row r="1051" spans="1:6" ht="22.7" customHeight="1">
      <c r="A1051" s="28"/>
      <c r="B1051" s="29" t="str">
        <f>IFERROR(VLOOKUP(A1051,Tabla1[],2,0)," ")</f>
        <v xml:space="preserve"> </v>
      </c>
      <c r="C1051" s="29" t="str">
        <f>IFERROR(VLOOKUP(A1051,Tabla1[],6,0)," ")</f>
        <v xml:space="preserve"> </v>
      </c>
      <c r="D1051" s="30" t="str">
        <f>IFERROR(VLOOKUP(A1051,Tabla1[],8,0)," ")</f>
        <v xml:space="preserve"> </v>
      </c>
      <c r="E1051" s="31"/>
      <c r="F1051" s="30" t="str">
        <f t="shared" si="17"/>
        <v xml:space="preserve"> </v>
      </c>
    </row>
    <row r="1052" spans="1:6" ht="22.7" customHeight="1">
      <c r="A1052" s="28"/>
      <c r="B1052" s="29" t="str">
        <f>IFERROR(VLOOKUP(A1052,Tabla1[],2,0)," ")</f>
        <v xml:space="preserve"> </v>
      </c>
      <c r="C1052" s="29" t="str">
        <f>IFERROR(VLOOKUP(A1052,Tabla1[],6,0)," ")</f>
        <v xml:space="preserve"> </v>
      </c>
      <c r="D1052" s="30" t="str">
        <f>IFERROR(VLOOKUP(A1052,Tabla1[],8,0)," ")</f>
        <v xml:space="preserve"> </v>
      </c>
      <c r="E1052" s="31"/>
      <c r="F1052" s="30" t="str">
        <f t="shared" si="17"/>
        <v xml:space="preserve"> </v>
      </c>
    </row>
    <row r="1053" spans="1:6" ht="22.7" customHeight="1">
      <c r="A1053" s="28"/>
      <c r="B1053" s="29" t="str">
        <f>IFERROR(VLOOKUP(A1053,Tabla1[],2,0)," ")</f>
        <v xml:space="preserve"> </v>
      </c>
      <c r="C1053" s="29" t="str">
        <f>IFERROR(VLOOKUP(A1053,Tabla1[],6,0)," ")</f>
        <v xml:space="preserve"> </v>
      </c>
      <c r="D1053" s="30" t="str">
        <f>IFERROR(VLOOKUP(A1053,Tabla1[],8,0)," ")</f>
        <v xml:space="preserve"> </v>
      </c>
      <c r="E1053" s="31"/>
      <c r="F1053" s="30" t="str">
        <f t="shared" si="17"/>
        <v xml:space="preserve"> </v>
      </c>
    </row>
    <row r="1054" spans="1:6" ht="22.7" customHeight="1">
      <c r="A1054" s="28"/>
      <c r="B1054" s="29" t="str">
        <f>IFERROR(VLOOKUP(A1054,Tabla1[],2,0)," ")</f>
        <v xml:space="preserve"> </v>
      </c>
      <c r="C1054" s="29" t="str">
        <f>IFERROR(VLOOKUP(A1054,Tabla1[],6,0)," ")</f>
        <v xml:space="preserve"> </v>
      </c>
      <c r="D1054" s="30" t="str">
        <f>IFERROR(VLOOKUP(A1054,Tabla1[],8,0)," ")</f>
        <v xml:space="preserve"> </v>
      </c>
      <c r="E1054" s="31"/>
      <c r="F1054" s="30" t="str">
        <f t="shared" si="17"/>
        <v xml:space="preserve"> </v>
      </c>
    </row>
    <row r="1055" spans="1:6" ht="22.7" customHeight="1">
      <c r="A1055" s="28"/>
      <c r="B1055" s="29" t="str">
        <f>IFERROR(VLOOKUP(A1055,Tabla1[],2,0)," ")</f>
        <v xml:space="preserve"> </v>
      </c>
      <c r="C1055" s="29" t="str">
        <f>IFERROR(VLOOKUP(A1055,Tabla1[],6,0)," ")</f>
        <v xml:space="preserve"> </v>
      </c>
      <c r="D1055" s="30" t="str">
        <f>IFERROR(VLOOKUP(A1055,Tabla1[],8,0)," ")</f>
        <v xml:space="preserve"> </v>
      </c>
      <c r="E1055" s="31"/>
      <c r="F1055" s="30" t="str">
        <f t="shared" si="17"/>
        <v xml:space="preserve"> </v>
      </c>
    </row>
    <row r="1056" spans="1:6" ht="22.7" customHeight="1">
      <c r="A1056" s="28"/>
      <c r="B1056" s="29" t="str">
        <f>IFERROR(VLOOKUP(A1056,Tabla1[],2,0)," ")</f>
        <v xml:space="preserve"> </v>
      </c>
      <c r="C1056" s="29" t="str">
        <f>IFERROR(VLOOKUP(A1056,Tabla1[],6,0)," ")</f>
        <v xml:space="preserve"> </v>
      </c>
      <c r="D1056" s="30" t="str">
        <f>IFERROR(VLOOKUP(A1056,Tabla1[],8,0)," ")</f>
        <v xml:space="preserve"> </v>
      </c>
      <c r="E1056" s="31"/>
      <c r="F1056" s="30" t="str">
        <f t="shared" si="17"/>
        <v xml:space="preserve"> </v>
      </c>
    </row>
    <row r="1057" spans="1:6" ht="22.7" customHeight="1">
      <c r="A1057" s="28"/>
      <c r="B1057" s="29" t="str">
        <f>IFERROR(VLOOKUP(A1057,Tabla1[],2,0)," ")</f>
        <v xml:space="preserve"> </v>
      </c>
      <c r="C1057" s="29" t="str">
        <f>IFERROR(VLOOKUP(A1057,Tabla1[],6,0)," ")</f>
        <v xml:space="preserve"> </v>
      </c>
      <c r="D1057" s="30" t="str">
        <f>IFERROR(VLOOKUP(A1057,Tabla1[],8,0)," ")</f>
        <v xml:space="preserve"> </v>
      </c>
      <c r="E1057" s="31"/>
      <c r="F1057" s="30" t="str">
        <f t="shared" si="17"/>
        <v xml:space="preserve"> </v>
      </c>
    </row>
    <row r="1058" spans="1:6" ht="22.7" customHeight="1">
      <c r="A1058" s="28"/>
      <c r="B1058" s="29" t="str">
        <f>IFERROR(VLOOKUP(A1058,Tabla1[],2,0)," ")</f>
        <v xml:space="preserve"> </v>
      </c>
      <c r="C1058" s="29" t="str">
        <f>IFERROR(VLOOKUP(A1058,Tabla1[],6,0)," ")</f>
        <v xml:space="preserve"> </v>
      </c>
      <c r="D1058" s="30" t="str">
        <f>IFERROR(VLOOKUP(A1058,Tabla1[],8,0)," ")</f>
        <v xml:space="preserve"> </v>
      </c>
      <c r="E1058" s="31"/>
      <c r="F1058" s="30" t="str">
        <f t="shared" si="17"/>
        <v xml:space="preserve"> </v>
      </c>
    </row>
    <row r="1059" spans="1:6" ht="22.7" customHeight="1">
      <c r="A1059" s="28"/>
      <c r="B1059" s="29" t="str">
        <f>IFERROR(VLOOKUP(A1059,Tabla1[],2,0)," ")</f>
        <v xml:space="preserve"> </v>
      </c>
      <c r="C1059" s="29" t="str">
        <f>IFERROR(VLOOKUP(A1059,Tabla1[],6,0)," ")</f>
        <v xml:space="preserve"> </v>
      </c>
      <c r="D1059" s="30" t="str">
        <f>IFERROR(VLOOKUP(A1059,Tabla1[],8,0)," ")</f>
        <v xml:space="preserve"> </v>
      </c>
      <c r="E1059" s="31"/>
      <c r="F1059" s="30" t="str">
        <f t="shared" si="17"/>
        <v xml:space="preserve"> </v>
      </c>
    </row>
    <row r="1060" spans="1:6" ht="22.7" customHeight="1">
      <c r="A1060" s="28"/>
      <c r="B1060" s="29" t="str">
        <f>IFERROR(VLOOKUP(A1060,Tabla1[],2,0)," ")</f>
        <v xml:space="preserve"> </v>
      </c>
      <c r="C1060" s="29" t="str">
        <f>IFERROR(VLOOKUP(A1060,Tabla1[],6,0)," ")</f>
        <v xml:space="preserve"> </v>
      </c>
      <c r="D1060" s="30" t="str">
        <f>IFERROR(VLOOKUP(A1060,Tabla1[],8,0)," ")</f>
        <v xml:space="preserve"> </v>
      </c>
      <c r="E1060" s="31"/>
      <c r="F1060" s="30" t="str">
        <f t="shared" si="17"/>
        <v xml:space="preserve"> </v>
      </c>
    </row>
    <row r="1061" spans="1:6" ht="22.7" customHeight="1">
      <c r="A1061" s="28"/>
      <c r="B1061" s="29" t="str">
        <f>IFERROR(VLOOKUP(A1061,Tabla1[],2,0)," ")</f>
        <v xml:space="preserve"> </v>
      </c>
      <c r="C1061" s="29" t="str">
        <f>IFERROR(VLOOKUP(A1061,Tabla1[],6,0)," ")</f>
        <v xml:space="preserve"> </v>
      </c>
      <c r="D1061" s="30" t="str">
        <f>IFERROR(VLOOKUP(A1061,Tabla1[],8,0)," ")</f>
        <v xml:space="preserve"> </v>
      </c>
      <c r="E1061" s="31"/>
      <c r="F1061" s="30" t="str">
        <f t="shared" si="17"/>
        <v xml:space="preserve"> </v>
      </c>
    </row>
    <row r="1062" spans="1:6" ht="22.7" customHeight="1">
      <c r="A1062" s="28"/>
      <c r="B1062" s="29" t="str">
        <f>IFERROR(VLOOKUP(A1062,Tabla1[],2,0)," ")</f>
        <v xml:space="preserve"> </v>
      </c>
      <c r="C1062" s="29" t="str">
        <f>IFERROR(VLOOKUP(A1062,Tabla1[],6,0)," ")</f>
        <v xml:space="preserve"> </v>
      </c>
      <c r="D1062" s="30" t="str">
        <f>IFERROR(VLOOKUP(A1062,Tabla1[],8,0)," ")</f>
        <v xml:space="preserve"> </v>
      </c>
      <c r="E1062" s="31"/>
      <c r="F1062" s="30" t="str">
        <f t="shared" si="17"/>
        <v xml:space="preserve"> </v>
      </c>
    </row>
    <row r="1063" spans="1:6" ht="22.7" customHeight="1">
      <c r="A1063" s="28"/>
      <c r="B1063" s="29" t="str">
        <f>IFERROR(VLOOKUP(A1063,Tabla1[],2,0)," ")</f>
        <v xml:space="preserve"> </v>
      </c>
      <c r="C1063" s="29" t="str">
        <f>IFERROR(VLOOKUP(A1063,Tabla1[],6,0)," ")</f>
        <v xml:space="preserve"> </v>
      </c>
      <c r="D1063" s="30" t="str">
        <f>IFERROR(VLOOKUP(A1063,Tabla1[],8,0)," ")</f>
        <v xml:space="preserve"> </v>
      </c>
      <c r="E1063" s="31"/>
      <c r="F1063" s="30" t="str">
        <f t="shared" si="17"/>
        <v xml:space="preserve"> </v>
      </c>
    </row>
    <row r="1064" spans="1:6" ht="22.7" customHeight="1">
      <c r="A1064" s="28"/>
      <c r="B1064" s="29" t="str">
        <f>IFERROR(VLOOKUP(A1064,Tabla1[],2,0)," ")</f>
        <v xml:space="preserve"> </v>
      </c>
      <c r="C1064" s="29" t="str">
        <f>IFERROR(VLOOKUP(A1064,Tabla1[],6,0)," ")</f>
        <v xml:space="preserve"> </v>
      </c>
      <c r="D1064" s="30" t="str">
        <f>IFERROR(VLOOKUP(A1064,Tabla1[],8,0)," ")</f>
        <v xml:space="preserve"> </v>
      </c>
      <c r="E1064" s="31"/>
      <c r="F1064" s="30" t="str">
        <f t="shared" si="17"/>
        <v xml:space="preserve"> </v>
      </c>
    </row>
    <row r="1065" spans="1:6" ht="22.7" customHeight="1">
      <c r="A1065" s="28"/>
      <c r="B1065" s="29" t="str">
        <f>IFERROR(VLOOKUP(A1065,Tabla1[],2,0)," ")</f>
        <v xml:space="preserve"> </v>
      </c>
      <c r="C1065" s="29" t="str">
        <f>IFERROR(VLOOKUP(A1065,Tabla1[],6,0)," ")</f>
        <v xml:space="preserve"> </v>
      </c>
      <c r="D1065" s="30" t="str">
        <f>IFERROR(VLOOKUP(A1065,Tabla1[],8,0)," ")</f>
        <v xml:space="preserve"> </v>
      </c>
      <c r="E1065" s="31"/>
      <c r="F1065" s="30" t="str">
        <f t="shared" si="17"/>
        <v xml:space="preserve"> </v>
      </c>
    </row>
    <row r="1066" spans="1:6" ht="22.7" customHeight="1">
      <c r="A1066" s="28"/>
      <c r="B1066" s="29" t="str">
        <f>IFERROR(VLOOKUP(A1066,Tabla1[],2,0)," ")</f>
        <v xml:space="preserve"> </v>
      </c>
      <c r="C1066" s="29" t="str">
        <f>IFERROR(VLOOKUP(A1066,Tabla1[],6,0)," ")</f>
        <v xml:space="preserve"> </v>
      </c>
      <c r="D1066" s="30" t="str">
        <f>IFERROR(VLOOKUP(A1066,Tabla1[],8,0)," ")</f>
        <v xml:space="preserve"> </v>
      </c>
      <c r="E1066" s="31"/>
      <c r="F1066" s="30" t="str">
        <f t="shared" si="17"/>
        <v xml:space="preserve"> </v>
      </c>
    </row>
    <row r="1067" spans="1:6" ht="22.7" customHeight="1">
      <c r="A1067" s="28"/>
      <c r="B1067" s="29" t="str">
        <f>IFERROR(VLOOKUP(A1067,Tabla1[],2,0)," ")</f>
        <v xml:space="preserve"> </v>
      </c>
      <c r="C1067" s="29" t="str">
        <f>IFERROR(VLOOKUP(A1067,Tabla1[],6,0)," ")</f>
        <v xml:space="preserve"> </v>
      </c>
      <c r="D1067" s="30" t="str">
        <f>IFERROR(VLOOKUP(A1067,Tabla1[],8,0)," ")</f>
        <v xml:space="preserve"> </v>
      </c>
      <c r="E1067" s="31"/>
      <c r="F1067" s="30" t="str">
        <f t="shared" si="17"/>
        <v xml:space="preserve"> </v>
      </c>
    </row>
    <row r="1068" spans="1:6" ht="22.7" customHeight="1">
      <c r="A1068" s="28"/>
      <c r="B1068" s="29" t="str">
        <f>IFERROR(VLOOKUP(A1068,Tabla1[],2,0)," ")</f>
        <v xml:space="preserve"> </v>
      </c>
      <c r="C1068" s="29" t="str">
        <f>IFERROR(VLOOKUP(A1068,Tabla1[],6,0)," ")</f>
        <v xml:space="preserve"> </v>
      </c>
      <c r="D1068" s="30" t="str">
        <f>IFERROR(VLOOKUP(A1068,Tabla1[],8,0)," ")</f>
        <v xml:space="preserve"> </v>
      </c>
      <c r="E1068" s="31"/>
      <c r="F1068" s="30" t="str">
        <f t="shared" si="17"/>
        <v xml:space="preserve"> </v>
      </c>
    </row>
    <row r="1069" spans="1:6" ht="22.7" customHeight="1">
      <c r="A1069" s="28"/>
      <c r="B1069" s="29" t="str">
        <f>IFERROR(VLOOKUP(A1069,Tabla1[],2,0)," ")</f>
        <v xml:space="preserve"> </v>
      </c>
      <c r="C1069" s="29" t="str">
        <f>IFERROR(VLOOKUP(A1069,Tabla1[],6,0)," ")</f>
        <v xml:space="preserve"> </v>
      </c>
      <c r="D1069" s="30" t="str">
        <f>IFERROR(VLOOKUP(A1069,Tabla1[],8,0)," ")</f>
        <v xml:space="preserve"> </v>
      </c>
      <c r="E1069" s="31"/>
      <c r="F1069" s="30" t="str">
        <f t="shared" si="17"/>
        <v xml:space="preserve"> </v>
      </c>
    </row>
    <row r="1070" spans="1:6" ht="22.7" customHeight="1">
      <c r="A1070" s="28"/>
      <c r="B1070" s="29" t="str">
        <f>IFERROR(VLOOKUP(A1070,Tabla1[],2,0)," ")</f>
        <v xml:space="preserve"> </v>
      </c>
      <c r="C1070" s="29" t="str">
        <f>IFERROR(VLOOKUP(A1070,Tabla1[],6,0)," ")</f>
        <v xml:space="preserve"> </v>
      </c>
      <c r="D1070" s="30" t="str">
        <f>IFERROR(VLOOKUP(A1070,Tabla1[],8,0)," ")</f>
        <v xml:space="preserve"> </v>
      </c>
      <c r="E1070" s="31"/>
      <c r="F1070" s="30" t="str">
        <f t="shared" si="17"/>
        <v xml:space="preserve"> </v>
      </c>
    </row>
    <row r="1071" spans="1:6" ht="22.7" customHeight="1">
      <c r="A1071" s="28"/>
      <c r="B1071" s="29" t="str">
        <f>IFERROR(VLOOKUP(A1071,Tabla1[],2,0)," ")</f>
        <v xml:space="preserve"> </v>
      </c>
      <c r="C1071" s="29" t="str">
        <f>IFERROR(VLOOKUP(A1071,Tabla1[],6,0)," ")</f>
        <v xml:space="preserve"> </v>
      </c>
      <c r="D1071" s="30" t="str">
        <f>IFERROR(VLOOKUP(A1071,Tabla1[],8,0)," ")</f>
        <v xml:space="preserve"> </v>
      </c>
      <c r="E1071" s="31"/>
      <c r="F1071" s="30" t="str">
        <f t="shared" si="17"/>
        <v xml:space="preserve"> </v>
      </c>
    </row>
    <row r="1072" spans="1:6" ht="22.7" customHeight="1">
      <c r="A1072" s="28"/>
      <c r="B1072" s="29" t="str">
        <f>IFERROR(VLOOKUP(A1072,Tabla1[],2,0)," ")</f>
        <v xml:space="preserve"> </v>
      </c>
      <c r="C1072" s="29" t="str">
        <f>IFERROR(VLOOKUP(A1072,Tabla1[],6,0)," ")</f>
        <v xml:space="preserve"> </v>
      </c>
      <c r="D1072" s="30" t="str">
        <f>IFERROR(VLOOKUP(A1072,Tabla1[],8,0)," ")</f>
        <v xml:space="preserve"> </v>
      </c>
      <c r="E1072" s="31"/>
      <c r="F1072" s="30" t="str">
        <f t="shared" si="17"/>
        <v xml:space="preserve"> </v>
      </c>
    </row>
    <row r="1073" spans="1:6" ht="22.7" customHeight="1">
      <c r="A1073" s="28"/>
      <c r="B1073" s="29" t="str">
        <f>IFERROR(VLOOKUP(A1073,Tabla1[],2,0)," ")</f>
        <v xml:space="preserve"> </v>
      </c>
      <c r="C1073" s="29" t="str">
        <f>IFERROR(VLOOKUP(A1073,Tabla1[],6,0)," ")</f>
        <v xml:space="preserve"> </v>
      </c>
      <c r="D1073" s="30" t="str">
        <f>IFERROR(VLOOKUP(A1073,Tabla1[],8,0)," ")</f>
        <v xml:space="preserve"> </v>
      </c>
      <c r="E1073" s="31"/>
      <c r="F1073" s="30" t="str">
        <f t="shared" si="17"/>
        <v xml:space="preserve"> </v>
      </c>
    </row>
    <row r="1074" spans="1:6" ht="22.7" customHeight="1">
      <c r="A1074" s="28"/>
      <c r="B1074" s="29" t="str">
        <f>IFERROR(VLOOKUP(A1074,Tabla1[],2,0)," ")</f>
        <v xml:space="preserve"> </v>
      </c>
      <c r="C1074" s="29" t="str">
        <f>IFERROR(VLOOKUP(A1074,Tabla1[],6,0)," ")</f>
        <v xml:space="preserve"> </v>
      </c>
      <c r="D1074" s="30" t="str">
        <f>IFERROR(VLOOKUP(A1074,Tabla1[],8,0)," ")</f>
        <v xml:space="preserve"> </v>
      </c>
      <c r="E1074" s="31"/>
      <c r="F1074" s="30" t="str">
        <f t="shared" si="17"/>
        <v xml:space="preserve"> </v>
      </c>
    </row>
    <row r="1075" spans="1:6" ht="22.7" customHeight="1">
      <c r="A1075" s="28"/>
      <c r="B1075" s="29" t="str">
        <f>IFERROR(VLOOKUP(A1075,Tabla1[],2,0)," ")</f>
        <v xml:space="preserve"> </v>
      </c>
      <c r="C1075" s="29" t="str">
        <f>IFERROR(VLOOKUP(A1075,Tabla1[],6,0)," ")</f>
        <v xml:space="preserve"> </v>
      </c>
      <c r="D1075" s="30" t="str">
        <f>IFERROR(VLOOKUP(A1075,Tabla1[],8,0)," ")</f>
        <v xml:space="preserve"> </v>
      </c>
      <c r="E1075" s="31"/>
      <c r="F1075" s="30" t="str">
        <f t="shared" si="17"/>
        <v xml:space="preserve"> </v>
      </c>
    </row>
    <row r="1076" spans="1:6" ht="22.7" customHeight="1">
      <c r="A1076" s="28"/>
      <c r="B1076" s="29" t="str">
        <f>IFERROR(VLOOKUP(A1076,Tabla1[],2,0)," ")</f>
        <v xml:space="preserve"> </v>
      </c>
      <c r="C1076" s="29" t="str">
        <f>IFERROR(VLOOKUP(A1076,Tabla1[],6,0)," ")</f>
        <v xml:space="preserve"> </v>
      </c>
      <c r="D1076" s="30" t="str">
        <f>IFERROR(VLOOKUP(A1076,Tabla1[],8,0)," ")</f>
        <v xml:space="preserve"> </v>
      </c>
      <c r="E1076" s="31"/>
      <c r="F1076" s="30" t="str">
        <f t="shared" si="17"/>
        <v xml:space="preserve"> </v>
      </c>
    </row>
    <row r="1077" spans="1:6" ht="22.7" customHeight="1">
      <c r="A1077" s="28"/>
      <c r="B1077" s="29" t="str">
        <f>IFERROR(VLOOKUP(A1077,Tabla1[],2,0)," ")</f>
        <v xml:space="preserve"> </v>
      </c>
      <c r="C1077" s="29" t="str">
        <f>IFERROR(VLOOKUP(A1077,Tabla1[],6,0)," ")</f>
        <v xml:space="preserve"> </v>
      </c>
      <c r="D1077" s="30" t="str">
        <f>IFERROR(VLOOKUP(A1077,Tabla1[],8,0)," ")</f>
        <v xml:space="preserve"> </v>
      </c>
      <c r="E1077" s="31"/>
      <c r="F1077" s="30" t="str">
        <f t="shared" si="17"/>
        <v xml:space="preserve"> </v>
      </c>
    </row>
    <row r="1078" spans="1:6" ht="22.7" customHeight="1">
      <c r="A1078" s="28"/>
      <c r="B1078" s="29" t="str">
        <f>IFERROR(VLOOKUP(A1078,Tabla1[],2,0)," ")</f>
        <v xml:space="preserve"> </v>
      </c>
      <c r="C1078" s="29" t="str">
        <f>IFERROR(VLOOKUP(A1078,Tabla1[],6,0)," ")</f>
        <v xml:space="preserve"> </v>
      </c>
      <c r="D1078" s="30" t="str">
        <f>IFERROR(VLOOKUP(A1078,Tabla1[],8,0)," ")</f>
        <v xml:space="preserve"> </v>
      </c>
      <c r="E1078" s="31"/>
      <c r="F1078" s="30" t="str">
        <f t="shared" si="17"/>
        <v xml:space="preserve"> </v>
      </c>
    </row>
    <row r="1079" spans="1:6" ht="22.7" customHeight="1">
      <c r="A1079" s="28"/>
      <c r="B1079" s="29" t="str">
        <f>IFERROR(VLOOKUP(A1079,Tabla1[],2,0)," ")</f>
        <v xml:space="preserve"> </v>
      </c>
      <c r="C1079" s="29" t="str">
        <f>IFERROR(VLOOKUP(A1079,Tabla1[],6,0)," ")</f>
        <v xml:space="preserve"> </v>
      </c>
      <c r="D1079" s="30" t="str">
        <f>IFERROR(VLOOKUP(A1079,Tabla1[],8,0)," ")</f>
        <v xml:space="preserve"> </v>
      </c>
      <c r="E1079" s="31"/>
      <c r="F1079" s="30" t="str">
        <f t="shared" si="17"/>
        <v xml:space="preserve"> </v>
      </c>
    </row>
    <row r="1080" spans="1:6" ht="22.7" customHeight="1">
      <c r="A1080" s="28"/>
      <c r="B1080" s="29" t="str">
        <f>IFERROR(VLOOKUP(A1080,Tabla1[],2,0)," ")</f>
        <v xml:space="preserve"> </v>
      </c>
      <c r="C1080" s="29" t="str">
        <f>IFERROR(VLOOKUP(A1080,Tabla1[],6,0)," ")</f>
        <v xml:space="preserve"> </v>
      </c>
      <c r="D1080" s="30" t="str">
        <f>IFERROR(VLOOKUP(A1080,Tabla1[],8,0)," ")</f>
        <v xml:space="preserve"> </v>
      </c>
      <c r="E1080" s="31"/>
      <c r="F1080" s="30" t="str">
        <f t="shared" si="17"/>
        <v xml:space="preserve"> </v>
      </c>
    </row>
    <row r="1081" spans="1:6" ht="22.7" customHeight="1">
      <c r="A1081" s="28"/>
      <c r="B1081" s="29" t="str">
        <f>IFERROR(VLOOKUP(A1081,Tabla1[],2,0)," ")</f>
        <v xml:space="preserve"> </v>
      </c>
      <c r="C1081" s="29" t="str">
        <f>IFERROR(VLOOKUP(A1081,Tabla1[],6,0)," ")</f>
        <v xml:space="preserve"> </v>
      </c>
      <c r="D1081" s="30" t="str">
        <f>IFERROR(VLOOKUP(A1081,Tabla1[],8,0)," ")</f>
        <v xml:space="preserve"> </v>
      </c>
      <c r="E1081" s="31"/>
      <c r="F1081" s="30" t="str">
        <f t="shared" si="17"/>
        <v xml:space="preserve"> </v>
      </c>
    </row>
    <row r="1082" spans="1:6" ht="22.7" customHeight="1">
      <c r="A1082" s="28"/>
      <c r="B1082" s="29" t="str">
        <f>IFERROR(VLOOKUP(A1082,Tabla1[],2,0)," ")</f>
        <v xml:space="preserve"> </v>
      </c>
      <c r="C1082" s="29" t="str">
        <f>IFERROR(VLOOKUP(A1082,Tabla1[],6,0)," ")</f>
        <v xml:space="preserve"> </v>
      </c>
      <c r="D1082" s="30" t="str">
        <f>IFERROR(VLOOKUP(A1082,Tabla1[],8,0)," ")</f>
        <v xml:space="preserve"> </v>
      </c>
      <c r="E1082" s="31"/>
      <c r="F1082" s="30" t="str">
        <f t="shared" si="17"/>
        <v xml:space="preserve"> </v>
      </c>
    </row>
    <row r="1083" spans="1:6" ht="22.7" customHeight="1">
      <c r="A1083" s="28"/>
      <c r="B1083" s="29" t="str">
        <f>IFERROR(VLOOKUP(A1083,Tabla1[],2,0)," ")</f>
        <v xml:space="preserve"> </v>
      </c>
      <c r="C1083" s="29" t="str">
        <f>IFERROR(VLOOKUP(A1083,Tabla1[],6,0)," ")</f>
        <v xml:space="preserve"> </v>
      </c>
      <c r="D1083" s="30" t="str">
        <f>IFERROR(VLOOKUP(A1083,Tabla1[],8,0)," ")</f>
        <v xml:space="preserve"> </v>
      </c>
      <c r="E1083" s="31"/>
      <c r="F1083" s="30" t="str">
        <f t="shared" si="17"/>
        <v xml:space="preserve"> </v>
      </c>
    </row>
    <row r="1084" spans="1:6" ht="22.7" customHeight="1">
      <c r="A1084" s="28"/>
      <c r="B1084" s="29" t="str">
        <f>IFERROR(VLOOKUP(A1084,Tabla1[],2,0)," ")</f>
        <v xml:space="preserve"> </v>
      </c>
      <c r="C1084" s="29" t="str">
        <f>IFERROR(VLOOKUP(A1084,Tabla1[],6,0)," ")</f>
        <v xml:space="preserve"> </v>
      </c>
      <c r="D1084" s="30" t="str">
        <f>IFERROR(VLOOKUP(A1084,Tabla1[],8,0)," ")</f>
        <v xml:space="preserve"> </v>
      </c>
      <c r="E1084" s="31"/>
      <c r="F1084" s="30" t="str">
        <f t="shared" si="17"/>
        <v xml:space="preserve"> </v>
      </c>
    </row>
    <row r="1085" spans="1:6" ht="22.7" customHeight="1">
      <c r="A1085" s="28"/>
      <c r="B1085" s="29" t="str">
        <f>IFERROR(VLOOKUP(A1085,Tabla1[],2,0)," ")</f>
        <v xml:space="preserve"> </v>
      </c>
      <c r="C1085" s="29" t="str">
        <f>IFERROR(VLOOKUP(A1085,Tabla1[],6,0)," ")</f>
        <v xml:space="preserve"> </v>
      </c>
      <c r="D1085" s="30" t="str">
        <f>IFERROR(VLOOKUP(A1085,Tabla1[],8,0)," ")</f>
        <v xml:space="preserve"> </v>
      </c>
      <c r="E1085" s="31"/>
      <c r="F1085" s="30" t="str">
        <f t="shared" si="17"/>
        <v xml:space="preserve"> </v>
      </c>
    </row>
    <row r="1086" spans="1:6" ht="22.7" customHeight="1">
      <c r="A1086" s="28"/>
      <c r="B1086" s="29" t="str">
        <f>IFERROR(VLOOKUP(A1086,Tabla1[],2,0)," ")</f>
        <v xml:space="preserve"> </v>
      </c>
      <c r="C1086" s="29" t="str">
        <f>IFERROR(VLOOKUP(A1086,Tabla1[],6,0)," ")</f>
        <v xml:space="preserve"> </v>
      </c>
      <c r="D1086" s="30" t="str">
        <f>IFERROR(VLOOKUP(A1086,Tabla1[],8,0)," ")</f>
        <v xml:space="preserve"> </v>
      </c>
      <c r="E1086" s="31"/>
      <c r="F1086" s="30" t="str">
        <f t="shared" si="17"/>
        <v xml:space="preserve"> </v>
      </c>
    </row>
    <row r="1087" spans="1:6" ht="22.7" customHeight="1">
      <c r="A1087" s="28"/>
      <c r="B1087" s="29" t="str">
        <f>IFERROR(VLOOKUP(A1087,Tabla1[],2,0)," ")</f>
        <v xml:space="preserve"> </v>
      </c>
      <c r="C1087" s="29" t="str">
        <f>IFERROR(VLOOKUP(A1087,Tabla1[],6,0)," ")</f>
        <v xml:space="preserve"> </v>
      </c>
      <c r="D1087" s="30" t="str">
        <f>IFERROR(VLOOKUP(A1087,Tabla1[],8,0)," ")</f>
        <v xml:space="preserve"> </v>
      </c>
      <c r="E1087" s="31"/>
      <c r="F1087" s="30" t="str">
        <f t="shared" si="17"/>
        <v xml:space="preserve"> </v>
      </c>
    </row>
    <row r="1088" spans="1:6" ht="22.7" customHeight="1">
      <c r="A1088" s="28"/>
      <c r="B1088" s="29" t="str">
        <f>IFERROR(VLOOKUP(A1088,Tabla1[],2,0)," ")</f>
        <v xml:space="preserve"> </v>
      </c>
      <c r="C1088" s="29" t="str">
        <f>IFERROR(VLOOKUP(A1088,Tabla1[],6,0)," ")</f>
        <v xml:space="preserve"> </v>
      </c>
      <c r="D1088" s="30" t="str">
        <f>IFERROR(VLOOKUP(A1088,Tabla1[],8,0)," ")</f>
        <v xml:space="preserve"> </v>
      </c>
      <c r="E1088" s="31"/>
      <c r="F1088" s="30" t="str">
        <f t="shared" si="17"/>
        <v xml:space="preserve"> </v>
      </c>
    </row>
    <row r="1089" spans="1:6" ht="22.7" customHeight="1">
      <c r="A1089" s="28"/>
      <c r="B1089" s="29" t="str">
        <f>IFERROR(VLOOKUP(A1089,Tabla1[],2,0)," ")</f>
        <v xml:space="preserve"> </v>
      </c>
      <c r="C1089" s="29" t="str">
        <f>IFERROR(VLOOKUP(A1089,Tabla1[],6,0)," ")</f>
        <v xml:space="preserve"> </v>
      </c>
      <c r="D1089" s="30" t="str">
        <f>IFERROR(VLOOKUP(A1089,Tabla1[],8,0)," ")</f>
        <v xml:space="preserve"> </v>
      </c>
      <c r="E1089" s="31"/>
      <c r="F1089" s="30" t="str">
        <f t="shared" si="17"/>
        <v xml:space="preserve"> </v>
      </c>
    </row>
    <row r="1090" spans="1:6" ht="22.7" customHeight="1">
      <c r="A1090" s="28"/>
      <c r="B1090" s="29" t="str">
        <f>IFERROR(VLOOKUP(A1090,Tabla1[],2,0)," ")</f>
        <v xml:space="preserve"> </v>
      </c>
      <c r="C1090" s="29" t="str">
        <f>IFERROR(VLOOKUP(A1090,Tabla1[],6,0)," ")</f>
        <v xml:space="preserve"> </v>
      </c>
      <c r="D1090" s="30" t="str">
        <f>IFERROR(VLOOKUP(A1090,Tabla1[],8,0)," ")</f>
        <v xml:space="preserve"> </v>
      </c>
      <c r="E1090" s="31"/>
      <c r="F1090" s="30" t="str">
        <f t="shared" si="17"/>
        <v xml:space="preserve"> </v>
      </c>
    </row>
    <row r="1091" spans="1:6" ht="22.7" customHeight="1">
      <c r="A1091" s="28"/>
      <c r="B1091" s="29" t="str">
        <f>IFERROR(VLOOKUP(A1091,Tabla1[],2,0)," ")</f>
        <v xml:space="preserve"> </v>
      </c>
      <c r="C1091" s="29" t="str">
        <f>IFERROR(VLOOKUP(A1091,Tabla1[],6,0)," ")</f>
        <v xml:space="preserve"> </v>
      </c>
      <c r="D1091" s="30" t="str">
        <f>IFERROR(VLOOKUP(A1091,Tabla1[],8,0)," ")</f>
        <v xml:space="preserve"> </v>
      </c>
      <c r="E1091" s="31"/>
      <c r="F1091" s="30" t="str">
        <f t="shared" si="17"/>
        <v xml:space="preserve"> </v>
      </c>
    </row>
    <row r="1092" spans="1:6" ht="22.7" customHeight="1">
      <c r="A1092" s="28"/>
      <c r="B1092" s="29" t="str">
        <f>IFERROR(VLOOKUP(A1092,Tabla1[],2,0)," ")</f>
        <v xml:space="preserve"> </v>
      </c>
      <c r="C1092" s="29" t="str">
        <f>IFERROR(VLOOKUP(A1092,Tabla1[],6,0)," ")</f>
        <v xml:space="preserve"> </v>
      </c>
      <c r="D1092" s="30" t="str">
        <f>IFERROR(VLOOKUP(A1092,Tabla1[],8,0)," ")</f>
        <v xml:space="preserve"> </v>
      </c>
      <c r="E1092" s="31"/>
      <c r="F1092" s="30" t="str">
        <f t="shared" ref="F1092:F1155" si="18">IFERROR((E1092*D1092), " ")</f>
        <v xml:space="preserve"> </v>
      </c>
    </row>
    <row r="1093" spans="1:6" ht="22.7" customHeight="1">
      <c r="A1093" s="28"/>
      <c r="B1093" s="29" t="str">
        <f>IFERROR(VLOOKUP(A1093,Tabla1[],2,0)," ")</f>
        <v xml:space="preserve"> </v>
      </c>
      <c r="C1093" s="29" t="str">
        <f>IFERROR(VLOOKUP(A1093,Tabla1[],6,0)," ")</f>
        <v xml:space="preserve"> </v>
      </c>
      <c r="D1093" s="30" t="str">
        <f>IFERROR(VLOOKUP(A1093,Tabla1[],8,0)," ")</f>
        <v xml:space="preserve"> </v>
      </c>
      <c r="E1093" s="31"/>
      <c r="F1093" s="30" t="str">
        <f t="shared" si="18"/>
        <v xml:space="preserve"> </v>
      </c>
    </row>
    <row r="1094" spans="1:6" ht="22.7" customHeight="1">
      <c r="A1094" s="28"/>
      <c r="B1094" s="29" t="str">
        <f>IFERROR(VLOOKUP(A1094,Tabla1[],2,0)," ")</f>
        <v xml:space="preserve"> </v>
      </c>
      <c r="C1094" s="29" t="str">
        <f>IFERROR(VLOOKUP(A1094,Tabla1[],6,0)," ")</f>
        <v xml:space="preserve"> </v>
      </c>
      <c r="D1094" s="30" t="str">
        <f>IFERROR(VLOOKUP(A1094,Tabla1[],8,0)," ")</f>
        <v xml:space="preserve"> </v>
      </c>
      <c r="E1094" s="31"/>
      <c r="F1094" s="30" t="str">
        <f t="shared" si="18"/>
        <v xml:space="preserve"> </v>
      </c>
    </row>
    <row r="1095" spans="1:6" ht="22.7" customHeight="1">
      <c r="A1095" s="28"/>
      <c r="B1095" s="29" t="str">
        <f>IFERROR(VLOOKUP(A1095,Tabla1[],2,0)," ")</f>
        <v xml:space="preserve"> </v>
      </c>
      <c r="C1095" s="29" t="str">
        <f>IFERROR(VLOOKUP(A1095,Tabla1[],6,0)," ")</f>
        <v xml:space="preserve"> </v>
      </c>
      <c r="D1095" s="30" t="str">
        <f>IFERROR(VLOOKUP(A1095,Tabla1[],8,0)," ")</f>
        <v xml:space="preserve"> </v>
      </c>
      <c r="E1095" s="31"/>
      <c r="F1095" s="30" t="str">
        <f t="shared" si="18"/>
        <v xml:space="preserve"> </v>
      </c>
    </row>
    <row r="1096" spans="1:6" ht="22.7" customHeight="1">
      <c r="A1096" s="28"/>
      <c r="B1096" s="29" t="str">
        <f>IFERROR(VLOOKUP(A1096,Tabla1[],2,0)," ")</f>
        <v xml:space="preserve"> </v>
      </c>
      <c r="C1096" s="29" t="str">
        <f>IFERROR(VLOOKUP(A1096,Tabla1[],6,0)," ")</f>
        <v xml:space="preserve"> </v>
      </c>
      <c r="D1096" s="30" t="str">
        <f>IFERROR(VLOOKUP(A1096,Tabla1[],8,0)," ")</f>
        <v xml:space="preserve"> </v>
      </c>
      <c r="E1096" s="31"/>
      <c r="F1096" s="30" t="str">
        <f t="shared" si="18"/>
        <v xml:space="preserve"> </v>
      </c>
    </row>
    <row r="1097" spans="1:6" ht="22.7" customHeight="1">
      <c r="A1097" s="28"/>
      <c r="B1097" s="29" t="str">
        <f>IFERROR(VLOOKUP(A1097,Tabla1[],2,0)," ")</f>
        <v xml:space="preserve"> </v>
      </c>
      <c r="C1097" s="29" t="str">
        <f>IFERROR(VLOOKUP(A1097,Tabla1[],6,0)," ")</f>
        <v xml:space="preserve"> </v>
      </c>
      <c r="D1097" s="30" t="str">
        <f>IFERROR(VLOOKUP(A1097,Tabla1[],8,0)," ")</f>
        <v xml:space="preserve"> </v>
      </c>
      <c r="E1097" s="31"/>
      <c r="F1097" s="30" t="str">
        <f t="shared" si="18"/>
        <v xml:space="preserve"> </v>
      </c>
    </row>
    <row r="1098" spans="1:6" ht="22.7" customHeight="1">
      <c r="A1098" s="28"/>
      <c r="B1098" s="29" t="str">
        <f>IFERROR(VLOOKUP(A1098,Tabla1[],2,0)," ")</f>
        <v xml:space="preserve"> </v>
      </c>
      <c r="C1098" s="29" t="str">
        <f>IFERROR(VLOOKUP(A1098,Tabla1[],6,0)," ")</f>
        <v xml:space="preserve"> </v>
      </c>
      <c r="D1098" s="30" t="str">
        <f>IFERROR(VLOOKUP(A1098,Tabla1[],8,0)," ")</f>
        <v xml:space="preserve"> </v>
      </c>
      <c r="E1098" s="31"/>
      <c r="F1098" s="30" t="str">
        <f t="shared" si="18"/>
        <v xml:space="preserve"> </v>
      </c>
    </row>
    <row r="1099" spans="1:6" ht="22.7" customHeight="1">
      <c r="A1099" s="28"/>
      <c r="B1099" s="29" t="str">
        <f>IFERROR(VLOOKUP(A1099,Tabla1[],2,0)," ")</f>
        <v xml:space="preserve"> </v>
      </c>
      <c r="C1099" s="29" t="str">
        <f>IFERROR(VLOOKUP(A1099,Tabla1[],6,0)," ")</f>
        <v xml:space="preserve"> </v>
      </c>
      <c r="D1099" s="30" t="str">
        <f>IFERROR(VLOOKUP(A1099,Tabla1[],8,0)," ")</f>
        <v xml:space="preserve"> </v>
      </c>
      <c r="E1099" s="31"/>
      <c r="F1099" s="30" t="str">
        <f t="shared" si="18"/>
        <v xml:space="preserve"> </v>
      </c>
    </row>
    <row r="1100" spans="1:6" ht="22.7" customHeight="1">
      <c r="A1100" s="28"/>
      <c r="B1100" s="29" t="str">
        <f>IFERROR(VLOOKUP(A1100,Tabla1[],2,0)," ")</f>
        <v xml:space="preserve"> </v>
      </c>
      <c r="C1100" s="29" t="str">
        <f>IFERROR(VLOOKUP(A1100,Tabla1[],6,0)," ")</f>
        <v xml:space="preserve"> </v>
      </c>
      <c r="D1100" s="30" t="str">
        <f>IFERROR(VLOOKUP(A1100,Tabla1[],8,0)," ")</f>
        <v xml:space="preserve"> </v>
      </c>
      <c r="E1100" s="31"/>
      <c r="F1100" s="30" t="str">
        <f t="shared" si="18"/>
        <v xml:space="preserve"> </v>
      </c>
    </row>
    <row r="1101" spans="1:6" ht="22.7" customHeight="1">
      <c r="A1101" s="28"/>
      <c r="B1101" s="29" t="str">
        <f>IFERROR(VLOOKUP(A1101,Tabla1[],2,0)," ")</f>
        <v xml:space="preserve"> </v>
      </c>
      <c r="C1101" s="29" t="str">
        <f>IFERROR(VLOOKUP(A1101,Tabla1[],6,0)," ")</f>
        <v xml:space="preserve"> </v>
      </c>
      <c r="D1101" s="30" t="str">
        <f>IFERROR(VLOOKUP(A1101,Tabla1[],8,0)," ")</f>
        <v xml:space="preserve"> </v>
      </c>
      <c r="E1101" s="31"/>
      <c r="F1101" s="30" t="str">
        <f t="shared" si="18"/>
        <v xml:space="preserve"> </v>
      </c>
    </row>
    <row r="1102" spans="1:6" ht="22.7" customHeight="1">
      <c r="A1102" s="28"/>
      <c r="B1102" s="29" t="str">
        <f>IFERROR(VLOOKUP(A1102,Tabla1[],2,0)," ")</f>
        <v xml:space="preserve"> </v>
      </c>
      <c r="C1102" s="29" t="str">
        <f>IFERROR(VLOOKUP(A1102,Tabla1[],6,0)," ")</f>
        <v xml:space="preserve"> </v>
      </c>
      <c r="D1102" s="30" t="str">
        <f>IFERROR(VLOOKUP(A1102,Tabla1[],8,0)," ")</f>
        <v xml:space="preserve"> </v>
      </c>
      <c r="E1102" s="31"/>
      <c r="F1102" s="30" t="str">
        <f t="shared" si="18"/>
        <v xml:space="preserve"> </v>
      </c>
    </row>
    <row r="1103" spans="1:6" ht="22.7" customHeight="1">
      <c r="A1103" s="28"/>
      <c r="B1103" s="29" t="str">
        <f>IFERROR(VLOOKUP(A1103,Tabla1[],2,0)," ")</f>
        <v xml:space="preserve"> </v>
      </c>
      <c r="C1103" s="29" t="str">
        <f>IFERROR(VLOOKUP(A1103,Tabla1[],6,0)," ")</f>
        <v xml:space="preserve"> </v>
      </c>
      <c r="D1103" s="30" t="str">
        <f>IFERROR(VLOOKUP(A1103,Tabla1[],8,0)," ")</f>
        <v xml:space="preserve"> </v>
      </c>
      <c r="E1103" s="31"/>
      <c r="F1103" s="30" t="str">
        <f t="shared" si="18"/>
        <v xml:space="preserve"> </v>
      </c>
    </row>
    <row r="1104" spans="1:6" ht="22.7" customHeight="1">
      <c r="A1104" s="28"/>
      <c r="B1104" s="29" t="str">
        <f>IFERROR(VLOOKUP(A1104,Tabla1[],2,0)," ")</f>
        <v xml:space="preserve"> </v>
      </c>
      <c r="C1104" s="29" t="str">
        <f>IFERROR(VLOOKUP(A1104,Tabla1[],6,0)," ")</f>
        <v xml:space="preserve"> </v>
      </c>
      <c r="D1104" s="30" t="str">
        <f>IFERROR(VLOOKUP(A1104,Tabla1[],8,0)," ")</f>
        <v xml:space="preserve"> </v>
      </c>
      <c r="E1104" s="31"/>
      <c r="F1104" s="30" t="str">
        <f t="shared" si="18"/>
        <v xml:space="preserve"> </v>
      </c>
    </row>
    <row r="1105" spans="1:6" ht="22.7" customHeight="1">
      <c r="A1105" s="28"/>
      <c r="B1105" s="29" t="str">
        <f>IFERROR(VLOOKUP(A1105,Tabla1[],2,0)," ")</f>
        <v xml:space="preserve"> </v>
      </c>
      <c r="C1105" s="29" t="str">
        <f>IFERROR(VLOOKUP(A1105,Tabla1[],6,0)," ")</f>
        <v xml:space="preserve"> </v>
      </c>
      <c r="D1105" s="30" t="str">
        <f>IFERROR(VLOOKUP(A1105,Tabla1[],8,0)," ")</f>
        <v xml:space="preserve"> </v>
      </c>
      <c r="E1105" s="31"/>
      <c r="F1105" s="30" t="str">
        <f t="shared" si="18"/>
        <v xml:space="preserve"> </v>
      </c>
    </row>
    <row r="1106" spans="1:6" ht="22.7" customHeight="1">
      <c r="A1106" s="28"/>
      <c r="B1106" s="29" t="str">
        <f>IFERROR(VLOOKUP(A1106,Tabla1[],2,0)," ")</f>
        <v xml:space="preserve"> </v>
      </c>
      <c r="C1106" s="29" t="str">
        <f>IFERROR(VLOOKUP(A1106,Tabla1[],6,0)," ")</f>
        <v xml:space="preserve"> </v>
      </c>
      <c r="D1106" s="30" t="str">
        <f>IFERROR(VLOOKUP(A1106,Tabla1[],8,0)," ")</f>
        <v xml:space="preserve"> </v>
      </c>
      <c r="E1106" s="31"/>
      <c r="F1106" s="30" t="str">
        <f t="shared" si="18"/>
        <v xml:space="preserve"> </v>
      </c>
    </row>
    <row r="1107" spans="1:6" ht="22.7" customHeight="1">
      <c r="A1107" s="28"/>
      <c r="B1107" s="29" t="str">
        <f>IFERROR(VLOOKUP(A1107,Tabla1[],2,0)," ")</f>
        <v xml:space="preserve"> </v>
      </c>
      <c r="C1107" s="29" t="str">
        <f>IFERROR(VLOOKUP(A1107,Tabla1[],6,0)," ")</f>
        <v xml:space="preserve"> </v>
      </c>
      <c r="D1107" s="30" t="str">
        <f>IFERROR(VLOOKUP(A1107,Tabla1[],8,0)," ")</f>
        <v xml:space="preserve"> </v>
      </c>
      <c r="E1107" s="31"/>
      <c r="F1107" s="30" t="str">
        <f t="shared" si="18"/>
        <v xml:space="preserve"> </v>
      </c>
    </row>
    <row r="1108" spans="1:6" ht="22.7" customHeight="1">
      <c r="A1108" s="28"/>
      <c r="B1108" s="29" t="str">
        <f>IFERROR(VLOOKUP(A1108,Tabla1[],2,0)," ")</f>
        <v xml:space="preserve"> </v>
      </c>
      <c r="C1108" s="29" t="str">
        <f>IFERROR(VLOOKUP(A1108,Tabla1[],6,0)," ")</f>
        <v xml:space="preserve"> </v>
      </c>
      <c r="D1108" s="30" t="str">
        <f>IFERROR(VLOOKUP(A1108,Tabla1[],8,0)," ")</f>
        <v xml:space="preserve"> </v>
      </c>
      <c r="E1108" s="31"/>
      <c r="F1108" s="30" t="str">
        <f t="shared" si="18"/>
        <v xml:space="preserve"> </v>
      </c>
    </row>
    <row r="1109" spans="1:6" ht="22.7" customHeight="1">
      <c r="A1109" s="28"/>
      <c r="B1109" s="29" t="str">
        <f>IFERROR(VLOOKUP(A1109,Tabla1[],2,0)," ")</f>
        <v xml:space="preserve"> </v>
      </c>
      <c r="C1109" s="29" t="str">
        <f>IFERROR(VLOOKUP(A1109,Tabla1[],6,0)," ")</f>
        <v xml:space="preserve"> </v>
      </c>
      <c r="D1109" s="30" t="str">
        <f>IFERROR(VLOOKUP(A1109,Tabla1[],8,0)," ")</f>
        <v xml:space="preserve"> </v>
      </c>
      <c r="E1109" s="31"/>
      <c r="F1109" s="30" t="str">
        <f t="shared" si="18"/>
        <v xml:space="preserve"> </v>
      </c>
    </row>
    <row r="1110" spans="1:6" ht="22.7" customHeight="1">
      <c r="A1110" s="28"/>
      <c r="B1110" s="29" t="str">
        <f>IFERROR(VLOOKUP(A1110,Tabla1[],2,0)," ")</f>
        <v xml:space="preserve"> </v>
      </c>
      <c r="C1110" s="29" t="str">
        <f>IFERROR(VLOOKUP(A1110,Tabla1[],6,0)," ")</f>
        <v xml:space="preserve"> </v>
      </c>
      <c r="D1110" s="30" t="str">
        <f>IFERROR(VLOOKUP(A1110,Tabla1[],8,0)," ")</f>
        <v xml:space="preserve"> </v>
      </c>
      <c r="E1110" s="31"/>
      <c r="F1110" s="30" t="str">
        <f t="shared" si="18"/>
        <v xml:space="preserve"> </v>
      </c>
    </row>
    <row r="1111" spans="1:6" ht="22.7" customHeight="1">
      <c r="A1111" s="28"/>
      <c r="B1111" s="29" t="str">
        <f>IFERROR(VLOOKUP(A1111,Tabla1[],2,0)," ")</f>
        <v xml:space="preserve"> </v>
      </c>
      <c r="C1111" s="29" t="str">
        <f>IFERROR(VLOOKUP(A1111,Tabla1[],6,0)," ")</f>
        <v xml:space="preserve"> </v>
      </c>
      <c r="D1111" s="30" t="str">
        <f>IFERROR(VLOOKUP(A1111,Tabla1[],8,0)," ")</f>
        <v xml:space="preserve"> </v>
      </c>
      <c r="E1111" s="31"/>
      <c r="F1111" s="30" t="str">
        <f t="shared" si="18"/>
        <v xml:space="preserve"> </v>
      </c>
    </row>
    <row r="1112" spans="1:6" ht="22.7" customHeight="1">
      <c r="A1112" s="28"/>
      <c r="B1112" s="29" t="str">
        <f>IFERROR(VLOOKUP(A1112,Tabla1[],2,0)," ")</f>
        <v xml:space="preserve"> </v>
      </c>
      <c r="C1112" s="29" t="str">
        <f>IFERROR(VLOOKUP(A1112,Tabla1[],6,0)," ")</f>
        <v xml:space="preserve"> </v>
      </c>
      <c r="D1112" s="30" t="str">
        <f>IFERROR(VLOOKUP(A1112,Tabla1[],8,0)," ")</f>
        <v xml:space="preserve"> </v>
      </c>
      <c r="E1112" s="31"/>
      <c r="F1112" s="30" t="str">
        <f t="shared" si="18"/>
        <v xml:space="preserve"> </v>
      </c>
    </row>
    <row r="1113" spans="1:6" ht="22.7" customHeight="1">
      <c r="A1113" s="28"/>
      <c r="B1113" s="29" t="str">
        <f>IFERROR(VLOOKUP(A1113,Tabla1[],2,0)," ")</f>
        <v xml:space="preserve"> </v>
      </c>
      <c r="C1113" s="29" t="str">
        <f>IFERROR(VLOOKUP(A1113,Tabla1[],6,0)," ")</f>
        <v xml:space="preserve"> </v>
      </c>
      <c r="D1113" s="30" t="str">
        <f>IFERROR(VLOOKUP(A1113,Tabla1[],8,0)," ")</f>
        <v xml:space="preserve"> </v>
      </c>
      <c r="E1113" s="31"/>
      <c r="F1113" s="30" t="str">
        <f t="shared" si="18"/>
        <v xml:space="preserve"> </v>
      </c>
    </row>
    <row r="1114" spans="1:6" ht="22.7" customHeight="1">
      <c r="A1114" s="28"/>
      <c r="B1114" s="29" t="str">
        <f>IFERROR(VLOOKUP(A1114,Tabla1[],2,0)," ")</f>
        <v xml:space="preserve"> </v>
      </c>
      <c r="C1114" s="29" t="str">
        <f>IFERROR(VLOOKUP(A1114,Tabla1[],6,0)," ")</f>
        <v xml:space="preserve"> </v>
      </c>
      <c r="D1114" s="30" t="str">
        <f>IFERROR(VLOOKUP(A1114,Tabla1[],8,0)," ")</f>
        <v xml:space="preserve"> </v>
      </c>
      <c r="E1114" s="31"/>
      <c r="F1114" s="30" t="str">
        <f t="shared" si="18"/>
        <v xml:space="preserve"> </v>
      </c>
    </row>
    <row r="1115" spans="1:6" ht="22.7" customHeight="1">
      <c r="A1115" s="28"/>
      <c r="B1115" s="29" t="str">
        <f>IFERROR(VLOOKUP(A1115,Tabla1[],2,0)," ")</f>
        <v xml:space="preserve"> </v>
      </c>
      <c r="C1115" s="29" t="str">
        <f>IFERROR(VLOOKUP(A1115,Tabla1[],6,0)," ")</f>
        <v xml:space="preserve"> </v>
      </c>
      <c r="D1115" s="30" t="str">
        <f>IFERROR(VLOOKUP(A1115,Tabla1[],8,0)," ")</f>
        <v xml:space="preserve"> </v>
      </c>
      <c r="E1115" s="31"/>
      <c r="F1115" s="30" t="str">
        <f t="shared" si="18"/>
        <v xml:space="preserve"> </v>
      </c>
    </row>
    <row r="1116" spans="1:6" ht="22.7" customHeight="1">
      <c r="A1116" s="28"/>
      <c r="B1116" s="29" t="str">
        <f>IFERROR(VLOOKUP(A1116,Tabla1[],2,0)," ")</f>
        <v xml:space="preserve"> </v>
      </c>
      <c r="C1116" s="29" t="str">
        <f>IFERROR(VLOOKUP(A1116,Tabla1[],6,0)," ")</f>
        <v xml:space="preserve"> </v>
      </c>
      <c r="D1116" s="30" t="str">
        <f>IFERROR(VLOOKUP(A1116,Tabla1[],8,0)," ")</f>
        <v xml:space="preserve"> </v>
      </c>
      <c r="E1116" s="31"/>
      <c r="F1116" s="30" t="str">
        <f t="shared" si="18"/>
        <v xml:space="preserve"> </v>
      </c>
    </row>
    <row r="1117" spans="1:6" ht="22.7" customHeight="1">
      <c r="A1117" s="28"/>
      <c r="B1117" s="29" t="str">
        <f>IFERROR(VLOOKUP(A1117,Tabla1[],2,0)," ")</f>
        <v xml:space="preserve"> </v>
      </c>
      <c r="C1117" s="29" t="str">
        <f>IFERROR(VLOOKUP(A1117,Tabla1[],6,0)," ")</f>
        <v xml:space="preserve"> </v>
      </c>
      <c r="D1117" s="30" t="str">
        <f>IFERROR(VLOOKUP(A1117,Tabla1[],8,0)," ")</f>
        <v xml:space="preserve"> </v>
      </c>
      <c r="E1117" s="31"/>
      <c r="F1117" s="30" t="str">
        <f t="shared" si="18"/>
        <v xml:space="preserve"> </v>
      </c>
    </row>
    <row r="1118" spans="1:6" ht="22.7" customHeight="1">
      <c r="A1118" s="28"/>
      <c r="B1118" s="29" t="str">
        <f>IFERROR(VLOOKUP(A1118,Tabla1[],2,0)," ")</f>
        <v xml:space="preserve"> </v>
      </c>
      <c r="C1118" s="29" t="str">
        <f>IFERROR(VLOOKUP(A1118,Tabla1[],6,0)," ")</f>
        <v xml:space="preserve"> </v>
      </c>
      <c r="D1118" s="30" t="str">
        <f>IFERROR(VLOOKUP(A1118,Tabla1[],8,0)," ")</f>
        <v xml:space="preserve"> </v>
      </c>
      <c r="E1118" s="31"/>
      <c r="F1118" s="30" t="str">
        <f t="shared" si="18"/>
        <v xml:space="preserve"> </v>
      </c>
    </row>
    <row r="1119" spans="1:6" ht="22.7" customHeight="1">
      <c r="A1119" s="28"/>
      <c r="B1119" s="29" t="str">
        <f>IFERROR(VLOOKUP(A1119,Tabla1[],2,0)," ")</f>
        <v xml:space="preserve"> </v>
      </c>
      <c r="C1119" s="29" t="str">
        <f>IFERROR(VLOOKUP(A1119,Tabla1[],6,0)," ")</f>
        <v xml:space="preserve"> </v>
      </c>
      <c r="D1119" s="30" t="str">
        <f>IFERROR(VLOOKUP(A1119,Tabla1[],8,0)," ")</f>
        <v xml:space="preserve"> </v>
      </c>
      <c r="E1119" s="31"/>
      <c r="F1119" s="30" t="str">
        <f t="shared" si="18"/>
        <v xml:space="preserve"> </v>
      </c>
    </row>
    <row r="1120" spans="1:6" ht="22.7" customHeight="1">
      <c r="A1120" s="28"/>
      <c r="B1120" s="29" t="str">
        <f>IFERROR(VLOOKUP(A1120,Tabla1[],2,0)," ")</f>
        <v xml:space="preserve"> </v>
      </c>
      <c r="C1120" s="29" t="str">
        <f>IFERROR(VLOOKUP(A1120,Tabla1[],6,0)," ")</f>
        <v xml:space="preserve"> </v>
      </c>
      <c r="D1120" s="30" t="str">
        <f>IFERROR(VLOOKUP(A1120,Tabla1[],8,0)," ")</f>
        <v xml:space="preserve"> </v>
      </c>
      <c r="E1120" s="31"/>
      <c r="F1120" s="30" t="str">
        <f t="shared" si="18"/>
        <v xml:space="preserve"> </v>
      </c>
    </row>
    <row r="1121" spans="1:6" ht="22.7" customHeight="1">
      <c r="A1121" s="28"/>
      <c r="B1121" s="29" t="str">
        <f>IFERROR(VLOOKUP(A1121,Tabla1[],2,0)," ")</f>
        <v xml:space="preserve"> </v>
      </c>
      <c r="C1121" s="29" t="str">
        <f>IFERROR(VLOOKUP(A1121,Tabla1[],6,0)," ")</f>
        <v xml:space="preserve"> </v>
      </c>
      <c r="D1121" s="30" t="str">
        <f>IFERROR(VLOOKUP(A1121,Tabla1[],8,0)," ")</f>
        <v xml:space="preserve"> </v>
      </c>
      <c r="E1121" s="31"/>
      <c r="F1121" s="30" t="str">
        <f t="shared" si="18"/>
        <v xml:space="preserve"> </v>
      </c>
    </row>
    <row r="1122" spans="1:6" ht="22.7" customHeight="1">
      <c r="A1122" s="28"/>
      <c r="B1122" s="29" t="str">
        <f>IFERROR(VLOOKUP(A1122,Tabla1[],2,0)," ")</f>
        <v xml:space="preserve"> </v>
      </c>
      <c r="C1122" s="29" t="str">
        <f>IFERROR(VLOOKUP(A1122,Tabla1[],6,0)," ")</f>
        <v xml:space="preserve"> </v>
      </c>
      <c r="D1122" s="30" t="str">
        <f>IFERROR(VLOOKUP(A1122,Tabla1[],8,0)," ")</f>
        <v xml:space="preserve"> </v>
      </c>
      <c r="E1122" s="31"/>
      <c r="F1122" s="30" t="str">
        <f t="shared" si="18"/>
        <v xml:space="preserve"> </v>
      </c>
    </row>
    <row r="1123" spans="1:6" ht="22.7" customHeight="1">
      <c r="A1123" s="28"/>
      <c r="B1123" s="29" t="str">
        <f>IFERROR(VLOOKUP(A1123,Tabla1[],2,0)," ")</f>
        <v xml:space="preserve"> </v>
      </c>
      <c r="C1123" s="29" t="str">
        <f>IFERROR(VLOOKUP(A1123,Tabla1[],6,0)," ")</f>
        <v xml:space="preserve"> </v>
      </c>
      <c r="D1123" s="30" t="str">
        <f>IFERROR(VLOOKUP(A1123,Tabla1[],8,0)," ")</f>
        <v xml:space="preserve"> </v>
      </c>
      <c r="E1123" s="31"/>
      <c r="F1123" s="30" t="str">
        <f t="shared" si="18"/>
        <v xml:space="preserve"> </v>
      </c>
    </row>
    <row r="1124" spans="1:6" ht="22.7" customHeight="1">
      <c r="A1124" s="28"/>
      <c r="B1124" s="29" t="str">
        <f>IFERROR(VLOOKUP(A1124,Tabla1[],2,0)," ")</f>
        <v xml:space="preserve"> </v>
      </c>
      <c r="C1124" s="29" t="str">
        <f>IFERROR(VLOOKUP(A1124,Tabla1[],6,0)," ")</f>
        <v xml:space="preserve"> </v>
      </c>
      <c r="D1124" s="30" t="str">
        <f>IFERROR(VLOOKUP(A1124,Tabla1[],8,0)," ")</f>
        <v xml:space="preserve"> </v>
      </c>
      <c r="E1124" s="31"/>
      <c r="F1124" s="30" t="str">
        <f t="shared" si="18"/>
        <v xml:space="preserve"> </v>
      </c>
    </row>
    <row r="1125" spans="1:6" ht="22.7" customHeight="1">
      <c r="A1125" s="28"/>
      <c r="B1125" s="29" t="str">
        <f>IFERROR(VLOOKUP(A1125,Tabla1[],2,0)," ")</f>
        <v xml:space="preserve"> </v>
      </c>
      <c r="C1125" s="29" t="str">
        <f>IFERROR(VLOOKUP(A1125,Tabla1[],6,0)," ")</f>
        <v xml:space="preserve"> </v>
      </c>
      <c r="D1125" s="30" t="str">
        <f>IFERROR(VLOOKUP(A1125,Tabla1[],8,0)," ")</f>
        <v xml:space="preserve"> </v>
      </c>
      <c r="E1125" s="31"/>
      <c r="F1125" s="30" t="str">
        <f t="shared" si="18"/>
        <v xml:space="preserve"> </v>
      </c>
    </row>
    <row r="1126" spans="1:6" ht="22.7" customHeight="1">
      <c r="A1126" s="28"/>
      <c r="B1126" s="29" t="str">
        <f>IFERROR(VLOOKUP(A1126,Tabla1[],2,0)," ")</f>
        <v xml:space="preserve"> </v>
      </c>
      <c r="C1126" s="29" t="str">
        <f>IFERROR(VLOOKUP(A1126,Tabla1[],6,0)," ")</f>
        <v xml:space="preserve"> </v>
      </c>
      <c r="D1126" s="30" t="str">
        <f>IFERROR(VLOOKUP(A1126,Tabla1[],8,0)," ")</f>
        <v xml:space="preserve"> </v>
      </c>
      <c r="E1126" s="31"/>
      <c r="F1126" s="30" t="str">
        <f t="shared" si="18"/>
        <v xml:space="preserve"> </v>
      </c>
    </row>
    <row r="1127" spans="1:6" ht="22.7" customHeight="1">
      <c r="A1127" s="28"/>
      <c r="B1127" s="29" t="str">
        <f>IFERROR(VLOOKUP(A1127,Tabla1[],2,0)," ")</f>
        <v xml:space="preserve"> </v>
      </c>
      <c r="C1127" s="29" t="str">
        <f>IFERROR(VLOOKUP(A1127,Tabla1[],6,0)," ")</f>
        <v xml:space="preserve"> </v>
      </c>
      <c r="D1127" s="30" t="str">
        <f>IFERROR(VLOOKUP(A1127,Tabla1[],8,0)," ")</f>
        <v xml:space="preserve"> </v>
      </c>
      <c r="E1127" s="31"/>
      <c r="F1127" s="30" t="str">
        <f t="shared" si="18"/>
        <v xml:space="preserve"> </v>
      </c>
    </row>
    <row r="1128" spans="1:6" ht="22.7" customHeight="1">
      <c r="A1128" s="28"/>
      <c r="B1128" s="29" t="str">
        <f>IFERROR(VLOOKUP(A1128,Tabla1[],2,0)," ")</f>
        <v xml:space="preserve"> </v>
      </c>
      <c r="C1128" s="29" t="str">
        <f>IFERROR(VLOOKUP(A1128,Tabla1[],6,0)," ")</f>
        <v xml:space="preserve"> </v>
      </c>
      <c r="D1128" s="30" t="str">
        <f>IFERROR(VLOOKUP(A1128,Tabla1[],8,0)," ")</f>
        <v xml:space="preserve"> </v>
      </c>
      <c r="E1128" s="31"/>
      <c r="F1128" s="30" t="str">
        <f t="shared" si="18"/>
        <v xml:space="preserve"> </v>
      </c>
    </row>
    <row r="1129" spans="1:6" ht="22.7" customHeight="1">
      <c r="A1129" s="28"/>
      <c r="B1129" s="29" t="str">
        <f>IFERROR(VLOOKUP(A1129,Tabla1[],2,0)," ")</f>
        <v xml:space="preserve"> </v>
      </c>
      <c r="C1129" s="29" t="str">
        <f>IFERROR(VLOOKUP(A1129,Tabla1[],6,0)," ")</f>
        <v xml:space="preserve"> </v>
      </c>
      <c r="D1129" s="30" t="str">
        <f>IFERROR(VLOOKUP(A1129,Tabla1[],8,0)," ")</f>
        <v xml:space="preserve"> </v>
      </c>
      <c r="E1129" s="31"/>
      <c r="F1129" s="30" t="str">
        <f t="shared" si="18"/>
        <v xml:space="preserve"> </v>
      </c>
    </row>
    <row r="1130" spans="1:6" ht="22.7" customHeight="1">
      <c r="A1130" s="28"/>
      <c r="B1130" s="29" t="str">
        <f>IFERROR(VLOOKUP(A1130,Tabla1[],2,0)," ")</f>
        <v xml:space="preserve"> </v>
      </c>
      <c r="C1130" s="29" t="str">
        <f>IFERROR(VLOOKUP(A1130,Tabla1[],6,0)," ")</f>
        <v xml:space="preserve"> </v>
      </c>
      <c r="D1130" s="30" t="str">
        <f>IFERROR(VLOOKUP(A1130,Tabla1[],8,0)," ")</f>
        <v xml:space="preserve"> </v>
      </c>
      <c r="E1130" s="31"/>
      <c r="F1130" s="30" t="str">
        <f t="shared" si="18"/>
        <v xml:space="preserve"> </v>
      </c>
    </row>
    <row r="1131" spans="1:6" ht="22.7" customHeight="1">
      <c r="A1131" s="28"/>
      <c r="B1131" s="29" t="str">
        <f>IFERROR(VLOOKUP(A1131,Tabla1[],2,0)," ")</f>
        <v xml:space="preserve"> </v>
      </c>
      <c r="C1131" s="29" t="str">
        <f>IFERROR(VLOOKUP(A1131,Tabla1[],6,0)," ")</f>
        <v xml:space="preserve"> </v>
      </c>
      <c r="D1131" s="30" t="str">
        <f>IFERROR(VLOOKUP(A1131,Tabla1[],8,0)," ")</f>
        <v xml:space="preserve"> </v>
      </c>
      <c r="E1131" s="31"/>
      <c r="F1131" s="30" t="str">
        <f t="shared" si="18"/>
        <v xml:space="preserve"> </v>
      </c>
    </row>
    <row r="1132" spans="1:6" ht="22.7" customHeight="1">
      <c r="A1132" s="28"/>
      <c r="B1132" s="29" t="str">
        <f>IFERROR(VLOOKUP(A1132,Tabla1[],2,0)," ")</f>
        <v xml:space="preserve"> </v>
      </c>
      <c r="C1132" s="29" t="str">
        <f>IFERROR(VLOOKUP(A1132,Tabla1[],6,0)," ")</f>
        <v xml:space="preserve"> </v>
      </c>
      <c r="D1132" s="30" t="str">
        <f>IFERROR(VLOOKUP(A1132,Tabla1[],8,0)," ")</f>
        <v xml:space="preserve"> </v>
      </c>
      <c r="E1132" s="31"/>
      <c r="F1132" s="30" t="str">
        <f t="shared" si="18"/>
        <v xml:space="preserve"> </v>
      </c>
    </row>
    <row r="1133" spans="1:6" ht="22.7" customHeight="1">
      <c r="A1133" s="28"/>
      <c r="B1133" s="29" t="str">
        <f>IFERROR(VLOOKUP(A1133,Tabla1[],2,0)," ")</f>
        <v xml:space="preserve"> </v>
      </c>
      <c r="C1133" s="29" t="str">
        <f>IFERROR(VLOOKUP(A1133,Tabla1[],6,0)," ")</f>
        <v xml:space="preserve"> </v>
      </c>
      <c r="D1133" s="30" t="str">
        <f>IFERROR(VLOOKUP(A1133,Tabla1[],8,0)," ")</f>
        <v xml:space="preserve"> </v>
      </c>
      <c r="E1133" s="31"/>
      <c r="F1133" s="30" t="str">
        <f t="shared" si="18"/>
        <v xml:space="preserve"> </v>
      </c>
    </row>
    <row r="1134" spans="1:6" ht="22.7" customHeight="1">
      <c r="A1134" s="28"/>
      <c r="B1134" s="29" t="str">
        <f>IFERROR(VLOOKUP(A1134,Tabla1[],2,0)," ")</f>
        <v xml:space="preserve"> </v>
      </c>
      <c r="C1134" s="29" t="str">
        <f>IFERROR(VLOOKUP(A1134,Tabla1[],6,0)," ")</f>
        <v xml:space="preserve"> </v>
      </c>
      <c r="D1134" s="30" t="str">
        <f>IFERROR(VLOOKUP(A1134,Tabla1[],8,0)," ")</f>
        <v xml:space="preserve"> </v>
      </c>
      <c r="E1134" s="31"/>
      <c r="F1134" s="30" t="str">
        <f t="shared" si="18"/>
        <v xml:space="preserve"> </v>
      </c>
    </row>
    <row r="1135" spans="1:6" ht="22.7" customHeight="1">
      <c r="A1135" s="28"/>
      <c r="B1135" s="29" t="str">
        <f>IFERROR(VLOOKUP(A1135,Tabla1[],2,0)," ")</f>
        <v xml:space="preserve"> </v>
      </c>
      <c r="C1135" s="29" t="str">
        <f>IFERROR(VLOOKUP(A1135,Tabla1[],6,0)," ")</f>
        <v xml:space="preserve"> </v>
      </c>
      <c r="D1135" s="30" t="str">
        <f>IFERROR(VLOOKUP(A1135,Tabla1[],8,0)," ")</f>
        <v xml:space="preserve"> </v>
      </c>
      <c r="E1135" s="31"/>
      <c r="F1135" s="30" t="str">
        <f t="shared" si="18"/>
        <v xml:space="preserve"> </v>
      </c>
    </row>
    <row r="1136" spans="1:6" ht="22.7" customHeight="1">
      <c r="A1136" s="28"/>
      <c r="B1136" s="29" t="str">
        <f>IFERROR(VLOOKUP(A1136,Tabla1[],2,0)," ")</f>
        <v xml:space="preserve"> </v>
      </c>
      <c r="C1136" s="29" t="str">
        <f>IFERROR(VLOOKUP(A1136,Tabla1[],6,0)," ")</f>
        <v xml:space="preserve"> </v>
      </c>
      <c r="D1136" s="30" t="str">
        <f>IFERROR(VLOOKUP(A1136,Tabla1[],8,0)," ")</f>
        <v xml:space="preserve"> </v>
      </c>
      <c r="E1136" s="31"/>
      <c r="F1136" s="30" t="str">
        <f t="shared" si="18"/>
        <v xml:space="preserve"> </v>
      </c>
    </row>
    <row r="1137" spans="1:6" ht="22.7" customHeight="1">
      <c r="A1137" s="28"/>
      <c r="B1137" s="29" t="str">
        <f>IFERROR(VLOOKUP(A1137,Tabla1[],2,0)," ")</f>
        <v xml:space="preserve"> </v>
      </c>
      <c r="C1137" s="29" t="str">
        <f>IFERROR(VLOOKUP(A1137,Tabla1[],6,0)," ")</f>
        <v xml:space="preserve"> </v>
      </c>
      <c r="D1137" s="30" t="str">
        <f>IFERROR(VLOOKUP(A1137,Tabla1[],8,0)," ")</f>
        <v xml:space="preserve"> </v>
      </c>
      <c r="E1137" s="31"/>
      <c r="F1137" s="30" t="str">
        <f t="shared" si="18"/>
        <v xml:space="preserve"> </v>
      </c>
    </row>
    <row r="1138" spans="1:6" ht="22.7" customHeight="1">
      <c r="A1138" s="28"/>
      <c r="B1138" s="29" t="str">
        <f>IFERROR(VLOOKUP(A1138,Tabla1[],2,0)," ")</f>
        <v xml:space="preserve"> </v>
      </c>
      <c r="C1138" s="29" t="str">
        <f>IFERROR(VLOOKUP(A1138,Tabla1[],6,0)," ")</f>
        <v xml:space="preserve"> </v>
      </c>
      <c r="D1138" s="30" t="str">
        <f>IFERROR(VLOOKUP(A1138,Tabla1[],8,0)," ")</f>
        <v xml:space="preserve"> </v>
      </c>
      <c r="E1138" s="31"/>
      <c r="F1138" s="30" t="str">
        <f t="shared" si="18"/>
        <v xml:space="preserve"> </v>
      </c>
    </row>
    <row r="1139" spans="1:6" ht="22.7" customHeight="1">
      <c r="A1139" s="28"/>
      <c r="B1139" s="29" t="str">
        <f>IFERROR(VLOOKUP(A1139,Tabla1[],2,0)," ")</f>
        <v xml:space="preserve"> </v>
      </c>
      <c r="C1139" s="29" t="str">
        <f>IFERROR(VLOOKUP(A1139,Tabla1[],6,0)," ")</f>
        <v xml:space="preserve"> </v>
      </c>
      <c r="D1139" s="30" t="str">
        <f>IFERROR(VLOOKUP(A1139,Tabla1[],8,0)," ")</f>
        <v xml:space="preserve"> </v>
      </c>
      <c r="E1139" s="31"/>
      <c r="F1139" s="30" t="str">
        <f t="shared" si="18"/>
        <v xml:space="preserve"> </v>
      </c>
    </row>
    <row r="1140" spans="1:6" ht="22.7" customHeight="1">
      <c r="A1140" s="28"/>
      <c r="B1140" s="29" t="str">
        <f>IFERROR(VLOOKUP(A1140,Tabla1[],2,0)," ")</f>
        <v xml:space="preserve"> </v>
      </c>
      <c r="C1140" s="29" t="str">
        <f>IFERROR(VLOOKUP(A1140,Tabla1[],6,0)," ")</f>
        <v xml:space="preserve"> </v>
      </c>
      <c r="D1140" s="30" t="str">
        <f>IFERROR(VLOOKUP(A1140,Tabla1[],8,0)," ")</f>
        <v xml:space="preserve"> </v>
      </c>
      <c r="E1140" s="31"/>
      <c r="F1140" s="30" t="str">
        <f t="shared" si="18"/>
        <v xml:space="preserve"> </v>
      </c>
    </row>
    <row r="1141" spans="1:6" ht="22.7" customHeight="1">
      <c r="A1141" s="28"/>
      <c r="B1141" s="29" t="str">
        <f>IFERROR(VLOOKUP(A1141,Tabla1[],2,0)," ")</f>
        <v xml:space="preserve"> </v>
      </c>
      <c r="C1141" s="29" t="str">
        <f>IFERROR(VLOOKUP(A1141,Tabla1[],6,0)," ")</f>
        <v xml:space="preserve"> </v>
      </c>
      <c r="D1141" s="30" t="str">
        <f>IFERROR(VLOOKUP(A1141,Tabla1[],8,0)," ")</f>
        <v xml:space="preserve"> </v>
      </c>
      <c r="E1141" s="31"/>
      <c r="F1141" s="30" t="str">
        <f t="shared" si="18"/>
        <v xml:space="preserve"> </v>
      </c>
    </row>
    <row r="1142" spans="1:6" ht="22.7" customHeight="1">
      <c r="A1142" s="28"/>
      <c r="B1142" s="29" t="str">
        <f>IFERROR(VLOOKUP(A1142,Tabla1[],2,0)," ")</f>
        <v xml:space="preserve"> </v>
      </c>
      <c r="C1142" s="29" t="str">
        <f>IFERROR(VLOOKUP(A1142,Tabla1[],6,0)," ")</f>
        <v xml:space="preserve"> </v>
      </c>
      <c r="D1142" s="30" t="str">
        <f>IFERROR(VLOOKUP(A1142,Tabla1[],8,0)," ")</f>
        <v xml:space="preserve"> </v>
      </c>
      <c r="E1142" s="31"/>
      <c r="F1142" s="30" t="str">
        <f t="shared" si="18"/>
        <v xml:space="preserve"> </v>
      </c>
    </row>
    <row r="1143" spans="1:6" ht="22.7" customHeight="1">
      <c r="A1143" s="28"/>
      <c r="B1143" s="29" t="str">
        <f>IFERROR(VLOOKUP(A1143,Tabla1[],2,0)," ")</f>
        <v xml:space="preserve"> </v>
      </c>
      <c r="C1143" s="29" t="str">
        <f>IFERROR(VLOOKUP(A1143,Tabla1[],6,0)," ")</f>
        <v xml:space="preserve"> </v>
      </c>
      <c r="D1143" s="30" t="str">
        <f>IFERROR(VLOOKUP(A1143,Tabla1[],8,0)," ")</f>
        <v xml:space="preserve"> </v>
      </c>
      <c r="E1143" s="31"/>
      <c r="F1143" s="30" t="str">
        <f t="shared" si="18"/>
        <v xml:space="preserve"> </v>
      </c>
    </row>
    <row r="1144" spans="1:6" ht="22.7" customHeight="1">
      <c r="A1144" s="28"/>
      <c r="B1144" s="29" t="str">
        <f>IFERROR(VLOOKUP(A1144,Tabla1[],2,0)," ")</f>
        <v xml:space="preserve"> </v>
      </c>
      <c r="C1144" s="29" t="str">
        <f>IFERROR(VLOOKUP(A1144,Tabla1[],6,0)," ")</f>
        <v xml:space="preserve"> </v>
      </c>
      <c r="D1144" s="30" t="str">
        <f>IFERROR(VLOOKUP(A1144,Tabla1[],8,0)," ")</f>
        <v xml:space="preserve"> </v>
      </c>
      <c r="E1144" s="31"/>
      <c r="F1144" s="30" t="str">
        <f t="shared" si="18"/>
        <v xml:space="preserve"> </v>
      </c>
    </row>
    <row r="1145" spans="1:6" ht="22.7" customHeight="1">
      <c r="A1145" s="28"/>
      <c r="B1145" s="29" t="str">
        <f>IFERROR(VLOOKUP(A1145,Tabla1[],2,0)," ")</f>
        <v xml:space="preserve"> </v>
      </c>
      <c r="C1145" s="29" t="str">
        <f>IFERROR(VLOOKUP(A1145,Tabla1[],6,0)," ")</f>
        <v xml:space="preserve"> </v>
      </c>
      <c r="D1145" s="30" t="str">
        <f>IFERROR(VLOOKUP(A1145,Tabla1[],8,0)," ")</f>
        <v xml:space="preserve"> </v>
      </c>
      <c r="E1145" s="31"/>
      <c r="F1145" s="30" t="str">
        <f t="shared" si="18"/>
        <v xml:space="preserve"> </v>
      </c>
    </row>
    <row r="1146" spans="1:6" ht="22.7" customHeight="1">
      <c r="A1146" s="28"/>
      <c r="B1146" s="29" t="str">
        <f>IFERROR(VLOOKUP(A1146,Tabla1[],2,0)," ")</f>
        <v xml:space="preserve"> </v>
      </c>
      <c r="C1146" s="29" t="str">
        <f>IFERROR(VLOOKUP(A1146,Tabla1[],6,0)," ")</f>
        <v xml:space="preserve"> </v>
      </c>
      <c r="D1146" s="30" t="str">
        <f>IFERROR(VLOOKUP(A1146,Tabla1[],8,0)," ")</f>
        <v xml:space="preserve"> </v>
      </c>
      <c r="E1146" s="31"/>
      <c r="F1146" s="30" t="str">
        <f t="shared" si="18"/>
        <v xml:space="preserve"> </v>
      </c>
    </row>
    <row r="1147" spans="1:6" ht="22.7" customHeight="1">
      <c r="A1147" s="28"/>
      <c r="B1147" s="29" t="str">
        <f>IFERROR(VLOOKUP(A1147,Tabla1[],2,0)," ")</f>
        <v xml:space="preserve"> </v>
      </c>
      <c r="C1147" s="29" t="str">
        <f>IFERROR(VLOOKUP(A1147,Tabla1[],6,0)," ")</f>
        <v xml:space="preserve"> </v>
      </c>
      <c r="D1147" s="30" t="str">
        <f>IFERROR(VLOOKUP(A1147,Tabla1[],8,0)," ")</f>
        <v xml:space="preserve"> </v>
      </c>
      <c r="E1147" s="31"/>
      <c r="F1147" s="30" t="str">
        <f t="shared" si="18"/>
        <v xml:space="preserve"> </v>
      </c>
    </row>
    <row r="1148" spans="1:6" ht="22.7" customHeight="1">
      <c r="A1148" s="28"/>
      <c r="B1148" s="29" t="str">
        <f>IFERROR(VLOOKUP(A1148,Tabla1[],2,0)," ")</f>
        <v xml:space="preserve"> </v>
      </c>
      <c r="C1148" s="29" t="str">
        <f>IFERROR(VLOOKUP(A1148,Tabla1[],6,0)," ")</f>
        <v xml:space="preserve"> </v>
      </c>
      <c r="D1148" s="30" t="str">
        <f>IFERROR(VLOOKUP(A1148,Tabla1[],8,0)," ")</f>
        <v xml:space="preserve"> </v>
      </c>
      <c r="E1148" s="31"/>
      <c r="F1148" s="30" t="str">
        <f t="shared" si="18"/>
        <v xml:space="preserve"> </v>
      </c>
    </row>
    <row r="1149" spans="1:6" ht="22.7" customHeight="1">
      <c r="A1149" s="28"/>
      <c r="B1149" s="29" t="str">
        <f>IFERROR(VLOOKUP(A1149,Tabla1[],2,0)," ")</f>
        <v xml:space="preserve"> </v>
      </c>
      <c r="C1149" s="29" t="str">
        <f>IFERROR(VLOOKUP(A1149,Tabla1[],6,0)," ")</f>
        <v xml:space="preserve"> </v>
      </c>
      <c r="D1149" s="30" t="str">
        <f>IFERROR(VLOOKUP(A1149,Tabla1[],8,0)," ")</f>
        <v xml:space="preserve"> </v>
      </c>
      <c r="E1149" s="31"/>
      <c r="F1149" s="30" t="str">
        <f t="shared" si="18"/>
        <v xml:space="preserve"> </v>
      </c>
    </row>
    <row r="1150" spans="1:6" ht="22.7" customHeight="1">
      <c r="A1150" s="28"/>
      <c r="B1150" s="29" t="str">
        <f>IFERROR(VLOOKUP(A1150,Tabla1[],2,0)," ")</f>
        <v xml:space="preserve"> </v>
      </c>
      <c r="C1150" s="29" t="str">
        <f>IFERROR(VLOOKUP(A1150,Tabla1[],6,0)," ")</f>
        <v xml:space="preserve"> </v>
      </c>
      <c r="D1150" s="30" t="str">
        <f>IFERROR(VLOOKUP(A1150,Tabla1[],8,0)," ")</f>
        <v xml:space="preserve"> </v>
      </c>
      <c r="E1150" s="31"/>
      <c r="F1150" s="30" t="str">
        <f t="shared" si="18"/>
        <v xml:space="preserve"> </v>
      </c>
    </row>
    <row r="1151" spans="1:6" ht="22.7" customHeight="1">
      <c r="A1151" s="28"/>
      <c r="B1151" s="29" t="str">
        <f>IFERROR(VLOOKUP(A1151,Tabla1[],2,0)," ")</f>
        <v xml:space="preserve"> </v>
      </c>
      <c r="C1151" s="29" t="str">
        <f>IFERROR(VLOOKUP(A1151,Tabla1[],6,0)," ")</f>
        <v xml:space="preserve"> </v>
      </c>
      <c r="D1151" s="30" t="str">
        <f>IFERROR(VLOOKUP(A1151,Tabla1[],8,0)," ")</f>
        <v xml:space="preserve"> </v>
      </c>
      <c r="E1151" s="31"/>
      <c r="F1151" s="30" t="str">
        <f t="shared" si="18"/>
        <v xml:space="preserve"> </v>
      </c>
    </row>
    <row r="1152" spans="1:6" ht="22.7" customHeight="1">
      <c r="A1152" s="28"/>
      <c r="B1152" s="29" t="str">
        <f>IFERROR(VLOOKUP(A1152,Tabla1[],2,0)," ")</f>
        <v xml:space="preserve"> </v>
      </c>
      <c r="C1152" s="29" t="str">
        <f>IFERROR(VLOOKUP(A1152,Tabla1[],6,0)," ")</f>
        <v xml:space="preserve"> </v>
      </c>
      <c r="D1152" s="30" t="str">
        <f>IFERROR(VLOOKUP(A1152,Tabla1[],8,0)," ")</f>
        <v xml:space="preserve"> </v>
      </c>
      <c r="E1152" s="31"/>
      <c r="F1152" s="30" t="str">
        <f t="shared" si="18"/>
        <v xml:space="preserve"> </v>
      </c>
    </row>
    <row r="1153" spans="1:6" ht="22.7" customHeight="1">
      <c r="A1153" s="28"/>
      <c r="B1153" s="29" t="str">
        <f>IFERROR(VLOOKUP(A1153,Tabla1[],2,0)," ")</f>
        <v xml:space="preserve"> </v>
      </c>
      <c r="C1153" s="29" t="str">
        <f>IFERROR(VLOOKUP(A1153,Tabla1[],6,0)," ")</f>
        <v xml:space="preserve"> </v>
      </c>
      <c r="D1153" s="30" t="str">
        <f>IFERROR(VLOOKUP(A1153,Tabla1[],8,0)," ")</f>
        <v xml:space="preserve"> </v>
      </c>
      <c r="E1153" s="31"/>
      <c r="F1153" s="30" t="str">
        <f t="shared" si="18"/>
        <v xml:space="preserve"> </v>
      </c>
    </row>
    <row r="1154" spans="1:6" ht="22.7" customHeight="1">
      <c r="A1154" s="28"/>
      <c r="B1154" s="29" t="str">
        <f>IFERROR(VLOOKUP(A1154,Tabla1[],2,0)," ")</f>
        <v xml:space="preserve"> </v>
      </c>
      <c r="C1154" s="29" t="str">
        <f>IFERROR(VLOOKUP(A1154,Tabla1[],6,0)," ")</f>
        <v xml:space="preserve"> </v>
      </c>
      <c r="D1154" s="30" t="str">
        <f>IFERROR(VLOOKUP(A1154,Tabla1[],8,0)," ")</f>
        <v xml:space="preserve"> </v>
      </c>
      <c r="E1154" s="31"/>
      <c r="F1154" s="30" t="str">
        <f t="shared" si="18"/>
        <v xml:space="preserve"> </v>
      </c>
    </row>
    <row r="1155" spans="1:6" ht="22.7" customHeight="1">
      <c r="A1155" s="28"/>
      <c r="B1155" s="29" t="str">
        <f>IFERROR(VLOOKUP(A1155,Tabla1[],2,0)," ")</f>
        <v xml:space="preserve"> </v>
      </c>
      <c r="C1155" s="29" t="str">
        <f>IFERROR(VLOOKUP(A1155,Tabla1[],6,0)," ")</f>
        <v xml:space="preserve"> </v>
      </c>
      <c r="D1155" s="30" t="str">
        <f>IFERROR(VLOOKUP(A1155,Tabla1[],8,0)," ")</f>
        <v xml:space="preserve"> </v>
      </c>
      <c r="E1155" s="31"/>
      <c r="F1155" s="30" t="str">
        <f t="shared" si="18"/>
        <v xml:space="preserve"> </v>
      </c>
    </row>
    <row r="1156" spans="1:6" ht="22.7" customHeight="1">
      <c r="A1156" s="28"/>
      <c r="B1156" s="29" t="str">
        <f>IFERROR(VLOOKUP(A1156,Tabla1[],2,0)," ")</f>
        <v xml:space="preserve"> </v>
      </c>
      <c r="C1156" s="29" t="str">
        <f>IFERROR(VLOOKUP(A1156,Tabla1[],6,0)," ")</f>
        <v xml:space="preserve"> </v>
      </c>
      <c r="D1156" s="30" t="str">
        <f>IFERROR(VLOOKUP(A1156,Tabla1[],8,0)," ")</f>
        <v xml:space="preserve"> </v>
      </c>
      <c r="E1156" s="31"/>
      <c r="F1156" s="30" t="str">
        <f t="shared" ref="F1156:F1219" si="19">IFERROR((E1156*D1156), " ")</f>
        <v xml:space="preserve"> </v>
      </c>
    </row>
    <row r="1157" spans="1:6" ht="22.7" customHeight="1">
      <c r="A1157" s="28"/>
      <c r="B1157" s="29" t="str">
        <f>IFERROR(VLOOKUP(A1157,Tabla1[],2,0)," ")</f>
        <v xml:space="preserve"> </v>
      </c>
      <c r="C1157" s="29" t="str">
        <f>IFERROR(VLOOKUP(A1157,Tabla1[],6,0)," ")</f>
        <v xml:space="preserve"> </v>
      </c>
      <c r="D1157" s="30" t="str">
        <f>IFERROR(VLOOKUP(A1157,Tabla1[],8,0)," ")</f>
        <v xml:space="preserve"> </v>
      </c>
      <c r="E1157" s="31"/>
      <c r="F1157" s="30" t="str">
        <f t="shared" si="19"/>
        <v xml:space="preserve"> </v>
      </c>
    </row>
    <row r="1158" spans="1:6" ht="22.7" customHeight="1">
      <c r="A1158" s="28"/>
      <c r="B1158" s="29" t="str">
        <f>IFERROR(VLOOKUP(A1158,Tabla1[],2,0)," ")</f>
        <v xml:space="preserve"> </v>
      </c>
      <c r="C1158" s="29" t="str">
        <f>IFERROR(VLOOKUP(A1158,Tabla1[],6,0)," ")</f>
        <v xml:space="preserve"> </v>
      </c>
      <c r="D1158" s="30" t="str">
        <f>IFERROR(VLOOKUP(A1158,Tabla1[],8,0)," ")</f>
        <v xml:space="preserve"> </v>
      </c>
      <c r="E1158" s="31"/>
      <c r="F1158" s="30" t="str">
        <f t="shared" si="19"/>
        <v xml:space="preserve"> </v>
      </c>
    </row>
    <row r="1159" spans="1:6" ht="22.7" customHeight="1">
      <c r="A1159" s="28"/>
      <c r="B1159" s="29" t="str">
        <f>IFERROR(VLOOKUP(A1159,Tabla1[],2,0)," ")</f>
        <v xml:space="preserve"> </v>
      </c>
      <c r="C1159" s="29" t="str">
        <f>IFERROR(VLOOKUP(A1159,Tabla1[],6,0)," ")</f>
        <v xml:space="preserve"> </v>
      </c>
      <c r="D1159" s="30" t="str">
        <f>IFERROR(VLOOKUP(A1159,Tabla1[],8,0)," ")</f>
        <v xml:space="preserve"> </v>
      </c>
      <c r="E1159" s="31"/>
      <c r="F1159" s="30" t="str">
        <f t="shared" si="19"/>
        <v xml:space="preserve"> </v>
      </c>
    </row>
    <row r="1160" spans="1:6" ht="22.7" customHeight="1">
      <c r="A1160" s="28"/>
      <c r="B1160" s="29" t="str">
        <f>IFERROR(VLOOKUP(A1160,Tabla1[],2,0)," ")</f>
        <v xml:space="preserve"> </v>
      </c>
      <c r="C1160" s="29" t="str">
        <f>IFERROR(VLOOKUP(A1160,Tabla1[],6,0)," ")</f>
        <v xml:space="preserve"> </v>
      </c>
      <c r="D1160" s="30" t="str">
        <f>IFERROR(VLOOKUP(A1160,Tabla1[],8,0)," ")</f>
        <v xml:space="preserve"> </v>
      </c>
      <c r="E1160" s="31"/>
      <c r="F1160" s="30" t="str">
        <f t="shared" si="19"/>
        <v xml:space="preserve"> </v>
      </c>
    </row>
    <row r="1161" spans="1:6" ht="22.7" customHeight="1">
      <c r="A1161" s="28"/>
      <c r="B1161" s="29" t="str">
        <f>IFERROR(VLOOKUP(A1161,Tabla1[],2,0)," ")</f>
        <v xml:space="preserve"> </v>
      </c>
      <c r="C1161" s="29" t="str">
        <f>IFERROR(VLOOKUP(A1161,Tabla1[],6,0)," ")</f>
        <v xml:space="preserve"> </v>
      </c>
      <c r="D1161" s="30" t="str">
        <f>IFERROR(VLOOKUP(A1161,Tabla1[],8,0)," ")</f>
        <v xml:space="preserve"> </v>
      </c>
      <c r="E1161" s="31"/>
      <c r="F1161" s="30" t="str">
        <f t="shared" si="19"/>
        <v xml:space="preserve"> </v>
      </c>
    </row>
    <row r="1162" spans="1:6" ht="22.7" customHeight="1">
      <c r="A1162" s="28"/>
      <c r="B1162" s="29" t="str">
        <f>IFERROR(VLOOKUP(A1162,Tabla1[],2,0)," ")</f>
        <v xml:space="preserve"> </v>
      </c>
      <c r="C1162" s="29" t="str">
        <f>IFERROR(VLOOKUP(A1162,Tabla1[],6,0)," ")</f>
        <v xml:space="preserve"> </v>
      </c>
      <c r="D1162" s="30" t="str">
        <f>IFERROR(VLOOKUP(A1162,Tabla1[],8,0)," ")</f>
        <v xml:space="preserve"> </v>
      </c>
      <c r="E1162" s="31"/>
      <c r="F1162" s="30" t="str">
        <f t="shared" si="19"/>
        <v xml:space="preserve"> </v>
      </c>
    </row>
    <row r="1163" spans="1:6" ht="22.7" customHeight="1">
      <c r="A1163" s="28"/>
      <c r="B1163" s="29" t="str">
        <f>IFERROR(VLOOKUP(A1163,Tabla1[],2,0)," ")</f>
        <v xml:space="preserve"> </v>
      </c>
      <c r="C1163" s="29" t="str">
        <f>IFERROR(VLOOKUP(A1163,Tabla1[],6,0)," ")</f>
        <v xml:space="preserve"> </v>
      </c>
      <c r="D1163" s="30" t="str">
        <f>IFERROR(VLOOKUP(A1163,Tabla1[],8,0)," ")</f>
        <v xml:space="preserve"> </v>
      </c>
      <c r="E1163" s="31"/>
      <c r="F1163" s="30" t="str">
        <f t="shared" si="19"/>
        <v xml:space="preserve"> </v>
      </c>
    </row>
    <row r="1164" spans="1:6" ht="22.7" customHeight="1">
      <c r="A1164" s="28"/>
      <c r="B1164" s="29" t="str">
        <f>IFERROR(VLOOKUP(A1164,Tabla1[],2,0)," ")</f>
        <v xml:space="preserve"> </v>
      </c>
      <c r="C1164" s="29" t="str">
        <f>IFERROR(VLOOKUP(A1164,Tabla1[],6,0)," ")</f>
        <v xml:space="preserve"> </v>
      </c>
      <c r="D1164" s="30" t="str">
        <f>IFERROR(VLOOKUP(A1164,Tabla1[],8,0)," ")</f>
        <v xml:space="preserve"> </v>
      </c>
      <c r="E1164" s="31"/>
      <c r="F1164" s="30" t="str">
        <f t="shared" si="19"/>
        <v xml:space="preserve"> </v>
      </c>
    </row>
    <row r="1165" spans="1:6" ht="22.7" customHeight="1">
      <c r="A1165" s="28"/>
      <c r="B1165" s="29" t="str">
        <f>IFERROR(VLOOKUP(A1165,Tabla1[],2,0)," ")</f>
        <v xml:space="preserve"> </v>
      </c>
      <c r="C1165" s="29" t="str">
        <f>IFERROR(VLOOKUP(A1165,Tabla1[],6,0)," ")</f>
        <v xml:space="preserve"> </v>
      </c>
      <c r="D1165" s="30" t="str">
        <f>IFERROR(VLOOKUP(A1165,Tabla1[],8,0)," ")</f>
        <v xml:space="preserve"> </v>
      </c>
      <c r="E1165" s="31"/>
      <c r="F1165" s="30" t="str">
        <f t="shared" si="19"/>
        <v xml:space="preserve"> </v>
      </c>
    </row>
    <row r="1166" spans="1:6" ht="22.7" customHeight="1">
      <c r="A1166" s="28"/>
      <c r="B1166" s="29" t="str">
        <f>IFERROR(VLOOKUP(A1166,Tabla1[],2,0)," ")</f>
        <v xml:space="preserve"> </v>
      </c>
      <c r="C1166" s="29" t="str">
        <f>IFERROR(VLOOKUP(A1166,Tabla1[],6,0)," ")</f>
        <v xml:space="preserve"> </v>
      </c>
      <c r="D1166" s="30" t="str">
        <f>IFERROR(VLOOKUP(A1166,Tabla1[],8,0)," ")</f>
        <v xml:space="preserve"> </v>
      </c>
      <c r="E1166" s="31"/>
      <c r="F1166" s="30" t="str">
        <f t="shared" si="19"/>
        <v xml:space="preserve"> </v>
      </c>
    </row>
    <row r="1167" spans="1:6" ht="22.7" customHeight="1">
      <c r="A1167" s="28"/>
      <c r="B1167" s="29" t="str">
        <f>IFERROR(VLOOKUP(A1167,Tabla1[],2,0)," ")</f>
        <v xml:space="preserve"> </v>
      </c>
      <c r="C1167" s="29" t="str">
        <f>IFERROR(VLOOKUP(A1167,Tabla1[],6,0)," ")</f>
        <v xml:space="preserve"> </v>
      </c>
      <c r="D1167" s="30" t="str">
        <f>IFERROR(VLOOKUP(A1167,Tabla1[],8,0)," ")</f>
        <v xml:space="preserve"> </v>
      </c>
      <c r="E1167" s="31"/>
      <c r="F1167" s="30" t="str">
        <f t="shared" si="19"/>
        <v xml:space="preserve"> </v>
      </c>
    </row>
    <row r="1168" spans="1:6" ht="22.7" customHeight="1">
      <c r="A1168" s="28"/>
      <c r="B1168" s="29" t="str">
        <f>IFERROR(VLOOKUP(A1168,Tabla1[],2,0)," ")</f>
        <v xml:space="preserve"> </v>
      </c>
      <c r="C1168" s="29" t="str">
        <f>IFERROR(VLOOKUP(A1168,Tabla1[],6,0)," ")</f>
        <v xml:space="preserve"> </v>
      </c>
      <c r="D1168" s="30" t="str">
        <f>IFERROR(VLOOKUP(A1168,Tabla1[],8,0)," ")</f>
        <v xml:space="preserve"> </v>
      </c>
      <c r="E1168" s="31"/>
      <c r="F1168" s="30" t="str">
        <f t="shared" si="19"/>
        <v xml:space="preserve"> </v>
      </c>
    </row>
    <row r="1169" spans="1:6" ht="22.7" customHeight="1">
      <c r="A1169" s="28"/>
      <c r="B1169" s="29" t="str">
        <f>IFERROR(VLOOKUP(A1169,Tabla1[],2,0)," ")</f>
        <v xml:space="preserve"> </v>
      </c>
      <c r="C1169" s="29" t="str">
        <f>IFERROR(VLOOKUP(A1169,Tabla1[],6,0)," ")</f>
        <v xml:space="preserve"> </v>
      </c>
      <c r="D1169" s="30" t="str">
        <f>IFERROR(VLOOKUP(A1169,Tabla1[],8,0)," ")</f>
        <v xml:space="preserve"> </v>
      </c>
      <c r="E1169" s="31"/>
      <c r="F1169" s="30" t="str">
        <f t="shared" si="19"/>
        <v xml:space="preserve"> </v>
      </c>
    </row>
    <row r="1170" spans="1:6" ht="22.7" customHeight="1">
      <c r="A1170" s="28"/>
      <c r="B1170" s="29" t="str">
        <f>IFERROR(VLOOKUP(A1170,Tabla1[],2,0)," ")</f>
        <v xml:space="preserve"> </v>
      </c>
      <c r="C1170" s="29" t="str">
        <f>IFERROR(VLOOKUP(A1170,Tabla1[],6,0)," ")</f>
        <v xml:space="preserve"> </v>
      </c>
      <c r="D1170" s="30" t="str">
        <f>IFERROR(VLOOKUP(A1170,Tabla1[],8,0)," ")</f>
        <v xml:space="preserve"> </v>
      </c>
      <c r="E1170" s="31"/>
      <c r="F1170" s="30" t="str">
        <f t="shared" si="19"/>
        <v xml:space="preserve"> </v>
      </c>
    </row>
    <row r="1171" spans="1:6" ht="22.7" customHeight="1">
      <c r="A1171" s="28"/>
      <c r="B1171" s="29" t="str">
        <f>IFERROR(VLOOKUP(A1171,Tabla1[],2,0)," ")</f>
        <v xml:space="preserve"> </v>
      </c>
      <c r="C1171" s="29" t="str">
        <f>IFERROR(VLOOKUP(A1171,Tabla1[],6,0)," ")</f>
        <v xml:space="preserve"> </v>
      </c>
      <c r="D1171" s="30" t="str">
        <f>IFERROR(VLOOKUP(A1171,Tabla1[],8,0)," ")</f>
        <v xml:space="preserve"> </v>
      </c>
      <c r="E1171" s="31"/>
      <c r="F1171" s="30" t="str">
        <f t="shared" si="19"/>
        <v xml:space="preserve"> </v>
      </c>
    </row>
    <row r="1172" spans="1:6" ht="22.7" customHeight="1">
      <c r="A1172" s="28"/>
      <c r="B1172" s="29" t="str">
        <f>IFERROR(VLOOKUP(A1172,Tabla1[],2,0)," ")</f>
        <v xml:space="preserve"> </v>
      </c>
      <c r="C1172" s="29" t="str">
        <f>IFERROR(VLOOKUP(A1172,Tabla1[],6,0)," ")</f>
        <v xml:space="preserve"> </v>
      </c>
      <c r="D1172" s="30" t="str">
        <f>IFERROR(VLOOKUP(A1172,Tabla1[],8,0)," ")</f>
        <v xml:space="preserve"> </v>
      </c>
      <c r="E1172" s="31"/>
      <c r="F1172" s="30" t="str">
        <f t="shared" si="19"/>
        <v xml:space="preserve"> </v>
      </c>
    </row>
    <row r="1173" spans="1:6" ht="22.7" customHeight="1">
      <c r="A1173" s="28"/>
      <c r="B1173" s="29" t="str">
        <f>IFERROR(VLOOKUP(A1173,Tabla1[],2,0)," ")</f>
        <v xml:space="preserve"> </v>
      </c>
      <c r="C1173" s="29" t="str">
        <f>IFERROR(VLOOKUP(A1173,Tabla1[],6,0)," ")</f>
        <v xml:space="preserve"> </v>
      </c>
      <c r="D1173" s="30" t="str">
        <f>IFERROR(VLOOKUP(A1173,Tabla1[],8,0)," ")</f>
        <v xml:space="preserve"> </v>
      </c>
      <c r="E1173" s="31"/>
      <c r="F1173" s="30" t="str">
        <f t="shared" si="19"/>
        <v xml:space="preserve"> </v>
      </c>
    </row>
    <row r="1174" spans="1:6" ht="22.7" customHeight="1">
      <c r="A1174" s="28"/>
      <c r="B1174" s="29" t="str">
        <f>IFERROR(VLOOKUP(A1174,Tabla1[],2,0)," ")</f>
        <v xml:space="preserve"> </v>
      </c>
      <c r="C1174" s="29" t="str">
        <f>IFERROR(VLOOKUP(A1174,Tabla1[],6,0)," ")</f>
        <v xml:space="preserve"> </v>
      </c>
      <c r="D1174" s="30" t="str">
        <f>IFERROR(VLOOKUP(A1174,Tabla1[],8,0)," ")</f>
        <v xml:space="preserve"> </v>
      </c>
      <c r="E1174" s="31"/>
      <c r="F1174" s="30" t="str">
        <f t="shared" si="19"/>
        <v xml:space="preserve"> </v>
      </c>
    </row>
    <row r="1175" spans="1:6" ht="22.7" customHeight="1">
      <c r="A1175" s="28"/>
      <c r="B1175" s="29" t="str">
        <f>IFERROR(VLOOKUP(A1175,Tabla1[],2,0)," ")</f>
        <v xml:space="preserve"> </v>
      </c>
      <c r="C1175" s="29" t="str">
        <f>IFERROR(VLOOKUP(A1175,Tabla1[],6,0)," ")</f>
        <v xml:space="preserve"> </v>
      </c>
      <c r="D1175" s="30" t="str">
        <f>IFERROR(VLOOKUP(A1175,Tabla1[],8,0)," ")</f>
        <v xml:space="preserve"> </v>
      </c>
      <c r="E1175" s="31"/>
      <c r="F1175" s="30" t="str">
        <f t="shared" si="19"/>
        <v xml:space="preserve"> </v>
      </c>
    </row>
    <row r="1176" spans="1:6" ht="22.7" customHeight="1">
      <c r="A1176" s="28"/>
      <c r="B1176" s="29" t="str">
        <f>IFERROR(VLOOKUP(A1176,Tabla1[],2,0)," ")</f>
        <v xml:space="preserve"> </v>
      </c>
      <c r="C1176" s="29" t="str">
        <f>IFERROR(VLOOKUP(A1176,Tabla1[],6,0)," ")</f>
        <v xml:space="preserve"> </v>
      </c>
      <c r="D1176" s="30" t="str">
        <f>IFERROR(VLOOKUP(A1176,Tabla1[],8,0)," ")</f>
        <v xml:space="preserve"> </v>
      </c>
      <c r="E1176" s="31"/>
      <c r="F1176" s="30" t="str">
        <f t="shared" si="19"/>
        <v xml:space="preserve"> </v>
      </c>
    </row>
    <row r="1177" spans="1:6" ht="22.7" customHeight="1">
      <c r="A1177" s="28"/>
      <c r="B1177" s="29" t="str">
        <f>IFERROR(VLOOKUP(A1177,Tabla1[],2,0)," ")</f>
        <v xml:space="preserve"> </v>
      </c>
      <c r="C1177" s="29" t="str">
        <f>IFERROR(VLOOKUP(A1177,Tabla1[],6,0)," ")</f>
        <v xml:space="preserve"> </v>
      </c>
      <c r="D1177" s="30" t="str">
        <f>IFERROR(VLOOKUP(A1177,Tabla1[],8,0)," ")</f>
        <v xml:space="preserve"> </v>
      </c>
      <c r="E1177" s="31"/>
      <c r="F1177" s="30" t="str">
        <f t="shared" si="19"/>
        <v xml:space="preserve"> </v>
      </c>
    </row>
    <row r="1178" spans="1:6" ht="22.7" customHeight="1">
      <c r="A1178" s="28"/>
      <c r="B1178" s="29" t="str">
        <f>IFERROR(VLOOKUP(A1178,Tabla1[],2,0)," ")</f>
        <v xml:space="preserve"> </v>
      </c>
      <c r="C1178" s="29" t="str">
        <f>IFERROR(VLOOKUP(A1178,Tabla1[],6,0)," ")</f>
        <v xml:space="preserve"> </v>
      </c>
      <c r="D1178" s="30" t="str">
        <f>IFERROR(VLOOKUP(A1178,Tabla1[],8,0)," ")</f>
        <v xml:space="preserve"> </v>
      </c>
      <c r="E1178" s="31"/>
      <c r="F1178" s="30" t="str">
        <f t="shared" si="19"/>
        <v xml:space="preserve"> </v>
      </c>
    </row>
    <row r="1179" spans="1:6" ht="22.7" customHeight="1">
      <c r="A1179" s="28"/>
      <c r="B1179" s="29" t="str">
        <f>IFERROR(VLOOKUP(A1179,Tabla1[],2,0)," ")</f>
        <v xml:space="preserve"> </v>
      </c>
      <c r="C1179" s="29" t="str">
        <f>IFERROR(VLOOKUP(A1179,Tabla1[],6,0)," ")</f>
        <v xml:space="preserve"> </v>
      </c>
      <c r="D1179" s="30" t="str">
        <f>IFERROR(VLOOKUP(A1179,Tabla1[],8,0)," ")</f>
        <v xml:space="preserve"> </v>
      </c>
      <c r="E1179" s="31"/>
      <c r="F1179" s="30" t="str">
        <f t="shared" si="19"/>
        <v xml:space="preserve"> </v>
      </c>
    </row>
    <row r="1180" spans="1:6" ht="22.7" customHeight="1">
      <c r="A1180" s="28"/>
      <c r="B1180" s="29" t="str">
        <f>IFERROR(VLOOKUP(A1180,Tabla1[],2,0)," ")</f>
        <v xml:space="preserve"> </v>
      </c>
      <c r="C1180" s="29" t="str">
        <f>IFERROR(VLOOKUP(A1180,Tabla1[],6,0)," ")</f>
        <v xml:space="preserve"> </v>
      </c>
      <c r="D1180" s="30" t="str">
        <f>IFERROR(VLOOKUP(A1180,Tabla1[],8,0)," ")</f>
        <v xml:space="preserve"> </v>
      </c>
      <c r="E1180" s="31"/>
      <c r="F1180" s="30" t="str">
        <f t="shared" si="19"/>
        <v xml:space="preserve"> </v>
      </c>
    </row>
    <row r="1181" spans="1:6" ht="22.7" customHeight="1">
      <c r="A1181" s="28"/>
      <c r="B1181" s="29" t="str">
        <f>IFERROR(VLOOKUP(A1181,Tabla1[],2,0)," ")</f>
        <v xml:space="preserve"> </v>
      </c>
      <c r="C1181" s="29" t="str">
        <f>IFERROR(VLOOKUP(A1181,Tabla1[],6,0)," ")</f>
        <v xml:space="preserve"> </v>
      </c>
      <c r="D1181" s="30" t="str">
        <f>IFERROR(VLOOKUP(A1181,Tabla1[],8,0)," ")</f>
        <v xml:space="preserve"> </v>
      </c>
      <c r="E1181" s="31"/>
      <c r="F1181" s="30" t="str">
        <f t="shared" si="19"/>
        <v xml:space="preserve"> </v>
      </c>
    </row>
    <row r="1182" spans="1:6" ht="22.7" customHeight="1">
      <c r="A1182" s="28"/>
      <c r="B1182" s="29" t="str">
        <f>IFERROR(VLOOKUP(A1182,Tabla1[],2,0)," ")</f>
        <v xml:space="preserve"> </v>
      </c>
      <c r="C1182" s="29" t="str">
        <f>IFERROR(VLOOKUP(A1182,Tabla1[],6,0)," ")</f>
        <v xml:space="preserve"> </v>
      </c>
      <c r="D1182" s="30" t="str">
        <f>IFERROR(VLOOKUP(A1182,Tabla1[],8,0)," ")</f>
        <v xml:space="preserve"> </v>
      </c>
      <c r="E1182" s="31"/>
      <c r="F1182" s="30" t="str">
        <f t="shared" si="19"/>
        <v xml:space="preserve"> </v>
      </c>
    </row>
    <row r="1183" spans="1:6" ht="22.7" customHeight="1">
      <c r="A1183" s="28"/>
      <c r="B1183" s="29" t="str">
        <f>IFERROR(VLOOKUP(A1183,Tabla1[],2,0)," ")</f>
        <v xml:space="preserve"> </v>
      </c>
      <c r="C1183" s="29" t="str">
        <f>IFERROR(VLOOKUP(A1183,Tabla1[],6,0)," ")</f>
        <v xml:space="preserve"> </v>
      </c>
      <c r="D1183" s="30" t="str">
        <f>IFERROR(VLOOKUP(A1183,Tabla1[],8,0)," ")</f>
        <v xml:space="preserve"> </v>
      </c>
      <c r="E1183" s="31"/>
      <c r="F1183" s="30" t="str">
        <f t="shared" si="19"/>
        <v xml:space="preserve"> </v>
      </c>
    </row>
    <row r="1184" spans="1:6" ht="22.7" customHeight="1">
      <c r="A1184" s="28"/>
      <c r="B1184" s="29" t="str">
        <f>IFERROR(VLOOKUP(A1184,Tabla1[],2,0)," ")</f>
        <v xml:space="preserve"> </v>
      </c>
      <c r="C1184" s="29" t="str">
        <f>IFERROR(VLOOKUP(A1184,Tabla1[],6,0)," ")</f>
        <v xml:space="preserve"> </v>
      </c>
      <c r="D1184" s="30" t="str">
        <f>IFERROR(VLOOKUP(A1184,Tabla1[],8,0)," ")</f>
        <v xml:space="preserve"> </v>
      </c>
      <c r="E1184" s="31"/>
      <c r="F1184" s="30" t="str">
        <f t="shared" si="19"/>
        <v xml:space="preserve"> </v>
      </c>
    </row>
    <row r="1185" spans="1:6" ht="22.7" customHeight="1">
      <c r="A1185" s="28"/>
      <c r="B1185" s="29" t="str">
        <f>IFERROR(VLOOKUP(A1185,Tabla1[],2,0)," ")</f>
        <v xml:space="preserve"> </v>
      </c>
      <c r="C1185" s="29" t="str">
        <f>IFERROR(VLOOKUP(A1185,Tabla1[],6,0)," ")</f>
        <v xml:space="preserve"> </v>
      </c>
      <c r="D1185" s="30" t="str">
        <f>IFERROR(VLOOKUP(A1185,Tabla1[],8,0)," ")</f>
        <v xml:space="preserve"> </v>
      </c>
      <c r="E1185" s="31"/>
      <c r="F1185" s="30" t="str">
        <f t="shared" si="19"/>
        <v xml:space="preserve"> </v>
      </c>
    </row>
    <row r="1186" spans="1:6" ht="22.7" customHeight="1">
      <c r="A1186" s="28"/>
      <c r="B1186" s="29" t="str">
        <f>IFERROR(VLOOKUP(A1186,Tabla1[],2,0)," ")</f>
        <v xml:space="preserve"> </v>
      </c>
      <c r="C1186" s="29" t="str">
        <f>IFERROR(VLOOKUP(A1186,Tabla1[],6,0)," ")</f>
        <v xml:space="preserve"> </v>
      </c>
      <c r="D1186" s="30" t="str">
        <f>IFERROR(VLOOKUP(A1186,Tabla1[],8,0)," ")</f>
        <v xml:space="preserve"> </v>
      </c>
      <c r="E1186" s="31"/>
      <c r="F1186" s="30" t="str">
        <f t="shared" si="19"/>
        <v xml:space="preserve"> </v>
      </c>
    </row>
    <row r="1187" spans="1:6" ht="22.7" customHeight="1">
      <c r="A1187" s="28"/>
      <c r="B1187" s="29" t="str">
        <f>IFERROR(VLOOKUP(A1187,Tabla1[],2,0)," ")</f>
        <v xml:space="preserve"> </v>
      </c>
      <c r="C1187" s="29" t="str">
        <f>IFERROR(VLOOKUP(A1187,Tabla1[],6,0)," ")</f>
        <v xml:space="preserve"> </v>
      </c>
      <c r="D1187" s="30" t="str">
        <f>IFERROR(VLOOKUP(A1187,Tabla1[],8,0)," ")</f>
        <v xml:space="preserve"> </v>
      </c>
      <c r="E1187" s="31"/>
      <c r="F1187" s="30" t="str">
        <f t="shared" si="19"/>
        <v xml:space="preserve"> </v>
      </c>
    </row>
    <row r="1188" spans="1:6" ht="22.7" customHeight="1">
      <c r="A1188" s="28"/>
      <c r="B1188" s="29" t="str">
        <f>IFERROR(VLOOKUP(A1188,Tabla1[],2,0)," ")</f>
        <v xml:space="preserve"> </v>
      </c>
      <c r="C1188" s="29" t="str">
        <f>IFERROR(VLOOKUP(A1188,Tabla1[],6,0)," ")</f>
        <v xml:space="preserve"> </v>
      </c>
      <c r="D1188" s="30" t="str">
        <f>IFERROR(VLOOKUP(A1188,Tabla1[],8,0)," ")</f>
        <v xml:space="preserve"> </v>
      </c>
      <c r="E1188" s="31"/>
      <c r="F1188" s="30" t="str">
        <f t="shared" si="19"/>
        <v xml:space="preserve"> </v>
      </c>
    </row>
    <row r="1189" spans="1:6" ht="22.7" customHeight="1">
      <c r="A1189" s="28"/>
      <c r="B1189" s="29" t="str">
        <f>IFERROR(VLOOKUP(A1189,Tabla1[],2,0)," ")</f>
        <v xml:space="preserve"> </v>
      </c>
      <c r="C1189" s="29" t="str">
        <f>IFERROR(VLOOKUP(A1189,Tabla1[],6,0)," ")</f>
        <v xml:space="preserve"> </v>
      </c>
      <c r="D1189" s="30" t="str">
        <f>IFERROR(VLOOKUP(A1189,Tabla1[],8,0)," ")</f>
        <v xml:space="preserve"> </v>
      </c>
      <c r="E1189" s="31"/>
      <c r="F1189" s="30" t="str">
        <f t="shared" si="19"/>
        <v xml:space="preserve"> </v>
      </c>
    </row>
    <row r="1190" spans="1:6" ht="22.7" customHeight="1">
      <c r="A1190" s="28"/>
      <c r="B1190" s="29" t="str">
        <f>IFERROR(VLOOKUP(A1190,Tabla1[],2,0)," ")</f>
        <v xml:space="preserve"> </v>
      </c>
      <c r="C1190" s="29" t="str">
        <f>IFERROR(VLOOKUP(A1190,Tabla1[],6,0)," ")</f>
        <v xml:space="preserve"> </v>
      </c>
      <c r="D1190" s="30" t="str">
        <f>IFERROR(VLOOKUP(A1190,Tabla1[],8,0)," ")</f>
        <v xml:space="preserve"> </v>
      </c>
      <c r="E1190" s="31"/>
      <c r="F1190" s="30" t="str">
        <f t="shared" si="19"/>
        <v xml:space="preserve"> </v>
      </c>
    </row>
    <row r="1191" spans="1:6" ht="22.7" customHeight="1">
      <c r="A1191" s="28"/>
      <c r="B1191" s="29" t="str">
        <f>IFERROR(VLOOKUP(A1191,Tabla1[],2,0)," ")</f>
        <v xml:space="preserve"> </v>
      </c>
      <c r="C1191" s="29" t="str">
        <f>IFERROR(VLOOKUP(A1191,Tabla1[],6,0)," ")</f>
        <v xml:space="preserve"> </v>
      </c>
      <c r="D1191" s="30" t="str">
        <f>IFERROR(VLOOKUP(A1191,Tabla1[],8,0)," ")</f>
        <v xml:space="preserve"> </v>
      </c>
      <c r="E1191" s="31"/>
      <c r="F1191" s="30" t="str">
        <f t="shared" si="19"/>
        <v xml:space="preserve"> </v>
      </c>
    </row>
    <row r="1192" spans="1:6" ht="22.7" customHeight="1">
      <c r="A1192" s="28"/>
      <c r="B1192" s="29" t="str">
        <f>IFERROR(VLOOKUP(A1192,Tabla1[],2,0)," ")</f>
        <v xml:space="preserve"> </v>
      </c>
      <c r="C1192" s="29" t="str">
        <f>IFERROR(VLOOKUP(A1192,Tabla1[],6,0)," ")</f>
        <v xml:space="preserve"> </v>
      </c>
      <c r="D1192" s="30" t="str">
        <f>IFERROR(VLOOKUP(A1192,Tabla1[],8,0)," ")</f>
        <v xml:space="preserve"> </v>
      </c>
      <c r="E1192" s="31"/>
      <c r="F1192" s="30" t="str">
        <f t="shared" si="19"/>
        <v xml:space="preserve"> </v>
      </c>
    </row>
    <row r="1193" spans="1:6" ht="22.7" customHeight="1">
      <c r="A1193" s="28"/>
      <c r="B1193" s="29" t="str">
        <f>IFERROR(VLOOKUP(A1193,Tabla1[],2,0)," ")</f>
        <v xml:space="preserve"> </v>
      </c>
      <c r="C1193" s="29" t="str">
        <f>IFERROR(VLOOKUP(A1193,Tabla1[],6,0)," ")</f>
        <v xml:space="preserve"> </v>
      </c>
      <c r="D1193" s="30" t="str">
        <f>IFERROR(VLOOKUP(A1193,Tabla1[],8,0)," ")</f>
        <v xml:space="preserve"> </v>
      </c>
      <c r="E1193" s="31"/>
      <c r="F1193" s="30" t="str">
        <f t="shared" si="19"/>
        <v xml:space="preserve"> </v>
      </c>
    </row>
    <row r="1194" spans="1:6" ht="22.7" customHeight="1">
      <c r="A1194" s="28"/>
      <c r="B1194" s="29" t="str">
        <f>IFERROR(VLOOKUP(A1194,Tabla1[],2,0)," ")</f>
        <v xml:space="preserve"> </v>
      </c>
      <c r="C1194" s="29" t="str">
        <f>IFERROR(VLOOKUP(A1194,Tabla1[],6,0)," ")</f>
        <v xml:space="preserve"> </v>
      </c>
      <c r="D1194" s="30" t="str">
        <f>IFERROR(VLOOKUP(A1194,Tabla1[],8,0)," ")</f>
        <v xml:space="preserve"> </v>
      </c>
      <c r="E1194" s="31"/>
      <c r="F1194" s="30" t="str">
        <f t="shared" si="19"/>
        <v xml:space="preserve"> </v>
      </c>
    </row>
    <row r="1195" spans="1:6" ht="22.7" customHeight="1">
      <c r="A1195" s="28"/>
      <c r="B1195" s="29" t="str">
        <f>IFERROR(VLOOKUP(A1195,Tabla1[],2,0)," ")</f>
        <v xml:space="preserve"> </v>
      </c>
      <c r="C1195" s="29" t="str">
        <f>IFERROR(VLOOKUP(A1195,Tabla1[],6,0)," ")</f>
        <v xml:space="preserve"> </v>
      </c>
      <c r="D1195" s="30" t="str">
        <f>IFERROR(VLOOKUP(A1195,Tabla1[],8,0)," ")</f>
        <v xml:space="preserve"> </v>
      </c>
      <c r="E1195" s="31"/>
      <c r="F1195" s="30" t="str">
        <f t="shared" si="19"/>
        <v xml:space="preserve"> </v>
      </c>
    </row>
    <row r="1196" spans="1:6" ht="22.7" customHeight="1">
      <c r="A1196" s="28"/>
      <c r="B1196" s="29" t="str">
        <f>IFERROR(VLOOKUP(A1196,Tabla1[],2,0)," ")</f>
        <v xml:space="preserve"> </v>
      </c>
      <c r="C1196" s="29" t="str">
        <f>IFERROR(VLOOKUP(A1196,Tabla1[],6,0)," ")</f>
        <v xml:space="preserve"> </v>
      </c>
      <c r="D1196" s="30" t="str">
        <f>IFERROR(VLOOKUP(A1196,Tabla1[],8,0)," ")</f>
        <v xml:space="preserve"> </v>
      </c>
      <c r="E1196" s="31"/>
      <c r="F1196" s="30" t="str">
        <f t="shared" si="19"/>
        <v xml:space="preserve"> </v>
      </c>
    </row>
    <row r="1197" spans="1:6" ht="22.7" customHeight="1">
      <c r="A1197" s="28"/>
      <c r="B1197" s="29" t="str">
        <f>IFERROR(VLOOKUP(A1197,Tabla1[],2,0)," ")</f>
        <v xml:space="preserve"> </v>
      </c>
      <c r="C1197" s="29" t="str">
        <f>IFERROR(VLOOKUP(A1197,Tabla1[],6,0)," ")</f>
        <v xml:space="preserve"> </v>
      </c>
      <c r="D1197" s="30" t="str">
        <f>IFERROR(VLOOKUP(A1197,Tabla1[],8,0)," ")</f>
        <v xml:space="preserve"> </v>
      </c>
      <c r="E1197" s="31"/>
      <c r="F1197" s="30" t="str">
        <f t="shared" si="19"/>
        <v xml:space="preserve"> </v>
      </c>
    </row>
    <row r="1198" spans="1:6" ht="22.7" customHeight="1">
      <c r="A1198" s="28"/>
      <c r="B1198" s="29" t="str">
        <f>IFERROR(VLOOKUP(A1198,Tabla1[],2,0)," ")</f>
        <v xml:space="preserve"> </v>
      </c>
      <c r="C1198" s="29" t="str">
        <f>IFERROR(VLOOKUP(A1198,Tabla1[],6,0)," ")</f>
        <v xml:space="preserve"> </v>
      </c>
      <c r="D1198" s="30" t="str">
        <f>IFERROR(VLOOKUP(A1198,Tabla1[],8,0)," ")</f>
        <v xml:space="preserve"> </v>
      </c>
      <c r="E1198" s="31"/>
      <c r="F1198" s="30" t="str">
        <f t="shared" si="19"/>
        <v xml:space="preserve"> </v>
      </c>
    </row>
    <row r="1199" spans="1:6" ht="22.7" customHeight="1">
      <c r="A1199" s="28"/>
      <c r="B1199" s="29" t="str">
        <f>IFERROR(VLOOKUP(A1199,Tabla1[],2,0)," ")</f>
        <v xml:space="preserve"> </v>
      </c>
      <c r="C1199" s="29" t="str">
        <f>IFERROR(VLOOKUP(A1199,Tabla1[],6,0)," ")</f>
        <v xml:space="preserve"> </v>
      </c>
      <c r="D1199" s="30" t="str">
        <f>IFERROR(VLOOKUP(A1199,Tabla1[],8,0)," ")</f>
        <v xml:space="preserve"> </v>
      </c>
      <c r="E1199" s="31"/>
      <c r="F1199" s="30" t="str">
        <f t="shared" si="19"/>
        <v xml:space="preserve"> </v>
      </c>
    </row>
    <row r="1200" spans="1:6" ht="22.7" customHeight="1">
      <c r="A1200" s="28"/>
      <c r="B1200" s="29" t="str">
        <f>IFERROR(VLOOKUP(A1200,Tabla1[],2,0)," ")</f>
        <v xml:space="preserve"> </v>
      </c>
      <c r="C1200" s="29" t="str">
        <f>IFERROR(VLOOKUP(A1200,Tabla1[],6,0)," ")</f>
        <v xml:space="preserve"> </v>
      </c>
      <c r="D1200" s="30" t="str">
        <f>IFERROR(VLOOKUP(A1200,Tabla1[],8,0)," ")</f>
        <v xml:space="preserve"> </v>
      </c>
      <c r="E1200" s="31"/>
      <c r="F1200" s="30" t="str">
        <f t="shared" si="19"/>
        <v xml:space="preserve"> </v>
      </c>
    </row>
    <row r="1201" spans="1:6" ht="22.7" customHeight="1">
      <c r="A1201" s="28"/>
      <c r="B1201" s="29" t="str">
        <f>IFERROR(VLOOKUP(A1201,Tabla1[],2,0)," ")</f>
        <v xml:space="preserve"> </v>
      </c>
      <c r="C1201" s="29" t="str">
        <f>IFERROR(VLOOKUP(A1201,Tabla1[],6,0)," ")</f>
        <v xml:space="preserve"> </v>
      </c>
      <c r="D1201" s="30" t="str">
        <f>IFERROR(VLOOKUP(A1201,Tabla1[],8,0)," ")</f>
        <v xml:space="preserve"> </v>
      </c>
      <c r="E1201" s="31"/>
      <c r="F1201" s="30" t="str">
        <f t="shared" si="19"/>
        <v xml:space="preserve"> </v>
      </c>
    </row>
    <row r="1202" spans="1:6" ht="22.7" customHeight="1">
      <c r="A1202" s="28"/>
      <c r="B1202" s="29" t="str">
        <f>IFERROR(VLOOKUP(A1202,Tabla1[],2,0)," ")</f>
        <v xml:space="preserve"> </v>
      </c>
      <c r="C1202" s="29" t="str">
        <f>IFERROR(VLOOKUP(A1202,Tabla1[],6,0)," ")</f>
        <v xml:space="preserve"> </v>
      </c>
      <c r="D1202" s="30" t="str">
        <f>IFERROR(VLOOKUP(A1202,Tabla1[],8,0)," ")</f>
        <v xml:space="preserve"> </v>
      </c>
      <c r="E1202" s="31"/>
      <c r="F1202" s="30" t="str">
        <f t="shared" si="19"/>
        <v xml:space="preserve"> </v>
      </c>
    </row>
    <row r="1203" spans="1:6" ht="22.7" customHeight="1">
      <c r="A1203" s="28"/>
      <c r="B1203" s="29" t="str">
        <f>IFERROR(VLOOKUP(A1203,Tabla1[],2,0)," ")</f>
        <v xml:space="preserve"> </v>
      </c>
      <c r="C1203" s="29" t="str">
        <f>IFERROR(VLOOKUP(A1203,Tabla1[],6,0)," ")</f>
        <v xml:space="preserve"> </v>
      </c>
      <c r="D1203" s="30" t="str">
        <f>IFERROR(VLOOKUP(A1203,Tabla1[],8,0)," ")</f>
        <v xml:space="preserve"> </v>
      </c>
      <c r="E1203" s="31"/>
      <c r="F1203" s="30" t="str">
        <f t="shared" si="19"/>
        <v xml:space="preserve"> </v>
      </c>
    </row>
    <row r="1204" spans="1:6" ht="22.7" customHeight="1">
      <c r="A1204" s="28"/>
      <c r="B1204" s="29" t="str">
        <f>IFERROR(VLOOKUP(A1204,Tabla1[],2,0)," ")</f>
        <v xml:space="preserve"> </v>
      </c>
      <c r="C1204" s="29" t="str">
        <f>IFERROR(VLOOKUP(A1204,Tabla1[],6,0)," ")</f>
        <v xml:space="preserve"> </v>
      </c>
      <c r="D1204" s="30" t="str">
        <f>IFERROR(VLOOKUP(A1204,Tabla1[],8,0)," ")</f>
        <v xml:space="preserve"> </v>
      </c>
      <c r="E1204" s="31"/>
      <c r="F1204" s="30" t="str">
        <f t="shared" si="19"/>
        <v xml:space="preserve"> </v>
      </c>
    </row>
    <row r="1205" spans="1:6" ht="22.7" customHeight="1">
      <c r="A1205" s="28"/>
      <c r="B1205" s="29" t="str">
        <f>IFERROR(VLOOKUP(A1205,Tabla1[],2,0)," ")</f>
        <v xml:space="preserve"> </v>
      </c>
      <c r="C1205" s="29" t="str">
        <f>IFERROR(VLOOKUP(A1205,Tabla1[],6,0)," ")</f>
        <v xml:space="preserve"> </v>
      </c>
      <c r="D1205" s="30" t="str">
        <f>IFERROR(VLOOKUP(A1205,Tabla1[],8,0)," ")</f>
        <v xml:space="preserve"> </v>
      </c>
      <c r="E1205" s="31"/>
      <c r="F1205" s="30" t="str">
        <f t="shared" si="19"/>
        <v xml:space="preserve"> </v>
      </c>
    </row>
    <row r="1206" spans="1:6" ht="22.7" customHeight="1">
      <c r="A1206" s="28"/>
      <c r="B1206" s="29" t="str">
        <f>IFERROR(VLOOKUP(A1206,Tabla1[],2,0)," ")</f>
        <v xml:space="preserve"> </v>
      </c>
      <c r="C1206" s="29" t="str">
        <f>IFERROR(VLOOKUP(A1206,Tabla1[],6,0)," ")</f>
        <v xml:space="preserve"> </v>
      </c>
      <c r="D1206" s="30" t="str">
        <f>IFERROR(VLOOKUP(A1206,Tabla1[],8,0)," ")</f>
        <v xml:space="preserve"> </v>
      </c>
      <c r="E1206" s="31"/>
      <c r="F1206" s="30" t="str">
        <f t="shared" si="19"/>
        <v xml:space="preserve"> </v>
      </c>
    </row>
    <row r="1207" spans="1:6" ht="22.7" customHeight="1">
      <c r="A1207" s="28"/>
      <c r="B1207" s="29" t="str">
        <f>IFERROR(VLOOKUP(A1207,Tabla1[],2,0)," ")</f>
        <v xml:space="preserve"> </v>
      </c>
      <c r="C1207" s="29" t="str">
        <f>IFERROR(VLOOKUP(A1207,Tabla1[],6,0)," ")</f>
        <v xml:space="preserve"> </v>
      </c>
      <c r="D1207" s="30" t="str">
        <f>IFERROR(VLOOKUP(A1207,Tabla1[],8,0)," ")</f>
        <v xml:space="preserve"> </v>
      </c>
      <c r="E1207" s="31"/>
      <c r="F1207" s="30" t="str">
        <f t="shared" si="19"/>
        <v xml:space="preserve"> </v>
      </c>
    </row>
    <row r="1208" spans="1:6" ht="22.7" customHeight="1">
      <c r="A1208" s="28"/>
      <c r="B1208" s="29" t="str">
        <f>IFERROR(VLOOKUP(A1208,Tabla1[],2,0)," ")</f>
        <v xml:space="preserve"> </v>
      </c>
      <c r="C1208" s="29" t="str">
        <f>IFERROR(VLOOKUP(A1208,Tabla1[],6,0)," ")</f>
        <v xml:space="preserve"> </v>
      </c>
      <c r="D1208" s="30" t="str">
        <f>IFERROR(VLOOKUP(A1208,Tabla1[],8,0)," ")</f>
        <v xml:space="preserve"> </v>
      </c>
      <c r="E1208" s="31"/>
      <c r="F1208" s="30" t="str">
        <f t="shared" si="19"/>
        <v xml:space="preserve"> </v>
      </c>
    </row>
    <row r="1209" spans="1:6" ht="22.7" customHeight="1">
      <c r="A1209" s="28"/>
      <c r="B1209" s="29" t="str">
        <f>IFERROR(VLOOKUP(A1209,Tabla1[],2,0)," ")</f>
        <v xml:space="preserve"> </v>
      </c>
      <c r="C1209" s="29" t="str">
        <f>IFERROR(VLOOKUP(A1209,Tabla1[],6,0)," ")</f>
        <v xml:space="preserve"> </v>
      </c>
      <c r="D1209" s="30" t="str">
        <f>IFERROR(VLOOKUP(A1209,Tabla1[],8,0)," ")</f>
        <v xml:space="preserve"> </v>
      </c>
      <c r="E1209" s="31"/>
      <c r="F1209" s="30" t="str">
        <f t="shared" si="19"/>
        <v xml:space="preserve"> </v>
      </c>
    </row>
    <row r="1210" spans="1:6" ht="22.7" customHeight="1">
      <c r="A1210" s="28"/>
      <c r="B1210" s="29" t="str">
        <f>IFERROR(VLOOKUP(A1210,Tabla1[],2,0)," ")</f>
        <v xml:space="preserve"> </v>
      </c>
      <c r="C1210" s="29" t="str">
        <f>IFERROR(VLOOKUP(A1210,Tabla1[],6,0)," ")</f>
        <v xml:space="preserve"> </v>
      </c>
      <c r="D1210" s="30" t="str">
        <f>IFERROR(VLOOKUP(A1210,Tabla1[],8,0)," ")</f>
        <v xml:space="preserve"> </v>
      </c>
      <c r="E1210" s="31"/>
      <c r="F1210" s="30" t="str">
        <f t="shared" si="19"/>
        <v xml:space="preserve"> </v>
      </c>
    </row>
    <row r="1211" spans="1:6" ht="22.7" customHeight="1">
      <c r="A1211" s="28"/>
      <c r="B1211" s="29" t="str">
        <f>IFERROR(VLOOKUP(A1211,Tabla1[],2,0)," ")</f>
        <v xml:space="preserve"> </v>
      </c>
      <c r="C1211" s="29" t="str">
        <f>IFERROR(VLOOKUP(A1211,Tabla1[],6,0)," ")</f>
        <v xml:space="preserve"> </v>
      </c>
      <c r="D1211" s="30" t="str">
        <f>IFERROR(VLOOKUP(A1211,Tabla1[],8,0)," ")</f>
        <v xml:space="preserve"> </v>
      </c>
      <c r="E1211" s="31"/>
      <c r="F1211" s="30" t="str">
        <f t="shared" si="19"/>
        <v xml:space="preserve"> </v>
      </c>
    </row>
    <row r="1212" spans="1:6" ht="22.7" customHeight="1">
      <c r="A1212" s="28"/>
      <c r="B1212" s="29" t="str">
        <f>IFERROR(VLOOKUP(A1212,Tabla1[],2,0)," ")</f>
        <v xml:space="preserve"> </v>
      </c>
      <c r="C1212" s="29" t="str">
        <f>IFERROR(VLOOKUP(A1212,Tabla1[],6,0)," ")</f>
        <v xml:space="preserve"> </v>
      </c>
      <c r="D1212" s="30" t="str">
        <f>IFERROR(VLOOKUP(A1212,Tabla1[],8,0)," ")</f>
        <v xml:space="preserve"> </v>
      </c>
      <c r="E1212" s="31"/>
      <c r="F1212" s="30" t="str">
        <f t="shared" si="19"/>
        <v xml:space="preserve"> </v>
      </c>
    </row>
    <row r="1213" spans="1:6" ht="22.7" customHeight="1">
      <c r="A1213" s="28"/>
      <c r="B1213" s="29" t="str">
        <f>IFERROR(VLOOKUP(A1213,Tabla1[],2,0)," ")</f>
        <v xml:space="preserve"> </v>
      </c>
      <c r="C1213" s="29" t="str">
        <f>IFERROR(VLOOKUP(A1213,Tabla1[],6,0)," ")</f>
        <v xml:space="preserve"> </v>
      </c>
      <c r="D1213" s="30" t="str">
        <f>IFERROR(VLOOKUP(A1213,Tabla1[],8,0)," ")</f>
        <v xml:space="preserve"> </v>
      </c>
      <c r="E1213" s="31"/>
      <c r="F1213" s="30" t="str">
        <f t="shared" si="19"/>
        <v xml:space="preserve"> </v>
      </c>
    </row>
    <row r="1214" spans="1:6" ht="22.7" customHeight="1">
      <c r="A1214" s="28"/>
      <c r="B1214" s="29" t="str">
        <f>IFERROR(VLOOKUP(A1214,Tabla1[],2,0)," ")</f>
        <v xml:space="preserve"> </v>
      </c>
      <c r="C1214" s="29" t="str">
        <f>IFERROR(VLOOKUP(A1214,Tabla1[],6,0)," ")</f>
        <v xml:space="preserve"> </v>
      </c>
      <c r="D1214" s="30" t="str">
        <f>IFERROR(VLOOKUP(A1214,Tabla1[],8,0)," ")</f>
        <v xml:space="preserve"> </v>
      </c>
      <c r="E1214" s="31"/>
      <c r="F1214" s="30" t="str">
        <f t="shared" si="19"/>
        <v xml:space="preserve"> </v>
      </c>
    </row>
    <row r="1215" spans="1:6" ht="22.7" customHeight="1">
      <c r="A1215" s="28"/>
      <c r="B1215" s="29" t="str">
        <f>IFERROR(VLOOKUP(A1215,Tabla1[],2,0)," ")</f>
        <v xml:space="preserve"> </v>
      </c>
      <c r="C1215" s="29" t="str">
        <f>IFERROR(VLOOKUP(A1215,Tabla1[],6,0)," ")</f>
        <v xml:space="preserve"> </v>
      </c>
      <c r="D1215" s="30" t="str">
        <f>IFERROR(VLOOKUP(A1215,Tabla1[],8,0)," ")</f>
        <v xml:space="preserve"> </v>
      </c>
      <c r="E1215" s="31"/>
      <c r="F1215" s="30" t="str">
        <f t="shared" si="19"/>
        <v xml:space="preserve"> </v>
      </c>
    </row>
    <row r="1216" spans="1:6" ht="22.7" customHeight="1">
      <c r="A1216" s="28"/>
      <c r="B1216" s="29" t="str">
        <f>IFERROR(VLOOKUP(A1216,Tabla1[],2,0)," ")</f>
        <v xml:space="preserve"> </v>
      </c>
      <c r="C1216" s="29" t="str">
        <f>IFERROR(VLOOKUP(A1216,Tabla1[],6,0)," ")</f>
        <v xml:space="preserve"> </v>
      </c>
      <c r="D1216" s="30" t="str">
        <f>IFERROR(VLOOKUP(A1216,Tabla1[],8,0)," ")</f>
        <v xml:space="preserve"> </v>
      </c>
      <c r="E1216" s="31"/>
      <c r="F1216" s="30" t="str">
        <f t="shared" si="19"/>
        <v xml:space="preserve"> </v>
      </c>
    </row>
    <row r="1217" spans="1:6" ht="22.7" customHeight="1">
      <c r="A1217" s="28"/>
      <c r="B1217" s="29" t="str">
        <f>IFERROR(VLOOKUP(A1217,Tabla1[],2,0)," ")</f>
        <v xml:space="preserve"> </v>
      </c>
      <c r="C1217" s="29" t="str">
        <f>IFERROR(VLOOKUP(A1217,Tabla1[],6,0)," ")</f>
        <v xml:space="preserve"> </v>
      </c>
      <c r="D1217" s="30" t="str">
        <f>IFERROR(VLOOKUP(A1217,Tabla1[],8,0)," ")</f>
        <v xml:space="preserve"> </v>
      </c>
      <c r="E1217" s="31"/>
      <c r="F1217" s="30" t="str">
        <f t="shared" si="19"/>
        <v xml:space="preserve"> </v>
      </c>
    </row>
    <row r="1218" spans="1:6" ht="22.7" customHeight="1">
      <c r="A1218" s="28"/>
      <c r="B1218" s="29" t="str">
        <f>IFERROR(VLOOKUP(A1218,Tabla1[],2,0)," ")</f>
        <v xml:space="preserve"> </v>
      </c>
      <c r="C1218" s="29" t="str">
        <f>IFERROR(VLOOKUP(A1218,Tabla1[],6,0)," ")</f>
        <v xml:space="preserve"> </v>
      </c>
      <c r="D1218" s="30" t="str">
        <f>IFERROR(VLOOKUP(A1218,Tabla1[],8,0)," ")</f>
        <v xml:space="preserve"> </v>
      </c>
      <c r="E1218" s="31"/>
      <c r="F1218" s="30" t="str">
        <f t="shared" si="19"/>
        <v xml:space="preserve"> </v>
      </c>
    </row>
    <row r="1219" spans="1:6" ht="22.7" customHeight="1">
      <c r="A1219" s="28"/>
      <c r="B1219" s="29" t="str">
        <f>IFERROR(VLOOKUP(A1219,Tabla1[],2,0)," ")</f>
        <v xml:space="preserve"> </v>
      </c>
      <c r="C1219" s="29" t="str">
        <f>IFERROR(VLOOKUP(A1219,Tabla1[],6,0)," ")</f>
        <v xml:space="preserve"> </v>
      </c>
      <c r="D1219" s="30" t="str">
        <f>IFERROR(VLOOKUP(A1219,Tabla1[],8,0)," ")</f>
        <v xml:space="preserve"> </v>
      </c>
      <c r="E1219" s="31"/>
      <c r="F1219" s="30" t="str">
        <f t="shared" si="19"/>
        <v xml:space="preserve"> </v>
      </c>
    </row>
    <row r="1220" spans="1:6" ht="22.7" customHeight="1">
      <c r="A1220" s="28"/>
      <c r="B1220" s="29" t="str">
        <f>IFERROR(VLOOKUP(A1220,Tabla1[],2,0)," ")</f>
        <v xml:space="preserve"> </v>
      </c>
      <c r="C1220" s="29" t="str">
        <f>IFERROR(VLOOKUP(A1220,Tabla1[],6,0)," ")</f>
        <v xml:space="preserve"> </v>
      </c>
      <c r="D1220" s="30" t="str">
        <f>IFERROR(VLOOKUP(A1220,Tabla1[],8,0)," ")</f>
        <v xml:space="preserve"> </v>
      </c>
      <c r="E1220" s="31"/>
      <c r="F1220" s="30" t="str">
        <f t="shared" ref="F1220:F1283" si="20">IFERROR((E1220*D1220), " ")</f>
        <v xml:space="preserve"> </v>
      </c>
    </row>
    <row r="1221" spans="1:6" ht="22.7" customHeight="1">
      <c r="A1221" s="28"/>
      <c r="B1221" s="29" t="str">
        <f>IFERROR(VLOOKUP(A1221,Tabla1[],2,0)," ")</f>
        <v xml:space="preserve"> </v>
      </c>
      <c r="C1221" s="29" t="str">
        <f>IFERROR(VLOOKUP(A1221,Tabla1[],6,0)," ")</f>
        <v xml:space="preserve"> </v>
      </c>
      <c r="D1221" s="30" t="str">
        <f>IFERROR(VLOOKUP(A1221,Tabla1[],8,0)," ")</f>
        <v xml:space="preserve"> </v>
      </c>
      <c r="E1221" s="31"/>
      <c r="F1221" s="30" t="str">
        <f t="shared" si="20"/>
        <v xml:space="preserve"> </v>
      </c>
    </row>
    <row r="1222" spans="1:6" ht="22.7" customHeight="1">
      <c r="A1222" s="28"/>
      <c r="B1222" s="29" t="str">
        <f>IFERROR(VLOOKUP(A1222,Tabla1[],2,0)," ")</f>
        <v xml:space="preserve"> </v>
      </c>
      <c r="C1222" s="29" t="str">
        <f>IFERROR(VLOOKUP(A1222,Tabla1[],6,0)," ")</f>
        <v xml:space="preserve"> </v>
      </c>
      <c r="D1222" s="30" t="str">
        <f>IFERROR(VLOOKUP(A1222,Tabla1[],8,0)," ")</f>
        <v xml:space="preserve"> </v>
      </c>
      <c r="E1222" s="31"/>
      <c r="F1222" s="30" t="str">
        <f t="shared" si="20"/>
        <v xml:space="preserve"> </v>
      </c>
    </row>
    <row r="1223" spans="1:6" ht="22.7" customHeight="1">
      <c r="A1223" s="28"/>
      <c r="B1223" s="29" t="str">
        <f>IFERROR(VLOOKUP(A1223,Tabla1[],2,0)," ")</f>
        <v xml:space="preserve"> </v>
      </c>
      <c r="C1223" s="29" t="str">
        <f>IFERROR(VLOOKUP(A1223,Tabla1[],6,0)," ")</f>
        <v xml:space="preserve"> </v>
      </c>
      <c r="D1223" s="30" t="str">
        <f>IFERROR(VLOOKUP(A1223,Tabla1[],8,0)," ")</f>
        <v xml:space="preserve"> </v>
      </c>
      <c r="E1223" s="31"/>
      <c r="F1223" s="30" t="str">
        <f t="shared" si="20"/>
        <v xml:space="preserve"> </v>
      </c>
    </row>
    <row r="1224" spans="1:6" ht="22.7" customHeight="1">
      <c r="A1224" s="28"/>
      <c r="B1224" s="29" t="str">
        <f>IFERROR(VLOOKUP(A1224,Tabla1[],2,0)," ")</f>
        <v xml:space="preserve"> </v>
      </c>
      <c r="C1224" s="29" t="str">
        <f>IFERROR(VLOOKUP(A1224,Tabla1[],6,0)," ")</f>
        <v xml:space="preserve"> </v>
      </c>
      <c r="D1224" s="30" t="str">
        <f>IFERROR(VLOOKUP(A1224,Tabla1[],8,0)," ")</f>
        <v xml:space="preserve"> </v>
      </c>
      <c r="E1224" s="31"/>
      <c r="F1224" s="30" t="str">
        <f t="shared" si="20"/>
        <v xml:space="preserve"> </v>
      </c>
    </row>
    <row r="1225" spans="1:6" ht="22.7" customHeight="1">
      <c r="A1225" s="28"/>
      <c r="B1225" s="29" t="str">
        <f>IFERROR(VLOOKUP(A1225,Tabla1[],2,0)," ")</f>
        <v xml:space="preserve"> </v>
      </c>
      <c r="C1225" s="29" t="str">
        <f>IFERROR(VLOOKUP(A1225,Tabla1[],6,0)," ")</f>
        <v xml:space="preserve"> </v>
      </c>
      <c r="D1225" s="30" t="str">
        <f>IFERROR(VLOOKUP(A1225,Tabla1[],8,0)," ")</f>
        <v xml:space="preserve"> </v>
      </c>
      <c r="E1225" s="31"/>
      <c r="F1225" s="30" t="str">
        <f t="shared" si="20"/>
        <v xml:space="preserve"> </v>
      </c>
    </row>
    <row r="1226" spans="1:6" ht="22.7" customHeight="1">
      <c r="A1226" s="28"/>
      <c r="B1226" s="29" t="str">
        <f>IFERROR(VLOOKUP(A1226,Tabla1[],2,0)," ")</f>
        <v xml:space="preserve"> </v>
      </c>
      <c r="C1226" s="29" t="str">
        <f>IFERROR(VLOOKUP(A1226,Tabla1[],6,0)," ")</f>
        <v xml:space="preserve"> </v>
      </c>
      <c r="D1226" s="30" t="str">
        <f>IFERROR(VLOOKUP(A1226,Tabla1[],8,0)," ")</f>
        <v xml:space="preserve"> </v>
      </c>
      <c r="E1226" s="31"/>
      <c r="F1226" s="30" t="str">
        <f t="shared" si="20"/>
        <v xml:space="preserve"> </v>
      </c>
    </row>
    <row r="1227" spans="1:6" ht="22.7" customHeight="1">
      <c r="A1227" s="28"/>
      <c r="B1227" s="29" t="str">
        <f>IFERROR(VLOOKUP(A1227,Tabla1[],2,0)," ")</f>
        <v xml:space="preserve"> </v>
      </c>
      <c r="C1227" s="29" t="str">
        <f>IFERROR(VLOOKUP(A1227,Tabla1[],6,0)," ")</f>
        <v xml:space="preserve"> </v>
      </c>
      <c r="D1227" s="30" t="str">
        <f>IFERROR(VLOOKUP(A1227,Tabla1[],8,0)," ")</f>
        <v xml:space="preserve"> </v>
      </c>
      <c r="E1227" s="31"/>
      <c r="F1227" s="30" t="str">
        <f t="shared" si="20"/>
        <v xml:space="preserve"> </v>
      </c>
    </row>
    <row r="1228" spans="1:6" ht="22.7" customHeight="1">
      <c r="A1228" s="28"/>
      <c r="B1228" s="29" t="str">
        <f>IFERROR(VLOOKUP(A1228,Tabla1[],2,0)," ")</f>
        <v xml:space="preserve"> </v>
      </c>
      <c r="C1228" s="29" t="str">
        <f>IFERROR(VLOOKUP(A1228,Tabla1[],6,0)," ")</f>
        <v xml:space="preserve"> </v>
      </c>
      <c r="D1228" s="30" t="str">
        <f>IFERROR(VLOOKUP(A1228,Tabla1[],8,0)," ")</f>
        <v xml:space="preserve"> </v>
      </c>
      <c r="E1228" s="31"/>
      <c r="F1228" s="30" t="str">
        <f t="shared" si="20"/>
        <v xml:space="preserve"> </v>
      </c>
    </row>
    <row r="1229" spans="1:6" ht="22.7" customHeight="1">
      <c r="A1229" s="28"/>
      <c r="B1229" s="29" t="str">
        <f>IFERROR(VLOOKUP(A1229,Tabla1[],2,0)," ")</f>
        <v xml:space="preserve"> </v>
      </c>
      <c r="C1229" s="29" t="str">
        <f>IFERROR(VLOOKUP(A1229,Tabla1[],6,0)," ")</f>
        <v xml:space="preserve"> </v>
      </c>
      <c r="D1229" s="30" t="str">
        <f>IFERROR(VLOOKUP(A1229,Tabla1[],8,0)," ")</f>
        <v xml:space="preserve"> </v>
      </c>
      <c r="E1229" s="31"/>
      <c r="F1229" s="30" t="str">
        <f t="shared" si="20"/>
        <v xml:space="preserve"> </v>
      </c>
    </row>
    <row r="1230" spans="1:6" ht="22.7" customHeight="1">
      <c r="A1230" s="28"/>
      <c r="B1230" s="29" t="str">
        <f>IFERROR(VLOOKUP(A1230,Tabla1[],2,0)," ")</f>
        <v xml:space="preserve"> </v>
      </c>
      <c r="C1230" s="29" t="str">
        <f>IFERROR(VLOOKUP(A1230,Tabla1[],6,0)," ")</f>
        <v xml:space="preserve"> </v>
      </c>
      <c r="D1230" s="30" t="str">
        <f>IFERROR(VLOOKUP(A1230,Tabla1[],8,0)," ")</f>
        <v xml:space="preserve"> </v>
      </c>
      <c r="E1230" s="31"/>
      <c r="F1230" s="30" t="str">
        <f t="shared" si="20"/>
        <v xml:space="preserve"> </v>
      </c>
    </row>
    <row r="1231" spans="1:6" ht="22.7" customHeight="1">
      <c r="A1231" s="28"/>
      <c r="B1231" s="29" t="str">
        <f>IFERROR(VLOOKUP(A1231,Tabla1[],2,0)," ")</f>
        <v xml:space="preserve"> </v>
      </c>
      <c r="C1231" s="29" t="str">
        <f>IFERROR(VLOOKUP(A1231,Tabla1[],6,0)," ")</f>
        <v xml:space="preserve"> </v>
      </c>
      <c r="D1231" s="30" t="str">
        <f>IFERROR(VLOOKUP(A1231,Tabla1[],8,0)," ")</f>
        <v xml:space="preserve"> </v>
      </c>
      <c r="E1231" s="31"/>
      <c r="F1231" s="30" t="str">
        <f t="shared" si="20"/>
        <v xml:space="preserve"> </v>
      </c>
    </row>
    <row r="1232" spans="1:6" ht="22.7" customHeight="1">
      <c r="A1232" s="28"/>
      <c r="B1232" s="29" t="str">
        <f>IFERROR(VLOOKUP(A1232,Tabla1[],2,0)," ")</f>
        <v xml:space="preserve"> </v>
      </c>
      <c r="C1232" s="29" t="str">
        <f>IFERROR(VLOOKUP(A1232,Tabla1[],6,0)," ")</f>
        <v xml:space="preserve"> </v>
      </c>
      <c r="D1232" s="30" t="str">
        <f>IFERROR(VLOOKUP(A1232,Tabla1[],8,0)," ")</f>
        <v xml:space="preserve"> </v>
      </c>
      <c r="E1232" s="31"/>
      <c r="F1232" s="30" t="str">
        <f t="shared" si="20"/>
        <v xml:space="preserve"> </v>
      </c>
    </row>
    <row r="1233" spans="1:6" ht="22.7" customHeight="1">
      <c r="A1233" s="28"/>
      <c r="B1233" s="29" t="str">
        <f>IFERROR(VLOOKUP(A1233,Tabla1[],2,0)," ")</f>
        <v xml:space="preserve"> </v>
      </c>
      <c r="C1233" s="29" t="str">
        <f>IFERROR(VLOOKUP(A1233,Tabla1[],6,0)," ")</f>
        <v xml:space="preserve"> </v>
      </c>
      <c r="D1233" s="30" t="str">
        <f>IFERROR(VLOOKUP(A1233,Tabla1[],8,0)," ")</f>
        <v xml:space="preserve"> </v>
      </c>
      <c r="E1233" s="31"/>
      <c r="F1233" s="30" t="str">
        <f t="shared" si="20"/>
        <v xml:space="preserve"> </v>
      </c>
    </row>
    <row r="1234" spans="1:6" ht="22.7" customHeight="1">
      <c r="A1234" s="28"/>
      <c r="B1234" s="29" t="str">
        <f>IFERROR(VLOOKUP(A1234,Tabla1[],2,0)," ")</f>
        <v xml:space="preserve"> </v>
      </c>
      <c r="C1234" s="29" t="str">
        <f>IFERROR(VLOOKUP(A1234,Tabla1[],6,0)," ")</f>
        <v xml:space="preserve"> </v>
      </c>
      <c r="D1234" s="30" t="str">
        <f>IFERROR(VLOOKUP(A1234,Tabla1[],8,0)," ")</f>
        <v xml:space="preserve"> </v>
      </c>
      <c r="E1234" s="31"/>
      <c r="F1234" s="30" t="str">
        <f t="shared" si="20"/>
        <v xml:space="preserve"> </v>
      </c>
    </row>
    <row r="1235" spans="1:6" ht="22.7" customHeight="1">
      <c r="A1235" s="28"/>
      <c r="B1235" s="29" t="str">
        <f>IFERROR(VLOOKUP(A1235,Tabla1[],2,0)," ")</f>
        <v xml:space="preserve"> </v>
      </c>
      <c r="C1235" s="29" t="str">
        <f>IFERROR(VLOOKUP(A1235,Tabla1[],6,0)," ")</f>
        <v xml:space="preserve"> </v>
      </c>
      <c r="D1235" s="30" t="str">
        <f>IFERROR(VLOOKUP(A1235,Tabla1[],8,0)," ")</f>
        <v xml:space="preserve"> </v>
      </c>
      <c r="E1235" s="31"/>
      <c r="F1235" s="30" t="str">
        <f t="shared" si="20"/>
        <v xml:space="preserve"> </v>
      </c>
    </row>
    <row r="1236" spans="1:6" ht="22.7" customHeight="1">
      <c r="A1236" s="28"/>
      <c r="B1236" s="29" t="str">
        <f>IFERROR(VLOOKUP(A1236,Tabla1[],2,0)," ")</f>
        <v xml:space="preserve"> </v>
      </c>
      <c r="C1236" s="29" t="str">
        <f>IFERROR(VLOOKUP(A1236,Tabla1[],6,0)," ")</f>
        <v xml:space="preserve"> </v>
      </c>
      <c r="D1236" s="30" t="str">
        <f>IFERROR(VLOOKUP(A1236,Tabla1[],8,0)," ")</f>
        <v xml:space="preserve"> </v>
      </c>
      <c r="E1236" s="31"/>
      <c r="F1236" s="30" t="str">
        <f t="shared" si="20"/>
        <v xml:space="preserve"> </v>
      </c>
    </row>
    <row r="1237" spans="1:6" ht="22.7" customHeight="1">
      <c r="A1237" s="28"/>
      <c r="B1237" s="29" t="str">
        <f>IFERROR(VLOOKUP(A1237,Tabla1[],2,0)," ")</f>
        <v xml:space="preserve"> </v>
      </c>
      <c r="C1237" s="29" t="str">
        <f>IFERROR(VLOOKUP(A1237,Tabla1[],6,0)," ")</f>
        <v xml:space="preserve"> </v>
      </c>
      <c r="D1237" s="30" t="str">
        <f>IFERROR(VLOOKUP(A1237,Tabla1[],8,0)," ")</f>
        <v xml:space="preserve"> </v>
      </c>
      <c r="E1237" s="31"/>
      <c r="F1237" s="30" t="str">
        <f t="shared" si="20"/>
        <v xml:space="preserve"> </v>
      </c>
    </row>
    <row r="1238" spans="1:6" ht="22.7" customHeight="1">
      <c r="A1238" s="28"/>
      <c r="B1238" s="29" t="str">
        <f>IFERROR(VLOOKUP(A1238,Tabla1[],2,0)," ")</f>
        <v xml:space="preserve"> </v>
      </c>
      <c r="C1238" s="29" t="str">
        <f>IFERROR(VLOOKUP(A1238,Tabla1[],6,0)," ")</f>
        <v xml:space="preserve"> </v>
      </c>
      <c r="D1238" s="30" t="str">
        <f>IFERROR(VLOOKUP(A1238,Tabla1[],8,0)," ")</f>
        <v xml:space="preserve"> </v>
      </c>
      <c r="E1238" s="31"/>
      <c r="F1238" s="30" t="str">
        <f t="shared" si="20"/>
        <v xml:space="preserve"> </v>
      </c>
    </row>
    <row r="1239" spans="1:6" ht="22.7" customHeight="1">
      <c r="A1239" s="28"/>
      <c r="B1239" s="29" t="str">
        <f>IFERROR(VLOOKUP(A1239,Tabla1[],2,0)," ")</f>
        <v xml:space="preserve"> </v>
      </c>
      <c r="C1239" s="29" t="str">
        <f>IFERROR(VLOOKUP(A1239,Tabla1[],6,0)," ")</f>
        <v xml:space="preserve"> </v>
      </c>
      <c r="D1239" s="30" t="str">
        <f>IFERROR(VLOOKUP(A1239,Tabla1[],8,0)," ")</f>
        <v xml:space="preserve"> </v>
      </c>
      <c r="E1239" s="31"/>
      <c r="F1239" s="30" t="str">
        <f t="shared" si="20"/>
        <v xml:space="preserve"> </v>
      </c>
    </row>
    <row r="1240" spans="1:6" ht="22.7" customHeight="1">
      <c r="A1240" s="28"/>
      <c r="B1240" s="29" t="str">
        <f>IFERROR(VLOOKUP(A1240,Tabla1[],2,0)," ")</f>
        <v xml:space="preserve"> </v>
      </c>
      <c r="C1240" s="29" t="str">
        <f>IFERROR(VLOOKUP(A1240,Tabla1[],6,0)," ")</f>
        <v xml:space="preserve"> </v>
      </c>
      <c r="D1240" s="30" t="str">
        <f>IFERROR(VLOOKUP(A1240,Tabla1[],8,0)," ")</f>
        <v xml:space="preserve"> </v>
      </c>
      <c r="E1240" s="31"/>
      <c r="F1240" s="30" t="str">
        <f t="shared" si="20"/>
        <v xml:space="preserve"> </v>
      </c>
    </row>
    <row r="1241" spans="1:6" ht="22.7" customHeight="1">
      <c r="A1241" s="28"/>
      <c r="B1241" s="29" t="str">
        <f>IFERROR(VLOOKUP(A1241,Tabla1[],2,0)," ")</f>
        <v xml:space="preserve"> </v>
      </c>
      <c r="C1241" s="29" t="str">
        <f>IFERROR(VLOOKUP(A1241,Tabla1[],6,0)," ")</f>
        <v xml:space="preserve"> </v>
      </c>
      <c r="D1241" s="30" t="str">
        <f>IFERROR(VLOOKUP(A1241,Tabla1[],8,0)," ")</f>
        <v xml:space="preserve"> </v>
      </c>
      <c r="E1241" s="31"/>
      <c r="F1241" s="30" t="str">
        <f t="shared" si="20"/>
        <v xml:space="preserve"> </v>
      </c>
    </row>
    <row r="1242" spans="1:6" ht="22.7" customHeight="1">
      <c r="A1242" s="28"/>
      <c r="B1242" s="29" t="str">
        <f>IFERROR(VLOOKUP(A1242,Tabla1[],2,0)," ")</f>
        <v xml:space="preserve"> </v>
      </c>
      <c r="C1242" s="29" t="str">
        <f>IFERROR(VLOOKUP(A1242,Tabla1[],6,0)," ")</f>
        <v xml:space="preserve"> </v>
      </c>
      <c r="D1242" s="30" t="str">
        <f>IFERROR(VLOOKUP(A1242,Tabla1[],8,0)," ")</f>
        <v xml:space="preserve"> </v>
      </c>
      <c r="E1242" s="31"/>
      <c r="F1242" s="30" t="str">
        <f t="shared" si="20"/>
        <v xml:space="preserve"> </v>
      </c>
    </row>
    <row r="1243" spans="1:6" ht="22.7" customHeight="1">
      <c r="A1243" s="28"/>
      <c r="B1243" s="29" t="str">
        <f>IFERROR(VLOOKUP(A1243,Tabla1[],2,0)," ")</f>
        <v xml:space="preserve"> </v>
      </c>
      <c r="C1243" s="29" t="str">
        <f>IFERROR(VLOOKUP(A1243,Tabla1[],6,0)," ")</f>
        <v xml:space="preserve"> </v>
      </c>
      <c r="D1243" s="30" t="str">
        <f>IFERROR(VLOOKUP(A1243,Tabla1[],8,0)," ")</f>
        <v xml:space="preserve"> </v>
      </c>
      <c r="E1243" s="31"/>
      <c r="F1243" s="30" t="str">
        <f t="shared" si="20"/>
        <v xml:space="preserve"> </v>
      </c>
    </row>
    <row r="1244" spans="1:6" ht="22.7" customHeight="1">
      <c r="A1244" s="28"/>
      <c r="B1244" s="29" t="str">
        <f>IFERROR(VLOOKUP(A1244,Tabla1[],2,0)," ")</f>
        <v xml:space="preserve"> </v>
      </c>
      <c r="C1244" s="29" t="str">
        <f>IFERROR(VLOOKUP(A1244,Tabla1[],6,0)," ")</f>
        <v xml:space="preserve"> </v>
      </c>
      <c r="D1244" s="30" t="str">
        <f>IFERROR(VLOOKUP(A1244,Tabla1[],8,0)," ")</f>
        <v xml:space="preserve"> </v>
      </c>
      <c r="E1244" s="31"/>
      <c r="F1244" s="30" t="str">
        <f t="shared" si="20"/>
        <v xml:space="preserve"> </v>
      </c>
    </row>
    <row r="1245" spans="1:6" ht="22.7" customHeight="1">
      <c r="A1245" s="28"/>
      <c r="B1245" s="29" t="str">
        <f>IFERROR(VLOOKUP(A1245,Tabla1[],2,0)," ")</f>
        <v xml:space="preserve"> </v>
      </c>
      <c r="C1245" s="29" t="str">
        <f>IFERROR(VLOOKUP(A1245,Tabla1[],6,0)," ")</f>
        <v xml:space="preserve"> </v>
      </c>
      <c r="D1245" s="30" t="str">
        <f>IFERROR(VLOOKUP(A1245,Tabla1[],8,0)," ")</f>
        <v xml:space="preserve"> </v>
      </c>
      <c r="E1245" s="31"/>
      <c r="F1245" s="30" t="str">
        <f t="shared" si="20"/>
        <v xml:space="preserve"> </v>
      </c>
    </row>
    <row r="1246" spans="1:6" ht="22.7" customHeight="1">
      <c r="A1246" s="28"/>
      <c r="B1246" s="29" t="str">
        <f>IFERROR(VLOOKUP(A1246,Tabla1[],2,0)," ")</f>
        <v xml:space="preserve"> </v>
      </c>
      <c r="C1246" s="29" t="str">
        <f>IFERROR(VLOOKUP(A1246,Tabla1[],6,0)," ")</f>
        <v xml:space="preserve"> </v>
      </c>
      <c r="D1246" s="30" t="str">
        <f>IFERROR(VLOOKUP(A1246,Tabla1[],8,0)," ")</f>
        <v xml:space="preserve"> </v>
      </c>
      <c r="E1246" s="31"/>
      <c r="F1246" s="30" t="str">
        <f t="shared" si="20"/>
        <v xml:space="preserve"> </v>
      </c>
    </row>
    <row r="1247" spans="1:6" ht="22.7" customHeight="1">
      <c r="A1247" s="28"/>
      <c r="B1247" s="29" t="str">
        <f>IFERROR(VLOOKUP(A1247,Tabla1[],2,0)," ")</f>
        <v xml:space="preserve"> </v>
      </c>
      <c r="C1247" s="29" t="str">
        <f>IFERROR(VLOOKUP(A1247,Tabla1[],6,0)," ")</f>
        <v xml:space="preserve"> </v>
      </c>
      <c r="D1247" s="30" t="str">
        <f>IFERROR(VLOOKUP(A1247,Tabla1[],8,0)," ")</f>
        <v xml:space="preserve"> </v>
      </c>
      <c r="E1247" s="31"/>
      <c r="F1247" s="30" t="str">
        <f t="shared" si="20"/>
        <v xml:space="preserve"> </v>
      </c>
    </row>
    <row r="1248" spans="1:6" ht="22.7" customHeight="1">
      <c r="A1248" s="28"/>
      <c r="B1248" s="29" t="str">
        <f>IFERROR(VLOOKUP(A1248,Tabla1[],2,0)," ")</f>
        <v xml:space="preserve"> </v>
      </c>
      <c r="C1248" s="29" t="str">
        <f>IFERROR(VLOOKUP(A1248,Tabla1[],6,0)," ")</f>
        <v xml:space="preserve"> </v>
      </c>
      <c r="D1248" s="30" t="str">
        <f>IFERROR(VLOOKUP(A1248,Tabla1[],8,0)," ")</f>
        <v xml:space="preserve"> </v>
      </c>
      <c r="E1248" s="31"/>
      <c r="F1248" s="30" t="str">
        <f t="shared" si="20"/>
        <v xml:space="preserve"> </v>
      </c>
    </row>
    <row r="1249" spans="1:6" ht="22.7" customHeight="1">
      <c r="A1249" s="28"/>
      <c r="B1249" s="29" t="str">
        <f>IFERROR(VLOOKUP(A1249,Tabla1[],2,0)," ")</f>
        <v xml:space="preserve"> </v>
      </c>
      <c r="C1249" s="29" t="str">
        <f>IFERROR(VLOOKUP(A1249,Tabla1[],6,0)," ")</f>
        <v xml:space="preserve"> </v>
      </c>
      <c r="D1249" s="30" t="str">
        <f>IFERROR(VLOOKUP(A1249,Tabla1[],8,0)," ")</f>
        <v xml:space="preserve"> </v>
      </c>
      <c r="E1249" s="31"/>
      <c r="F1249" s="30" t="str">
        <f t="shared" si="20"/>
        <v xml:space="preserve"> </v>
      </c>
    </row>
    <row r="1250" spans="1:6" ht="22.7" customHeight="1">
      <c r="A1250" s="28"/>
      <c r="B1250" s="29" t="str">
        <f>IFERROR(VLOOKUP(A1250,Tabla1[],2,0)," ")</f>
        <v xml:space="preserve"> </v>
      </c>
      <c r="C1250" s="29" t="str">
        <f>IFERROR(VLOOKUP(A1250,Tabla1[],6,0)," ")</f>
        <v xml:space="preserve"> </v>
      </c>
      <c r="D1250" s="30" t="str">
        <f>IFERROR(VLOOKUP(A1250,Tabla1[],8,0)," ")</f>
        <v xml:space="preserve"> </v>
      </c>
      <c r="E1250" s="31"/>
      <c r="F1250" s="30" t="str">
        <f t="shared" si="20"/>
        <v xml:space="preserve"> </v>
      </c>
    </row>
    <row r="1251" spans="1:6" ht="22.7" customHeight="1">
      <c r="A1251" s="28"/>
      <c r="B1251" s="29" t="str">
        <f>IFERROR(VLOOKUP(A1251,Tabla1[],2,0)," ")</f>
        <v xml:space="preserve"> </v>
      </c>
      <c r="C1251" s="29" t="str">
        <f>IFERROR(VLOOKUP(A1251,Tabla1[],6,0)," ")</f>
        <v xml:space="preserve"> </v>
      </c>
      <c r="D1251" s="30" t="str">
        <f>IFERROR(VLOOKUP(A1251,Tabla1[],8,0)," ")</f>
        <v xml:space="preserve"> </v>
      </c>
      <c r="E1251" s="31"/>
      <c r="F1251" s="30" t="str">
        <f t="shared" si="20"/>
        <v xml:space="preserve"> </v>
      </c>
    </row>
    <row r="1252" spans="1:6" ht="22.7" customHeight="1">
      <c r="A1252" s="28"/>
      <c r="B1252" s="29" t="str">
        <f>IFERROR(VLOOKUP(A1252,Tabla1[],2,0)," ")</f>
        <v xml:space="preserve"> </v>
      </c>
      <c r="C1252" s="29" t="str">
        <f>IFERROR(VLOOKUP(A1252,Tabla1[],6,0)," ")</f>
        <v xml:space="preserve"> </v>
      </c>
      <c r="D1252" s="30" t="str">
        <f>IFERROR(VLOOKUP(A1252,Tabla1[],8,0)," ")</f>
        <v xml:space="preserve"> </v>
      </c>
      <c r="E1252" s="31"/>
      <c r="F1252" s="30" t="str">
        <f t="shared" si="20"/>
        <v xml:space="preserve"> </v>
      </c>
    </row>
    <row r="1253" spans="1:6" ht="22.7" customHeight="1">
      <c r="A1253" s="28"/>
      <c r="B1253" s="29" t="str">
        <f>IFERROR(VLOOKUP(A1253,Tabla1[],2,0)," ")</f>
        <v xml:space="preserve"> </v>
      </c>
      <c r="C1253" s="29" t="str">
        <f>IFERROR(VLOOKUP(A1253,Tabla1[],6,0)," ")</f>
        <v xml:space="preserve"> </v>
      </c>
      <c r="D1253" s="30" t="str">
        <f>IFERROR(VLOOKUP(A1253,Tabla1[],8,0)," ")</f>
        <v xml:space="preserve"> </v>
      </c>
      <c r="E1253" s="31"/>
      <c r="F1253" s="30" t="str">
        <f t="shared" si="20"/>
        <v xml:space="preserve"> </v>
      </c>
    </row>
    <row r="1254" spans="1:6" ht="22.7" customHeight="1">
      <c r="A1254" s="28"/>
      <c r="B1254" s="29" t="str">
        <f>IFERROR(VLOOKUP(A1254,Tabla1[],2,0)," ")</f>
        <v xml:space="preserve"> </v>
      </c>
      <c r="C1254" s="29" t="str">
        <f>IFERROR(VLOOKUP(A1254,Tabla1[],6,0)," ")</f>
        <v xml:space="preserve"> </v>
      </c>
      <c r="D1254" s="30" t="str">
        <f>IFERROR(VLOOKUP(A1254,Tabla1[],8,0)," ")</f>
        <v xml:space="preserve"> </v>
      </c>
      <c r="E1254" s="31"/>
      <c r="F1254" s="30" t="str">
        <f t="shared" si="20"/>
        <v xml:space="preserve"> </v>
      </c>
    </row>
    <row r="1255" spans="1:6" ht="22.7" customHeight="1">
      <c r="A1255" s="28"/>
      <c r="B1255" s="29" t="str">
        <f>IFERROR(VLOOKUP(A1255,Tabla1[],2,0)," ")</f>
        <v xml:space="preserve"> </v>
      </c>
      <c r="C1255" s="29" t="str">
        <f>IFERROR(VLOOKUP(A1255,Tabla1[],6,0)," ")</f>
        <v xml:space="preserve"> </v>
      </c>
      <c r="D1255" s="30" t="str">
        <f>IFERROR(VLOOKUP(A1255,Tabla1[],8,0)," ")</f>
        <v xml:space="preserve"> </v>
      </c>
      <c r="E1255" s="31"/>
      <c r="F1255" s="30" t="str">
        <f t="shared" si="20"/>
        <v xml:space="preserve"> </v>
      </c>
    </row>
    <row r="1256" spans="1:6" ht="22.7" customHeight="1">
      <c r="A1256" s="28"/>
      <c r="B1256" s="29" t="str">
        <f>IFERROR(VLOOKUP(A1256,Tabla1[],2,0)," ")</f>
        <v xml:space="preserve"> </v>
      </c>
      <c r="C1256" s="29" t="str">
        <f>IFERROR(VLOOKUP(A1256,Tabla1[],6,0)," ")</f>
        <v xml:space="preserve"> </v>
      </c>
      <c r="D1256" s="30" t="str">
        <f>IFERROR(VLOOKUP(A1256,Tabla1[],8,0)," ")</f>
        <v xml:space="preserve"> </v>
      </c>
      <c r="E1256" s="31"/>
      <c r="F1256" s="30" t="str">
        <f t="shared" si="20"/>
        <v xml:space="preserve"> </v>
      </c>
    </row>
    <row r="1257" spans="1:6" ht="22.7" customHeight="1">
      <c r="A1257" s="28"/>
      <c r="B1257" s="29" t="str">
        <f>IFERROR(VLOOKUP(A1257,Tabla1[],2,0)," ")</f>
        <v xml:space="preserve"> </v>
      </c>
      <c r="C1257" s="29" t="str">
        <f>IFERROR(VLOOKUP(A1257,Tabla1[],6,0)," ")</f>
        <v xml:space="preserve"> </v>
      </c>
      <c r="D1257" s="30" t="str">
        <f>IFERROR(VLOOKUP(A1257,Tabla1[],8,0)," ")</f>
        <v xml:space="preserve"> </v>
      </c>
      <c r="E1257" s="31"/>
      <c r="F1257" s="30" t="str">
        <f t="shared" si="20"/>
        <v xml:space="preserve"> </v>
      </c>
    </row>
    <row r="1258" spans="1:6" ht="22.7" customHeight="1">
      <c r="A1258" s="28"/>
      <c r="B1258" s="29" t="str">
        <f>IFERROR(VLOOKUP(A1258,Tabla1[],2,0)," ")</f>
        <v xml:space="preserve"> </v>
      </c>
      <c r="C1258" s="29" t="str">
        <f>IFERROR(VLOOKUP(A1258,Tabla1[],6,0)," ")</f>
        <v xml:space="preserve"> </v>
      </c>
      <c r="D1258" s="30" t="str">
        <f>IFERROR(VLOOKUP(A1258,Tabla1[],8,0)," ")</f>
        <v xml:space="preserve"> </v>
      </c>
      <c r="E1258" s="31"/>
      <c r="F1258" s="30" t="str">
        <f t="shared" si="20"/>
        <v xml:space="preserve"> </v>
      </c>
    </row>
    <row r="1259" spans="1:6" ht="22.7" customHeight="1">
      <c r="A1259" s="28"/>
      <c r="B1259" s="29" t="str">
        <f>IFERROR(VLOOKUP(A1259,Tabla1[],2,0)," ")</f>
        <v xml:space="preserve"> </v>
      </c>
      <c r="C1259" s="29" t="str">
        <f>IFERROR(VLOOKUP(A1259,Tabla1[],6,0)," ")</f>
        <v xml:space="preserve"> </v>
      </c>
      <c r="D1259" s="30" t="str">
        <f>IFERROR(VLOOKUP(A1259,Tabla1[],8,0)," ")</f>
        <v xml:space="preserve"> </v>
      </c>
      <c r="E1259" s="31"/>
      <c r="F1259" s="30" t="str">
        <f t="shared" si="20"/>
        <v xml:space="preserve"> </v>
      </c>
    </row>
    <row r="1260" spans="1:6" ht="22.7" customHeight="1">
      <c r="A1260" s="28"/>
      <c r="B1260" s="29" t="str">
        <f>IFERROR(VLOOKUP(A1260,Tabla1[],2,0)," ")</f>
        <v xml:space="preserve"> </v>
      </c>
      <c r="C1260" s="29" t="str">
        <f>IFERROR(VLOOKUP(A1260,Tabla1[],6,0)," ")</f>
        <v xml:space="preserve"> </v>
      </c>
      <c r="D1260" s="30" t="str">
        <f>IFERROR(VLOOKUP(A1260,Tabla1[],8,0)," ")</f>
        <v xml:space="preserve"> </v>
      </c>
      <c r="E1260" s="31"/>
      <c r="F1260" s="30" t="str">
        <f t="shared" si="20"/>
        <v xml:space="preserve"> </v>
      </c>
    </row>
    <row r="1261" spans="1:6" ht="22.7" customHeight="1">
      <c r="A1261" s="28"/>
      <c r="B1261" s="29" t="str">
        <f>IFERROR(VLOOKUP(A1261,Tabla1[],2,0)," ")</f>
        <v xml:space="preserve"> </v>
      </c>
      <c r="C1261" s="29" t="str">
        <f>IFERROR(VLOOKUP(A1261,Tabla1[],6,0)," ")</f>
        <v xml:space="preserve"> </v>
      </c>
      <c r="D1261" s="30" t="str">
        <f>IFERROR(VLOOKUP(A1261,Tabla1[],8,0)," ")</f>
        <v xml:space="preserve"> </v>
      </c>
      <c r="E1261" s="31"/>
      <c r="F1261" s="30" t="str">
        <f t="shared" si="20"/>
        <v xml:space="preserve"> </v>
      </c>
    </row>
    <row r="1262" spans="1:6" ht="22.7" customHeight="1">
      <c r="A1262" s="28"/>
      <c r="B1262" s="29" t="str">
        <f>IFERROR(VLOOKUP(A1262,Tabla1[],2,0)," ")</f>
        <v xml:space="preserve"> </v>
      </c>
      <c r="C1262" s="29" t="str">
        <f>IFERROR(VLOOKUP(A1262,Tabla1[],6,0)," ")</f>
        <v xml:space="preserve"> </v>
      </c>
      <c r="D1262" s="30" t="str">
        <f>IFERROR(VLOOKUP(A1262,Tabla1[],8,0)," ")</f>
        <v xml:space="preserve"> </v>
      </c>
      <c r="E1262" s="31"/>
      <c r="F1262" s="30" t="str">
        <f t="shared" si="20"/>
        <v xml:space="preserve"> </v>
      </c>
    </row>
    <row r="1263" spans="1:6" ht="22.7" customHeight="1">
      <c r="A1263" s="28"/>
      <c r="B1263" s="29" t="str">
        <f>IFERROR(VLOOKUP(A1263,Tabla1[],2,0)," ")</f>
        <v xml:space="preserve"> </v>
      </c>
      <c r="C1263" s="29" t="str">
        <f>IFERROR(VLOOKUP(A1263,Tabla1[],6,0)," ")</f>
        <v xml:space="preserve"> </v>
      </c>
      <c r="D1263" s="30" t="str">
        <f>IFERROR(VLOOKUP(A1263,Tabla1[],8,0)," ")</f>
        <v xml:space="preserve"> </v>
      </c>
      <c r="E1263" s="31"/>
      <c r="F1263" s="30" t="str">
        <f t="shared" si="20"/>
        <v xml:space="preserve"> </v>
      </c>
    </row>
    <row r="1264" spans="1:6" ht="22.7" customHeight="1">
      <c r="A1264" s="28"/>
      <c r="B1264" s="29" t="str">
        <f>IFERROR(VLOOKUP(A1264,Tabla1[],2,0)," ")</f>
        <v xml:space="preserve"> </v>
      </c>
      <c r="C1264" s="29" t="str">
        <f>IFERROR(VLOOKUP(A1264,Tabla1[],6,0)," ")</f>
        <v xml:space="preserve"> </v>
      </c>
      <c r="D1264" s="30" t="str">
        <f>IFERROR(VLOOKUP(A1264,Tabla1[],8,0)," ")</f>
        <v xml:space="preserve"> </v>
      </c>
      <c r="E1264" s="31"/>
      <c r="F1264" s="30" t="str">
        <f t="shared" si="20"/>
        <v xml:space="preserve"> </v>
      </c>
    </row>
    <row r="1265" spans="1:6" ht="22.7" customHeight="1">
      <c r="A1265" s="28"/>
      <c r="B1265" s="29" t="str">
        <f>IFERROR(VLOOKUP(A1265,Tabla1[],2,0)," ")</f>
        <v xml:space="preserve"> </v>
      </c>
      <c r="C1265" s="29" t="str">
        <f>IFERROR(VLOOKUP(A1265,Tabla1[],6,0)," ")</f>
        <v xml:space="preserve"> </v>
      </c>
      <c r="D1265" s="30" t="str">
        <f>IFERROR(VLOOKUP(A1265,Tabla1[],8,0)," ")</f>
        <v xml:space="preserve"> </v>
      </c>
      <c r="E1265" s="31"/>
      <c r="F1265" s="30" t="str">
        <f t="shared" si="20"/>
        <v xml:space="preserve"> </v>
      </c>
    </row>
    <row r="1266" spans="1:6" ht="22.7" customHeight="1">
      <c r="A1266" s="28"/>
      <c r="B1266" s="29" t="str">
        <f>IFERROR(VLOOKUP(A1266,Tabla1[],2,0)," ")</f>
        <v xml:space="preserve"> </v>
      </c>
      <c r="C1266" s="29" t="str">
        <f>IFERROR(VLOOKUP(A1266,Tabla1[],6,0)," ")</f>
        <v xml:space="preserve"> </v>
      </c>
      <c r="D1266" s="30" t="str">
        <f>IFERROR(VLOOKUP(A1266,Tabla1[],8,0)," ")</f>
        <v xml:space="preserve"> </v>
      </c>
      <c r="E1266" s="31"/>
      <c r="F1266" s="30" t="str">
        <f t="shared" si="20"/>
        <v xml:space="preserve"> </v>
      </c>
    </row>
    <row r="1267" spans="1:6" ht="22.7" customHeight="1">
      <c r="A1267" s="28"/>
      <c r="B1267" s="29" t="str">
        <f>IFERROR(VLOOKUP(A1267,Tabla1[],2,0)," ")</f>
        <v xml:space="preserve"> </v>
      </c>
      <c r="C1267" s="29" t="str">
        <f>IFERROR(VLOOKUP(A1267,Tabla1[],6,0)," ")</f>
        <v xml:space="preserve"> </v>
      </c>
      <c r="D1267" s="30" t="str">
        <f>IFERROR(VLOOKUP(A1267,Tabla1[],8,0)," ")</f>
        <v xml:space="preserve"> </v>
      </c>
      <c r="E1267" s="31"/>
      <c r="F1267" s="30" t="str">
        <f t="shared" si="20"/>
        <v xml:space="preserve"> </v>
      </c>
    </row>
    <row r="1268" spans="1:6" ht="22.7" customHeight="1">
      <c r="A1268" s="28"/>
      <c r="B1268" s="29" t="str">
        <f>IFERROR(VLOOKUP(A1268,Tabla1[],2,0)," ")</f>
        <v xml:space="preserve"> </v>
      </c>
      <c r="C1268" s="29" t="str">
        <f>IFERROR(VLOOKUP(A1268,Tabla1[],6,0)," ")</f>
        <v xml:space="preserve"> </v>
      </c>
      <c r="D1268" s="30" t="str">
        <f>IFERROR(VLOOKUP(A1268,Tabla1[],8,0)," ")</f>
        <v xml:space="preserve"> </v>
      </c>
      <c r="E1268" s="31"/>
      <c r="F1268" s="30" t="str">
        <f t="shared" si="20"/>
        <v xml:space="preserve"> </v>
      </c>
    </row>
    <row r="1269" spans="1:6" ht="22.7" customHeight="1">
      <c r="A1269" s="28"/>
      <c r="B1269" s="29" t="str">
        <f>IFERROR(VLOOKUP(A1269,Tabla1[],2,0)," ")</f>
        <v xml:space="preserve"> </v>
      </c>
      <c r="C1269" s="29" t="str">
        <f>IFERROR(VLOOKUP(A1269,Tabla1[],6,0)," ")</f>
        <v xml:space="preserve"> </v>
      </c>
      <c r="D1269" s="30" t="str">
        <f>IFERROR(VLOOKUP(A1269,Tabla1[],8,0)," ")</f>
        <v xml:space="preserve"> </v>
      </c>
      <c r="E1269" s="31"/>
      <c r="F1269" s="30" t="str">
        <f t="shared" si="20"/>
        <v xml:space="preserve"> </v>
      </c>
    </row>
    <row r="1270" spans="1:6" ht="22.7" customHeight="1">
      <c r="A1270" s="28"/>
      <c r="B1270" s="29" t="str">
        <f>IFERROR(VLOOKUP(A1270,Tabla1[],2,0)," ")</f>
        <v xml:space="preserve"> </v>
      </c>
      <c r="C1270" s="29" t="str">
        <f>IFERROR(VLOOKUP(A1270,Tabla1[],6,0)," ")</f>
        <v xml:space="preserve"> </v>
      </c>
      <c r="D1270" s="30" t="str">
        <f>IFERROR(VLOOKUP(A1270,Tabla1[],8,0)," ")</f>
        <v xml:space="preserve"> </v>
      </c>
      <c r="E1270" s="31"/>
      <c r="F1270" s="30" t="str">
        <f t="shared" si="20"/>
        <v xml:space="preserve"> </v>
      </c>
    </row>
    <row r="1271" spans="1:6" ht="22.7" customHeight="1">
      <c r="A1271" s="28"/>
      <c r="B1271" s="29" t="str">
        <f>IFERROR(VLOOKUP(A1271,Tabla1[],2,0)," ")</f>
        <v xml:space="preserve"> </v>
      </c>
      <c r="C1271" s="29" t="str">
        <f>IFERROR(VLOOKUP(A1271,Tabla1[],6,0)," ")</f>
        <v xml:space="preserve"> </v>
      </c>
      <c r="D1271" s="30" t="str">
        <f>IFERROR(VLOOKUP(A1271,Tabla1[],8,0)," ")</f>
        <v xml:space="preserve"> </v>
      </c>
      <c r="E1271" s="31"/>
      <c r="F1271" s="30" t="str">
        <f t="shared" si="20"/>
        <v xml:space="preserve"> </v>
      </c>
    </row>
    <row r="1272" spans="1:6" ht="22.7" customHeight="1">
      <c r="A1272" s="28"/>
      <c r="B1272" s="29" t="str">
        <f>IFERROR(VLOOKUP(A1272,Tabla1[],2,0)," ")</f>
        <v xml:space="preserve"> </v>
      </c>
      <c r="C1272" s="29" t="str">
        <f>IFERROR(VLOOKUP(A1272,Tabla1[],6,0)," ")</f>
        <v xml:space="preserve"> </v>
      </c>
      <c r="D1272" s="30" t="str">
        <f>IFERROR(VLOOKUP(A1272,Tabla1[],8,0)," ")</f>
        <v xml:space="preserve"> </v>
      </c>
      <c r="E1272" s="31"/>
      <c r="F1272" s="30" t="str">
        <f t="shared" si="20"/>
        <v xml:space="preserve"> </v>
      </c>
    </row>
    <row r="1273" spans="1:6" ht="22.7" customHeight="1">
      <c r="A1273" s="28"/>
      <c r="B1273" s="29" t="str">
        <f>IFERROR(VLOOKUP(A1273,Tabla1[],2,0)," ")</f>
        <v xml:space="preserve"> </v>
      </c>
      <c r="C1273" s="29" t="str">
        <f>IFERROR(VLOOKUP(A1273,Tabla1[],6,0)," ")</f>
        <v xml:space="preserve"> </v>
      </c>
      <c r="D1273" s="30" t="str">
        <f>IFERROR(VLOOKUP(A1273,Tabla1[],8,0)," ")</f>
        <v xml:space="preserve"> </v>
      </c>
      <c r="E1273" s="31"/>
      <c r="F1273" s="30" t="str">
        <f t="shared" si="20"/>
        <v xml:space="preserve"> </v>
      </c>
    </row>
    <row r="1274" spans="1:6" ht="22.7" customHeight="1">
      <c r="A1274" s="28"/>
      <c r="B1274" s="29" t="str">
        <f>IFERROR(VLOOKUP(A1274,Tabla1[],2,0)," ")</f>
        <v xml:space="preserve"> </v>
      </c>
      <c r="C1274" s="29" t="str">
        <f>IFERROR(VLOOKUP(A1274,Tabla1[],6,0)," ")</f>
        <v xml:space="preserve"> </v>
      </c>
      <c r="D1274" s="30" t="str">
        <f>IFERROR(VLOOKUP(A1274,Tabla1[],8,0)," ")</f>
        <v xml:space="preserve"> </v>
      </c>
      <c r="E1274" s="31"/>
      <c r="F1274" s="30" t="str">
        <f t="shared" si="20"/>
        <v xml:space="preserve"> </v>
      </c>
    </row>
    <row r="1275" spans="1:6" ht="22.7" customHeight="1">
      <c r="A1275" s="28"/>
      <c r="B1275" s="29" t="str">
        <f>IFERROR(VLOOKUP(A1275,Tabla1[],2,0)," ")</f>
        <v xml:space="preserve"> </v>
      </c>
      <c r="C1275" s="29" t="str">
        <f>IFERROR(VLOOKUP(A1275,Tabla1[],6,0)," ")</f>
        <v xml:space="preserve"> </v>
      </c>
      <c r="D1275" s="30" t="str">
        <f>IFERROR(VLOOKUP(A1275,Tabla1[],8,0)," ")</f>
        <v xml:space="preserve"> </v>
      </c>
      <c r="E1275" s="31"/>
      <c r="F1275" s="30" t="str">
        <f t="shared" si="20"/>
        <v xml:space="preserve"> </v>
      </c>
    </row>
    <row r="1276" spans="1:6" ht="22.7" customHeight="1">
      <c r="A1276" s="28"/>
      <c r="B1276" s="29" t="str">
        <f>IFERROR(VLOOKUP(A1276,Tabla1[],2,0)," ")</f>
        <v xml:space="preserve"> </v>
      </c>
      <c r="C1276" s="29" t="str">
        <f>IFERROR(VLOOKUP(A1276,Tabla1[],6,0)," ")</f>
        <v xml:space="preserve"> </v>
      </c>
      <c r="D1276" s="30" t="str">
        <f>IFERROR(VLOOKUP(A1276,Tabla1[],8,0)," ")</f>
        <v xml:space="preserve"> </v>
      </c>
      <c r="E1276" s="31"/>
      <c r="F1276" s="30" t="str">
        <f t="shared" si="20"/>
        <v xml:space="preserve"> </v>
      </c>
    </row>
    <row r="1277" spans="1:6" ht="22.7" customHeight="1">
      <c r="A1277" s="28"/>
      <c r="B1277" s="29" t="str">
        <f>IFERROR(VLOOKUP(A1277,Tabla1[],2,0)," ")</f>
        <v xml:space="preserve"> </v>
      </c>
      <c r="C1277" s="29" t="str">
        <f>IFERROR(VLOOKUP(A1277,Tabla1[],6,0)," ")</f>
        <v xml:space="preserve"> </v>
      </c>
      <c r="D1277" s="30" t="str">
        <f>IFERROR(VLOOKUP(A1277,Tabla1[],8,0)," ")</f>
        <v xml:space="preserve"> </v>
      </c>
      <c r="E1277" s="31"/>
      <c r="F1277" s="30" t="str">
        <f t="shared" si="20"/>
        <v xml:space="preserve"> </v>
      </c>
    </row>
    <row r="1278" spans="1:6" ht="22.7" customHeight="1">
      <c r="A1278" s="28"/>
      <c r="B1278" s="29" t="str">
        <f>IFERROR(VLOOKUP(A1278,Tabla1[],2,0)," ")</f>
        <v xml:space="preserve"> </v>
      </c>
      <c r="C1278" s="29" t="str">
        <f>IFERROR(VLOOKUP(A1278,Tabla1[],6,0)," ")</f>
        <v xml:space="preserve"> </v>
      </c>
      <c r="D1278" s="30" t="str">
        <f>IFERROR(VLOOKUP(A1278,Tabla1[],8,0)," ")</f>
        <v xml:space="preserve"> </v>
      </c>
      <c r="E1278" s="31"/>
      <c r="F1278" s="30" t="str">
        <f t="shared" si="20"/>
        <v xml:space="preserve"> </v>
      </c>
    </row>
    <row r="1279" spans="1:6" ht="22.7" customHeight="1">
      <c r="A1279" s="28"/>
      <c r="B1279" s="29" t="str">
        <f>IFERROR(VLOOKUP(A1279,Tabla1[],2,0)," ")</f>
        <v xml:space="preserve"> </v>
      </c>
      <c r="C1279" s="29" t="str">
        <f>IFERROR(VLOOKUP(A1279,Tabla1[],6,0)," ")</f>
        <v xml:space="preserve"> </v>
      </c>
      <c r="D1279" s="30" t="str">
        <f>IFERROR(VLOOKUP(A1279,Tabla1[],8,0)," ")</f>
        <v xml:space="preserve"> </v>
      </c>
      <c r="E1279" s="31"/>
      <c r="F1279" s="30" t="str">
        <f t="shared" si="20"/>
        <v xml:space="preserve"> </v>
      </c>
    </row>
    <row r="1280" spans="1:6" ht="22.7" customHeight="1">
      <c r="A1280" s="28"/>
      <c r="B1280" s="29" t="str">
        <f>IFERROR(VLOOKUP(A1280,Tabla1[],2,0)," ")</f>
        <v xml:space="preserve"> </v>
      </c>
      <c r="C1280" s="29" t="str">
        <f>IFERROR(VLOOKUP(A1280,Tabla1[],6,0)," ")</f>
        <v xml:space="preserve"> </v>
      </c>
      <c r="D1280" s="30" t="str">
        <f>IFERROR(VLOOKUP(A1280,Tabla1[],8,0)," ")</f>
        <v xml:space="preserve"> </v>
      </c>
      <c r="E1280" s="31"/>
      <c r="F1280" s="30" t="str">
        <f t="shared" si="20"/>
        <v xml:space="preserve"> </v>
      </c>
    </row>
    <row r="1281" spans="1:6" ht="22.7" customHeight="1">
      <c r="A1281" s="28"/>
      <c r="B1281" s="29" t="str">
        <f>IFERROR(VLOOKUP(A1281,Tabla1[],2,0)," ")</f>
        <v xml:space="preserve"> </v>
      </c>
      <c r="C1281" s="29" t="str">
        <f>IFERROR(VLOOKUP(A1281,Tabla1[],6,0)," ")</f>
        <v xml:space="preserve"> </v>
      </c>
      <c r="D1281" s="30" t="str">
        <f>IFERROR(VLOOKUP(A1281,Tabla1[],8,0)," ")</f>
        <v xml:space="preserve"> </v>
      </c>
      <c r="E1281" s="31"/>
      <c r="F1281" s="30" t="str">
        <f t="shared" si="20"/>
        <v xml:space="preserve"> </v>
      </c>
    </row>
    <row r="1282" spans="1:6" ht="22.7" customHeight="1">
      <c r="A1282" s="28"/>
      <c r="B1282" s="29" t="str">
        <f>IFERROR(VLOOKUP(A1282,Tabla1[],2,0)," ")</f>
        <v xml:space="preserve"> </v>
      </c>
      <c r="C1282" s="29" t="str">
        <f>IFERROR(VLOOKUP(A1282,Tabla1[],6,0)," ")</f>
        <v xml:space="preserve"> </v>
      </c>
      <c r="D1282" s="30" t="str">
        <f>IFERROR(VLOOKUP(A1282,Tabla1[],8,0)," ")</f>
        <v xml:space="preserve"> </v>
      </c>
      <c r="E1282" s="31"/>
      <c r="F1282" s="30" t="str">
        <f t="shared" si="20"/>
        <v xml:space="preserve"> </v>
      </c>
    </row>
    <row r="1283" spans="1:6" ht="22.7" customHeight="1">
      <c r="A1283" s="28"/>
      <c r="B1283" s="29" t="str">
        <f>IFERROR(VLOOKUP(A1283,Tabla1[],2,0)," ")</f>
        <v xml:space="preserve"> </v>
      </c>
      <c r="C1283" s="29" t="str">
        <f>IFERROR(VLOOKUP(A1283,Tabla1[],6,0)," ")</f>
        <v xml:space="preserve"> </v>
      </c>
      <c r="D1283" s="30" t="str">
        <f>IFERROR(VLOOKUP(A1283,Tabla1[],8,0)," ")</f>
        <v xml:space="preserve"> </v>
      </c>
      <c r="E1283" s="31"/>
      <c r="F1283" s="30" t="str">
        <f t="shared" si="20"/>
        <v xml:space="preserve"> </v>
      </c>
    </row>
    <row r="1284" spans="1:6" ht="22.7" customHeight="1">
      <c r="A1284" s="28"/>
      <c r="B1284" s="29" t="str">
        <f>IFERROR(VLOOKUP(A1284,Tabla1[],2,0)," ")</f>
        <v xml:space="preserve"> </v>
      </c>
      <c r="C1284" s="29" t="str">
        <f>IFERROR(VLOOKUP(A1284,Tabla1[],6,0)," ")</f>
        <v xml:space="preserve"> </v>
      </c>
      <c r="D1284" s="30" t="str">
        <f>IFERROR(VLOOKUP(A1284,Tabla1[],8,0)," ")</f>
        <v xml:space="preserve"> </v>
      </c>
      <c r="E1284" s="31"/>
      <c r="F1284" s="30" t="str">
        <f t="shared" ref="F1284:F1347" si="21">IFERROR((E1284*D1284), " ")</f>
        <v xml:space="preserve"> </v>
      </c>
    </row>
    <row r="1285" spans="1:6" ht="22.7" customHeight="1">
      <c r="A1285" s="28"/>
      <c r="B1285" s="29" t="str">
        <f>IFERROR(VLOOKUP(A1285,Tabla1[],2,0)," ")</f>
        <v xml:space="preserve"> </v>
      </c>
      <c r="C1285" s="29" t="str">
        <f>IFERROR(VLOOKUP(A1285,Tabla1[],6,0)," ")</f>
        <v xml:space="preserve"> </v>
      </c>
      <c r="D1285" s="30" t="str">
        <f>IFERROR(VLOOKUP(A1285,Tabla1[],8,0)," ")</f>
        <v xml:space="preserve"> </v>
      </c>
      <c r="E1285" s="31"/>
      <c r="F1285" s="30" t="str">
        <f t="shared" si="21"/>
        <v xml:space="preserve"> </v>
      </c>
    </row>
    <row r="1286" spans="1:6" ht="22.7" customHeight="1">
      <c r="A1286" s="28"/>
      <c r="B1286" s="29" t="str">
        <f>IFERROR(VLOOKUP(A1286,Tabla1[],2,0)," ")</f>
        <v xml:space="preserve"> </v>
      </c>
      <c r="C1286" s="29" t="str">
        <f>IFERROR(VLOOKUP(A1286,Tabla1[],6,0)," ")</f>
        <v xml:space="preserve"> </v>
      </c>
      <c r="D1286" s="30" t="str">
        <f>IFERROR(VLOOKUP(A1286,Tabla1[],8,0)," ")</f>
        <v xml:space="preserve"> </v>
      </c>
      <c r="E1286" s="31"/>
      <c r="F1286" s="30" t="str">
        <f t="shared" si="21"/>
        <v xml:space="preserve"> </v>
      </c>
    </row>
    <row r="1287" spans="1:6" ht="22.7" customHeight="1">
      <c r="A1287" s="28"/>
      <c r="B1287" s="29" t="str">
        <f>IFERROR(VLOOKUP(A1287,Tabla1[],2,0)," ")</f>
        <v xml:space="preserve"> </v>
      </c>
      <c r="C1287" s="29" t="str">
        <f>IFERROR(VLOOKUP(A1287,Tabla1[],6,0)," ")</f>
        <v xml:space="preserve"> </v>
      </c>
      <c r="D1287" s="30" t="str">
        <f>IFERROR(VLOOKUP(A1287,Tabla1[],8,0)," ")</f>
        <v xml:space="preserve"> </v>
      </c>
      <c r="E1287" s="31"/>
      <c r="F1287" s="30" t="str">
        <f t="shared" si="21"/>
        <v xml:space="preserve"> </v>
      </c>
    </row>
    <row r="1288" spans="1:6" ht="22.7" customHeight="1">
      <c r="A1288" s="28"/>
      <c r="B1288" s="29" t="str">
        <f>IFERROR(VLOOKUP(A1288,Tabla1[],2,0)," ")</f>
        <v xml:space="preserve"> </v>
      </c>
      <c r="C1288" s="29" t="str">
        <f>IFERROR(VLOOKUP(A1288,Tabla1[],6,0)," ")</f>
        <v xml:space="preserve"> </v>
      </c>
      <c r="D1288" s="30" t="str">
        <f>IFERROR(VLOOKUP(A1288,Tabla1[],8,0)," ")</f>
        <v xml:space="preserve"> </v>
      </c>
      <c r="E1288" s="31"/>
      <c r="F1288" s="30" t="str">
        <f t="shared" si="21"/>
        <v xml:space="preserve"> </v>
      </c>
    </row>
    <row r="1289" spans="1:6" ht="22.7" customHeight="1">
      <c r="A1289" s="28"/>
      <c r="B1289" s="29" t="str">
        <f>IFERROR(VLOOKUP(A1289,Tabla1[],2,0)," ")</f>
        <v xml:space="preserve"> </v>
      </c>
      <c r="C1289" s="29" t="str">
        <f>IFERROR(VLOOKUP(A1289,Tabla1[],6,0)," ")</f>
        <v xml:space="preserve"> </v>
      </c>
      <c r="D1289" s="30" t="str">
        <f>IFERROR(VLOOKUP(A1289,Tabla1[],8,0)," ")</f>
        <v xml:space="preserve"> </v>
      </c>
      <c r="E1289" s="31"/>
      <c r="F1289" s="30" t="str">
        <f t="shared" si="21"/>
        <v xml:space="preserve"> </v>
      </c>
    </row>
    <row r="1290" spans="1:6" ht="22.7" customHeight="1">
      <c r="A1290" s="28"/>
      <c r="B1290" s="29" t="str">
        <f>IFERROR(VLOOKUP(A1290,Tabla1[],2,0)," ")</f>
        <v xml:space="preserve"> </v>
      </c>
      <c r="C1290" s="29" t="str">
        <f>IFERROR(VLOOKUP(A1290,Tabla1[],6,0)," ")</f>
        <v xml:space="preserve"> </v>
      </c>
      <c r="D1290" s="30" t="str">
        <f>IFERROR(VLOOKUP(A1290,Tabla1[],8,0)," ")</f>
        <v xml:space="preserve"> </v>
      </c>
      <c r="E1290" s="31"/>
      <c r="F1290" s="30" t="str">
        <f t="shared" si="21"/>
        <v xml:space="preserve"> </v>
      </c>
    </row>
    <row r="1291" spans="1:6" ht="22.7" customHeight="1">
      <c r="A1291" s="28"/>
      <c r="B1291" s="29" t="str">
        <f>IFERROR(VLOOKUP(A1291,Tabla1[],2,0)," ")</f>
        <v xml:space="preserve"> </v>
      </c>
      <c r="C1291" s="29" t="str">
        <f>IFERROR(VLOOKUP(A1291,Tabla1[],6,0)," ")</f>
        <v xml:space="preserve"> </v>
      </c>
      <c r="D1291" s="30" t="str">
        <f>IFERROR(VLOOKUP(A1291,Tabla1[],8,0)," ")</f>
        <v xml:space="preserve"> </v>
      </c>
      <c r="E1291" s="31"/>
      <c r="F1291" s="30" t="str">
        <f t="shared" si="21"/>
        <v xml:space="preserve"> </v>
      </c>
    </row>
    <row r="1292" spans="1:6" ht="22.7" customHeight="1">
      <c r="A1292" s="28"/>
      <c r="B1292" s="29" t="str">
        <f>IFERROR(VLOOKUP(A1292,Tabla1[],2,0)," ")</f>
        <v xml:space="preserve"> </v>
      </c>
      <c r="C1292" s="29" t="str">
        <f>IFERROR(VLOOKUP(A1292,Tabla1[],6,0)," ")</f>
        <v xml:space="preserve"> </v>
      </c>
      <c r="D1292" s="30" t="str">
        <f>IFERROR(VLOOKUP(A1292,Tabla1[],8,0)," ")</f>
        <v xml:space="preserve"> </v>
      </c>
      <c r="E1292" s="31"/>
      <c r="F1292" s="30" t="str">
        <f t="shared" si="21"/>
        <v xml:space="preserve"> </v>
      </c>
    </row>
    <row r="1293" spans="1:6" ht="22.7" customHeight="1">
      <c r="A1293" s="28"/>
      <c r="B1293" s="29" t="str">
        <f>IFERROR(VLOOKUP(A1293,Tabla1[],2,0)," ")</f>
        <v xml:space="preserve"> </v>
      </c>
      <c r="C1293" s="29" t="str">
        <f>IFERROR(VLOOKUP(A1293,Tabla1[],6,0)," ")</f>
        <v xml:space="preserve"> </v>
      </c>
      <c r="D1293" s="30" t="str">
        <f>IFERROR(VLOOKUP(A1293,Tabla1[],8,0)," ")</f>
        <v xml:space="preserve"> </v>
      </c>
      <c r="E1293" s="31"/>
      <c r="F1293" s="30" t="str">
        <f t="shared" si="21"/>
        <v xml:space="preserve"> </v>
      </c>
    </row>
    <row r="1294" spans="1:6" ht="22.7" customHeight="1">
      <c r="A1294" s="28"/>
      <c r="B1294" s="29" t="str">
        <f>IFERROR(VLOOKUP(A1294,Tabla1[],2,0)," ")</f>
        <v xml:space="preserve"> </v>
      </c>
      <c r="C1294" s="29" t="str">
        <f>IFERROR(VLOOKUP(A1294,Tabla1[],6,0)," ")</f>
        <v xml:space="preserve"> </v>
      </c>
      <c r="D1294" s="30" t="str">
        <f>IFERROR(VLOOKUP(A1294,Tabla1[],8,0)," ")</f>
        <v xml:space="preserve"> </v>
      </c>
      <c r="E1294" s="31"/>
      <c r="F1294" s="30" t="str">
        <f t="shared" si="21"/>
        <v xml:space="preserve"> </v>
      </c>
    </row>
    <row r="1295" spans="1:6" ht="22.7" customHeight="1">
      <c r="A1295" s="28"/>
      <c r="B1295" s="29" t="str">
        <f>IFERROR(VLOOKUP(A1295,Tabla1[],2,0)," ")</f>
        <v xml:space="preserve"> </v>
      </c>
      <c r="C1295" s="29" t="str">
        <f>IFERROR(VLOOKUP(A1295,Tabla1[],6,0)," ")</f>
        <v xml:space="preserve"> </v>
      </c>
      <c r="D1295" s="30" t="str">
        <f>IFERROR(VLOOKUP(A1295,Tabla1[],8,0)," ")</f>
        <v xml:space="preserve"> </v>
      </c>
      <c r="E1295" s="31"/>
      <c r="F1295" s="30" t="str">
        <f t="shared" si="21"/>
        <v xml:space="preserve"> </v>
      </c>
    </row>
    <row r="1296" spans="1:6" ht="22.7" customHeight="1">
      <c r="A1296" s="28"/>
      <c r="B1296" s="29" t="str">
        <f>IFERROR(VLOOKUP(A1296,Tabla1[],2,0)," ")</f>
        <v xml:space="preserve"> </v>
      </c>
      <c r="C1296" s="29" t="str">
        <f>IFERROR(VLOOKUP(A1296,Tabla1[],6,0)," ")</f>
        <v xml:space="preserve"> </v>
      </c>
      <c r="D1296" s="30" t="str">
        <f>IFERROR(VLOOKUP(A1296,Tabla1[],8,0)," ")</f>
        <v xml:space="preserve"> </v>
      </c>
      <c r="E1296" s="31"/>
      <c r="F1296" s="30" t="str">
        <f t="shared" si="21"/>
        <v xml:space="preserve"> </v>
      </c>
    </row>
    <row r="1297" spans="1:6" ht="22.7" customHeight="1">
      <c r="A1297" s="28"/>
      <c r="B1297" s="29" t="str">
        <f>IFERROR(VLOOKUP(A1297,Tabla1[],2,0)," ")</f>
        <v xml:space="preserve"> </v>
      </c>
      <c r="C1297" s="29" t="str">
        <f>IFERROR(VLOOKUP(A1297,Tabla1[],6,0)," ")</f>
        <v xml:space="preserve"> </v>
      </c>
      <c r="D1297" s="30" t="str">
        <f>IFERROR(VLOOKUP(A1297,Tabla1[],8,0)," ")</f>
        <v xml:space="preserve"> </v>
      </c>
      <c r="E1297" s="31"/>
      <c r="F1297" s="30" t="str">
        <f t="shared" si="21"/>
        <v xml:space="preserve"> </v>
      </c>
    </row>
    <row r="1298" spans="1:6" ht="22.7" customHeight="1">
      <c r="A1298" s="28"/>
      <c r="B1298" s="29" t="str">
        <f>IFERROR(VLOOKUP(A1298,Tabla1[],2,0)," ")</f>
        <v xml:space="preserve"> </v>
      </c>
      <c r="C1298" s="29" t="str">
        <f>IFERROR(VLOOKUP(A1298,Tabla1[],6,0)," ")</f>
        <v xml:space="preserve"> </v>
      </c>
      <c r="D1298" s="30" t="str">
        <f>IFERROR(VLOOKUP(A1298,Tabla1[],8,0)," ")</f>
        <v xml:space="preserve"> </v>
      </c>
      <c r="E1298" s="31"/>
      <c r="F1298" s="30" t="str">
        <f t="shared" si="21"/>
        <v xml:space="preserve"> </v>
      </c>
    </row>
    <row r="1299" spans="1:6" ht="22.7" customHeight="1">
      <c r="A1299" s="28"/>
      <c r="B1299" s="29" t="str">
        <f>IFERROR(VLOOKUP(A1299,Tabla1[],2,0)," ")</f>
        <v xml:space="preserve"> </v>
      </c>
      <c r="C1299" s="29" t="str">
        <f>IFERROR(VLOOKUP(A1299,Tabla1[],6,0)," ")</f>
        <v xml:space="preserve"> </v>
      </c>
      <c r="D1299" s="30" t="str">
        <f>IFERROR(VLOOKUP(A1299,Tabla1[],8,0)," ")</f>
        <v xml:space="preserve"> </v>
      </c>
      <c r="E1299" s="31"/>
      <c r="F1299" s="30" t="str">
        <f t="shared" si="21"/>
        <v xml:space="preserve"> </v>
      </c>
    </row>
    <row r="1300" spans="1:6" ht="22.7" customHeight="1">
      <c r="A1300" s="28"/>
      <c r="B1300" s="29" t="str">
        <f>IFERROR(VLOOKUP(A1300,Tabla1[],2,0)," ")</f>
        <v xml:space="preserve"> </v>
      </c>
      <c r="C1300" s="29" t="str">
        <f>IFERROR(VLOOKUP(A1300,Tabla1[],6,0)," ")</f>
        <v xml:space="preserve"> </v>
      </c>
      <c r="D1300" s="30" t="str">
        <f>IFERROR(VLOOKUP(A1300,Tabla1[],8,0)," ")</f>
        <v xml:space="preserve"> </v>
      </c>
      <c r="E1300" s="31"/>
      <c r="F1300" s="30" t="str">
        <f t="shared" si="21"/>
        <v xml:space="preserve"> </v>
      </c>
    </row>
    <row r="1301" spans="1:6" ht="22.7" customHeight="1">
      <c r="A1301" s="28"/>
      <c r="B1301" s="29" t="str">
        <f>IFERROR(VLOOKUP(A1301,Tabla1[],2,0)," ")</f>
        <v xml:space="preserve"> </v>
      </c>
      <c r="C1301" s="29" t="str">
        <f>IFERROR(VLOOKUP(A1301,Tabla1[],6,0)," ")</f>
        <v xml:space="preserve"> </v>
      </c>
      <c r="D1301" s="30" t="str">
        <f>IFERROR(VLOOKUP(A1301,Tabla1[],8,0)," ")</f>
        <v xml:space="preserve"> </v>
      </c>
      <c r="E1301" s="31"/>
      <c r="F1301" s="30" t="str">
        <f t="shared" si="21"/>
        <v xml:space="preserve"> </v>
      </c>
    </row>
    <row r="1302" spans="1:6" ht="22.7" customHeight="1">
      <c r="A1302" s="28"/>
      <c r="B1302" s="29" t="str">
        <f>IFERROR(VLOOKUP(A1302,Tabla1[],2,0)," ")</f>
        <v xml:space="preserve"> </v>
      </c>
      <c r="C1302" s="29" t="str">
        <f>IFERROR(VLOOKUP(A1302,Tabla1[],6,0)," ")</f>
        <v xml:space="preserve"> </v>
      </c>
      <c r="D1302" s="30" t="str">
        <f>IFERROR(VLOOKUP(A1302,Tabla1[],8,0)," ")</f>
        <v xml:space="preserve"> </v>
      </c>
      <c r="E1302" s="31"/>
      <c r="F1302" s="30" t="str">
        <f t="shared" si="21"/>
        <v xml:space="preserve"> </v>
      </c>
    </row>
    <row r="1303" spans="1:6" ht="22.7" customHeight="1">
      <c r="A1303" s="28"/>
      <c r="B1303" s="29" t="str">
        <f>IFERROR(VLOOKUP(A1303,Tabla1[],2,0)," ")</f>
        <v xml:space="preserve"> </v>
      </c>
      <c r="C1303" s="29" t="str">
        <f>IFERROR(VLOOKUP(A1303,Tabla1[],6,0)," ")</f>
        <v xml:space="preserve"> </v>
      </c>
      <c r="D1303" s="30" t="str">
        <f>IFERROR(VLOOKUP(A1303,Tabla1[],8,0)," ")</f>
        <v xml:space="preserve"> </v>
      </c>
      <c r="E1303" s="31"/>
      <c r="F1303" s="30" t="str">
        <f t="shared" si="21"/>
        <v xml:space="preserve"> </v>
      </c>
    </row>
    <row r="1304" spans="1:6" ht="22.7" customHeight="1">
      <c r="A1304" s="28"/>
      <c r="B1304" s="29" t="str">
        <f>IFERROR(VLOOKUP(A1304,Tabla1[],2,0)," ")</f>
        <v xml:space="preserve"> </v>
      </c>
      <c r="C1304" s="29" t="str">
        <f>IFERROR(VLOOKUP(A1304,Tabla1[],6,0)," ")</f>
        <v xml:space="preserve"> </v>
      </c>
      <c r="D1304" s="30" t="str">
        <f>IFERROR(VLOOKUP(A1304,Tabla1[],8,0)," ")</f>
        <v xml:space="preserve"> </v>
      </c>
      <c r="E1304" s="31"/>
      <c r="F1304" s="30" t="str">
        <f t="shared" si="21"/>
        <v xml:space="preserve"> </v>
      </c>
    </row>
    <row r="1305" spans="1:6" ht="22.7" customHeight="1">
      <c r="A1305" s="28"/>
      <c r="B1305" s="29" t="str">
        <f>IFERROR(VLOOKUP(A1305,Tabla1[],2,0)," ")</f>
        <v xml:space="preserve"> </v>
      </c>
      <c r="C1305" s="29" t="str">
        <f>IFERROR(VLOOKUP(A1305,Tabla1[],6,0)," ")</f>
        <v xml:space="preserve"> </v>
      </c>
      <c r="D1305" s="30" t="str">
        <f>IFERROR(VLOOKUP(A1305,Tabla1[],8,0)," ")</f>
        <v xml:space="preserve"> </v>
      </c>
      <c r="E1305" s="31"/>
      <c r="F1305" s="30" t="str">
        <f t="shared" si="21"/>
        <v xml:space="preserve"> </v>
      </c>
    </row>
    <row r="1306" spans="1:6" ht="22.7" customHeight="1">
      <c r="A1306" s="28"/>
      <c r="B1306" s="29" t="str">
        <f>IFERROR(VLOOKUP(A1306,Tabla1[],2,0)," ")</f>
        <v xml:space="preserve"> </v>
      </c>
      <c r="C1306" s="29" t="str">
        <f>IFERROR(VLOOKUP(A1306,Tabla1[],6,0)," ")</f>
        <v xml:space="preserve"> </v>
      </c>
      <c r="D1306" s="30" t="str">
        <f>IFERROR(VLOOKUP(A1306,Tabla1[],8,0)," ")</f>
        <v xml:space="preserve"> </v>
      </c>
      <c r="E1306" s="31"/>
      <c r="F1306" s="30" t="str">
        <f t="shared" si="21"/>
        <v xml:space="preserve"> </v>
      </c>
    </row>
    <row r="1307" spans="1:6" ht="22.7" customHeight="1">
      <c r="A1307" s="28"/>
      <c r="B1307" s="29" t="str">
        <f>IFERROR(VLOOKUP(A1307,Tabla1[],2,0)," ")</f>
        <v xml:space="preserve"> </v>
      </c>
      <c r="C1307" s="29" t="str">
        <f>IFERROR(VLOOKUP(A1307,Tabla1[],6,0)," ")</f>
        <v xml:space="preserve"> </v>
      </c>
      <c r="D1307" s="30" t="str">
        <f>IFERROR(VLOOKUP(A1307,Tabla1[],8,0)," ")</f>
        <v xml:space="preserve"> </v>
      </c>
      <c r="E1307" s="31"/>
      <c r="F1307" s="30" t="str">
        <f t="shared" si="21"/>
        <v xml:space="preserve"> </v>
      </c>
    </row>
    <row r="1308" spans="1:6" ht="22.7" customHeight="1">
      <c r="A1308" s="28"/>
      <c r="B1308" s="29" t="str">
        <f>IFERROR(VLOOKUP(A1308,Tabla1[],2,0)," ")</f>
        <v xml:space="preserve"> </v>
      </c>
      <c r="C1308" s="29" t="str">
        <f>IFERROR(VLOOKUP(A1308,Tabla1[],6,0)," ")</f>
        <v xml:space="preserve"> </v>
      </c>
      <c r="D1308" s="30" t="str">
        <f>IFERROR(VLOOKUP(A1308,Tabla1[],8,0)," ")</f>
        <v xml:space="preserve"> </v>
      </c>
      <c r="E1308" s="31"/>
      <c r="F1308" s="30" t="str">
        <f t="shared" si="21"/>
        <v xml:space="preserve"> </v>
      </c>
    </row>
    <row r="1309" spans="1:6" ht="22.7" customHeight="1">
      <c r="A1309" s="28"/>
      <c r="B1309" s="29" t="str">
        <f>IFERROR(VLOOKUP(A1309,Tabla1[],2,0)," ")</f>
        <v xml:space="preserve"> </v>
      </c>
      <c r="C1309" s="29" t="str">
        <f>IFERROR(VLOOKUP(A1309,Tabla1[],6,0)," ")</f>
        <v xml:space="preserve"> </v>
      </c>
      <c r="D1309" s="30" t="str">
        <f>IFERROR(VLOOKUP(A1309,Tabla1[],8,0)," ")</f>
        <v xml:space="preserve"> </v>
      </c>
      <c r="E1309" s="31"/>
      <c r="F1309" s="30" t="str">
        <f t="shared" si="21"/>
        <v xml:space="preserve"> </v>
      </c>
    </row>
    <row r="1310" spans="1:6" ht="22.7" customHeight="1">
      <c r="A1310" s="28"/>
      <c r="B1310" s="29" t="str">
        <f>IFERROR(VLOOKUP(A1310,Tabla1[],2,0)," ")</f>
        <v xml:space="preserve"> </v>
      </c>
      <c r="C1310" s="29" t="str">
        <f>IFERROR(VLOOKUP(A1310,Tabla1[],6,0)," ")</f>
        <v xml:space="preserve"> </v>
      </c>
      <c r="D1310" s="30" t="str">
        <f>IFERROR(VLOOKUP(A1310,Tabla1[],8,0)," ")</f>
        <v xml:space="preserve"> </v>
      </c>
      <c r="E1310" s="31"/>
      <c r="F1310" s="30" t="str">
        <f t="shared" si="21"/>
        <v xml:space="preserve"> </v>
      </c>
    </row>
    <row r="1311" spans="1:6" ht="22.7" customHeight="1">
      <c r="A1311" s="28"/>
      <c r="B1311" s="29" t="str">
        <f>IFERROR(VLOOKUP(A1311,Tabla1[],2,0)," ")</f>
        <v xml:space="preserve"> </v>
      </c>
      <c r="C1311" s="29" t="str">
        <f>IFERROR(VLOOKUP(A1311,Tabla1[],6,0)," ")</f>
        <v xml:space="preserve"> </v>
      </c>
      <c r="D1311" s="30" t="str">
        <f>IFERROR(VLOOKUP(A1311,Tabla1[],8,0)," ")</f>
        <v xml:space="preserve"> </v>
      </c>
      <c r="E1311" s="31"/>
      <c r="F1311" s="30" t="str">
        <f t="shared" si="21"/>
        <v xml:space="preserve"> </v>
      </c>
    </row>
    <row r="1312" spans="1:6" ht="22.7" customHeight="1">
      <c r="A1312" s="28"/>
      <c r="B1312" s="29" t="str">
        <f>IFERROR(VLOOKUP(A1312,Tabla1[],2,0)," ")</f>
        <v xml:space="preserve"> </v>
      </c>
      <c r="C1312" s="29" t="str">
        <f>IFERROR(VLOOKUP(A1312,Tabla1[],6,0)," ")</f>
        <v xml:space="preserve"> </v>
      </c>
      <c r="D1312" s="30" t="str">
        <f>IFERROR(VLOOKUP(A1312,Tabla1[],8,0)," ")</f>
        <v xml:space="preserve"> </v>
      </c>
      <c r="E1312" s="31"/>
      <c r="F1312" s="30" t="str">
        <f t="shared" si="21"/>
        <v xml:space="preserve"> </v>
      </c>
    </row>
    <row r="1313" spans="1:6" ht="22.7" customHeight="1">
      <c r="A1313" s="28"/>
      <c r="B1313" s="29" t="str">
        <f>IFERROR(VLOOKUP(A1313,Tabla1[],2,0)," ")</f>
        <v xml:space="preserve"> </v>
      </c>
      <c r="C1313" s="29" t="str">
        <f>IFERROR(VLOOKUP(A1313,Tabla1[],6,0)," ")</f>
        <v xml:space="preserve"> </v>
      </c>
      <c r="D1313" s="30" t="str">
        <f>IFERROR(VLOOKUP(A1313,Tabla1[],8,0)," ")</f>
        <v xml:space="preserve"> </v>
      </c>
      <c r="E1313" s="31"/>
      <c r="F1313" s="30" t="str">
        <f t="shared" si="21"/>
        <v xml:space="preserve"> </v>
      </c>
    </row>
    <row r="1314" spans="1:6" ht="22.7" customHeight="1">
      <c r="A1314" s="28"/>
      <c r="B1314" s="29" t="str">
        <f>IFERROR(VLOOKUP(A1314,Tabla1[],2,0)," ")</f>
        <v xml:space="preserve"> </v>
      </c>
      <c r="C1314" s="29" t="str">
        <f>IFERROR(VLOOKUP(A1314,Tabla1[],6,0)," ")</f>
        <v xml:space="preserve"> </v>
      </c>
      <c r="D1314" s="30" t="str">
        <f>IFERROR(VLOOKUP(A1314,Tabla1[],8,0)," ")</f>
        <v xml:space="preserve"> </v>
      </c>
      <c r="E1314" s="31"/>
      <c r="F1314" s="30" t="str">
        <f t="shared" si="21"/>
        <v xml:space="preserve"> </v>
      </c>
    </row>
    <row r="1315" spans="1:6" ht="22.7" customHeight="1">
      <c r="A1315" s="28"/>
      <c r="B1315" s="29" t="str">
        <f>IFERROR(VLOOKUP(A1315,Tabla1[],2,0)," ")</f>
        <v xml:space="preserve"> </v>
      </c>
      <c r="C1315" s="29" t="str">
        <f>IFERROR(VLOOKUP(A1315,Tabla1[],6,0)," ")</f>
        <v xml:space="preserve"> </v>
      </c>
      <c r="D1315" s="30" t="str">
        <f>IFERROR(VLOOKUP(A1315,Tabla1[],8,0)," ")</f>
        <v xml:space="preserve"> </v>
      </c>
      <c r="E1315" s="31"/>
      <c r="F1315" s="30" t="str">
        <f t="shared" si="21"/>
        <v xml:space="preserve"> </v>
      </c>
    </row>
    <row r="1316" spans="1:6" ht="22.7" customHeight="1">
      <c r="A1316" s="28"/>
      <c r="B1316" s="29" t="str">
        <f>IFERROR(VLOOKUP(A1316,Tabla1[],2,0)," ")</f>
        <v xml:space="preserve"> </v>
      </c>
      <c r="C1316" s="29" t="str">
        <f>IFERROR(VLOOKUP(A1316,Tabla1[],6,0)," ")</f>
        <v xml:space="preserve"> </v>
      </c>
      <c r="D1316" s="30" t="str">
        <f>IFERROR(VLOOKUP(A1316,Tabla1[],8,0)," ")</f>
        <v xml:space="preserve"> </v>
      </c>
      <c r="E1316" s="31"/>
      <c r="F1316" s="30" t="str">
        <f t="shared" si="21"/>
        <v xml:space="preserve"> </v>
      </c>
    </row>
    <row r="1317" spans="1:6" ht="22.7" customHeight="1">
      <c r="A1317" s="28"/>
      <c r="B1317" s="29" t="str">
        <f>IFERROR(VLOOKUP(A1317,Tabla1[],2,0)," ")</f>
        <v xml:space="preserve"> </v>
      </c>
      <c r="C1317" s="29" t="str">
        <f>IFERROR(VLOOKUP(A1317,Tabla1[],6,0)," ")</f>
        <v xml:space="preserve"> </v>
      </c>
      <c r="D1317" s="30" t="str">
        <f>IFERROR(VLOOKUP(A1317,Tabla1[],8,0)," ")</f>
        <v xml:space="preserve"> </v>
      </c>
      <c r="E1317" s="31"/>
      <c r="F1317" s="30" t="str">
        <f t="shared" si="21"/>
        <v xml:space="preserve"> </v>
      </c>
    </row>
    <row r="1318" spans="1:6" ht="22.7" customHeight="1">
      <c r="A1318" s="28"/>
      <c r="B1318" s="29" t="str">
        <f>IFERROR(VLOOKUP(A1318,Tabla1[],2,0)," ")</f>
        <v xml:space="preserve"> </v>
      </c>
      <c r="C1318" s="29" t="str">
        <f>IFERROR(VLOOKUP(A1318,Tabla1[],6,0)," ")</f>
        <v xml:space="preserve"> </v>
      </c>
      <c r="D1318" s="30" t="str">
        <f>IFERROR(VLOOKUP(A1318,Tabla1[],8,0)," ")</f>
        <v xml:space="preserve"> </v>
      </c>
      <c r="E1318" s="31"/>
      <c r="F1318" s="30" t="str">
        <f t="shared" si="21"/>
        <v xml:space="preserve"> </v>
      </c>
    </row>
    <row r="1319" spans="1:6" ht="22.7" customHeight="1">
      <c r="A1319" s="28"/>
      <c r="B1319" s="29" t="str">
        <f>IFERROR(VLOOKUP(A1319,Tabla1[],2,0)," ")</f>
        <v xml:space="preserve"> </v>
      </c>
      <c r="C1319" s="29" t="str">
        <f>IFERROR(VLOOKUP(A1319,Tabla1[],6,0)," ")</f>
        <v xml:space="preserve"> </v>
      </c>
      <c r="D1319" s="30" t="str">
        <f>IFERROR(VLOOKUP(A1319,Tabla1[],8,0)," ")</f>
        <v xml:space="preserve"> </v>
      </c>
      <c r="E1319" s="31"/>
      <c r="F1319" s="30" t="str">
        <f t="shared" si="21"/>
        <v xml:space="preserve"> </v>
      </c>
    </row>
    <row r="1320" spans="1:6" ht="22.7" customHeight="1">
      <c r="A1320" s="28"/>
      <c r="B1320" s="29" t="str">
        <f>IFERROR(VLOOKUP(A1320,Tabla1[],2,0)," ")</f>
        <v xml:space="preserve"> </v>
      </c>
      <c r="C1320" s="29" t="str">
        <f>IFERROR(VLOOKUP(A1320,Tabla1[],6,0)," ")</f>
        <v xml:space="preserve"> </v>
      </c>
      <c r="D1320" s="30" t="str">
        <f>IFERROR(VLOOKUP(A1320,Tabla1[],8,0)," ")</f>
        <v xml:space="preserve"> </v>
      </c>
      <c r="E1320" s="31"/>
      <c r="F1320" s="30" t="str">
        <f t="shared" si="21"/>
        <v xml:space="preserve"> </v>
      </c>
    </row>
    <row r="1321" spans="1:6" ht="22.7" customHeight="1">
      <c r="A1321" s="28"/>
      <c r="B1321" s="29" t="str">
        <f>IFERROR(VLOOKUP(A1321,Tabla1[],2,0)," ")</f>
        <v xml:space="preserve"> </v>
      </c>
      <c r="C1321" s="29" t="str">
        <f>IFERROR(VLOOKUP(A1321,Tabla1[],6,0)," ")</f>
        <v xml:space="preserve"> </v>
      </c>
      <c r="D1321" s="30" t="str">
        <f>IFERROR(VLOOKUP(A1321,Tabla1[],8,0)," ")</f>
        <v xml:space="preserve"> </v>
      </c>
      <c r="E1321" s="31"/>
      <c r="F1321" s="30" t="str">
        <f t="shared" si="21"/>
        <v xml:space="preserve"> </v>
      </c>
    </row>
    <row r="1322" spans="1:6" ht="22.7" customHeight="1">
      <c r="A1322" s="28"/>
      <c r="B1322" s="29" t="str">
        <f>IFERROR(VLOOKUP(A1322,Tabla1[],2,0)," ")</f>
        <v xml:space="preserve"> </v>
      </c>
      <c r="C1322" s="29" t="str">
        <f>IFERROR(VLOOKUP(A1322,Tabla1[],6,0)," ")</f>
        <v xml:space="preserve"> </v>
      </c>
      <c r="D1322" s="30" t="str">
        <f>IFERROR(VLOOKUP(A1322,Tabla1[],8,0)," ")</f>
        <v xml:space="preserve"> </v>
      </c>
      <c r="E1322" s="31"/>
      <c r="F1322" s="30" t="str">
        <f t="shared" si="21"/>
        <v xml:space="preserve"> </v>
      </c>
    </row>
    <row r="1323" spans="1:6" ht="22.7" customHeight="1">
      <c r="A1323" s="28"/>
      <c r="B1323" s="29" t="str">
        <f>IFERROR(VLOOKUP(A1323,Tabla1[],2,0)," ")</f>
        <v xml:space="preserve"> </v>
      </c>
      <c r="C1323" s="29" t="str">
        <f>IFERROR(VLOOKUP(A1323,Tabla1[],6,0)," ")</f>
        <v xml:space="preserve"> </v>
      </c>
      <c r="D1323" s="30" t="str">
        <f>IFERROR(VLOOKUP(A1323,Tabla1[],8,0)," ")</f>
        <v xml:space="preserve"> </v>
      </c>
      <c r="E1323" s="31"/>
      <c r="F1323" s="30" t="str">
        <f t="shared" si="21"/>
        <v xml:space="preserve"> </v>
      </c>
    </row>
    <row r="1324" spans="1:6" ht="22.7" customHeight="1">
      <c r="A1324" s="28"/>
      <c r="B1324" s="29" t="str">
        <f>IFERROR(VLOOKUP(A1324,Tabla1[],2,0)," ")</f>
        <v xml:space="preserve"> </v>
      </c>
      <c r="C1324" s="29" t="str">
        <f>IFERROR(VLOOKUP(A1324,Tabla1[],6,0)," ")</f>
        <v xml:space="preserve"> </v>
      </c>
      <c r="D1324" s="30" t="str">
        <f>IFERROR(VLOOKUP(A1324,Tabla1[],8,0)," ")</f>
        <v xml:space="preserve"> </v>
      </c>
      <c r="E1324" s="31"/>
      <c r="F1324" s="30" t="str">
        <f t="shared" si="21"/>
        <v xml:space="preserve"> </v>
      </c>
    </row>
    <row r="1325" spans="1:6" ht="22.7" customHeight="1">
      <c r="A1325" s="28"/>
      <c r="B1325" s="29" t="str">
        <f>IFERROR(VLOOKUP(A1325,Tabla1[],2,0)," ")</f>
        <v xml:space="preserve"> </v>
      </c>
      <c r="C1325" s="29" t="str">
        <f>IFERROR(VLOOKUP(A1325,Tabla1[],6,0)," ")</f>
        <v xml:space="preserve"> </v>
      </c>
      <c r="D1325" s="30" t="str">
        <f>IFERROR(VLOOKUP(A1325,Tabla1[],8,0)," ")</f>
        <v xml:space="preserve"> </v>
      </c>
      <c r="E1325" s="31"/>
      <c r="F1325" s="30" t="str">
        <f t="shared" si="21"/>
        <v xml:space="preserve"> </v>
      </c>
    </row>
    <row r="1326" spans="1:6" ht="22.7" customHeight="1">
      <c r="A1326" s="28"/>
      <c r="B1326" s="29" t="str">
        <f>IFERROR(VLOOKUP(A1326,Tabla1[],2,0)," ")</f>
        <v xml:space="preserve"> </v>
      </c>
      <c r="C1326" s="29" t="str">
        <f>IFERROR(VLOOKUP(A1326,Tabla1[],6,0)," ")</f>
        <v xml:space="preserve"> </v>
      </c>
      <c r="D1326" s="30" t="str">
        <f>IFERROR(VLOOKUP(A1326,Tabla1[],8,0)," ")</f>
        <v xml:space="preserve"> </v>
      </c>
      <c r="E1326" s="31"/>
      <c r="F1326" s="30" t="str">
        <f t="shared" si="21"/>
        <v xml:space="preserve"> </v>
      </c>
    </row>
    <row r="1327" spans="1:6" ht="22.7" customHeight="1">
      <c r="A1327" s="28"/>
      <c r="B1327" s="29" t="str">
        <f>IFERROR(VLOOKUP(A1327,Tabla1[],2,0)," ")</f>
        <v xml:space="preserve"> </v>
      </c>
      <c r="C1327" s="29" t="str">
        <f>IFERROR(VLOOKUP(A1327,Tabla1[],6,0)," ")</f>
        <v xml:space="preserve"> </v>
      </c>
      <c r="D1327" s="30" t="str">
        <f>IFERROR(VLOOKUP(A1327,Tabla1[],8,0)," ")</f>
        <v xml:space="preserve"> </v>
      </c>
      <c r="E1327" s="31"/>
      <c r="F1327" s="30" t="str">
        <f t="shared" si="21"/>
        <v xml:space="preserve"> </v>
      </c>
    </row>
    <row r="1328" spans="1:6" ht="22.7" customHeight="1">
      <c r="A1328" s="28"/>
      <c r="B1328" s="29" t="str">
        <f>IFERROR(VLOOKUP(A1328,Tabla1[],2,0)," ")</f>
        <v xml:space="preserve"> </v>
      </c>
      <c r="C1328" s="29" t="str">
        <f>IFERROR(VLOOKUP(A1328,Tabla1[],6,0)," ")</f>
        <v xml:space="preserve"> </v>
      </c>
      <c r="D1328" s="30" t="str">
        <f>IFERROR(VLOOKUP(A1328,Tabla1[],8,0)," ")</f>
        <v xml:space="preserve"> </v>
      </c>
      <c r="E1328" s="31"/>
      <c r="F1328" s="30" t="str">
        <f t="shared" si="21"/>
        <v xml:space="preserve"> </v>
      </c>
    </row>
    <row r="1329" spans="1:6" ht="22.7" customHeight="1">
      <c r="A1329" s="28"/>
      <c r="B1329" s="29" t="str">
        <f>IFERROR(VLOOKUP(A1329,Tabla1[],2,0)," ")</f>
        <v xml:space="preserve"> </v>
      </c>
      <c r="C1329" s="29" t="str">
        <f>IFERROR(VLOOKUP(A1329,Tabla1[],6,0)," ")</f>
        <v xml:space="preserve"> </v>
      </c>
      <c r="D1329" s="30" t="str">
        <f>IFERROR(VLOOKUP(A1329,Tabla1[],8,0)," ")</f>
        <v xml:space="preserve"> </v>
      </c>
      <c r="E1329" s="31"/>
      <c r="F1329" s="30" t="str">
        <f t="shared" si="21"/>
        <v xml:space="preserve"> </v>
      </c>
    </row>
    <row r="1330" spans="1:6" ht="22.7" customHeight="1">
      <c r="A1330" s="28"/>
      <c r="B1330" s="29" t="str">
        <f>IFERROR(VLOOKUP(A1330,Tabla1[],2,0)," ")</f>
        <v xml:space="preserve"> </v>
      </c>
      <c r="C1330" s="29" t="str">
        <f>IFERROR(VLOOKUP(A1330,Tabla1[],6,0)," ")</f>
        <v xml:space="preserve"> </v>
      </c>
      <c r="D1330" s="30" t="str">
        <f>IFERROR(VLOOKUP(A1330,Tabla1[],8,0)," ")</f>
        <v xml:space="preserve"> </v>
      </c>
      <c r="E1330" s="31"/>
      <c r="F1330" s="30" t="str">
        <f t="shared" si="21"/>
        <v xml:space="preserve"> </v>
      </c>
    </row>
    <row r="1331" spans="1:6" ht="22.7" customHeight="1">
      <c r="A1331" s="28"/>
      <c r="B1331" s="29" t="str">
        <f>IFERROR(VLOOKUP(A1331,Tabla1[],2,0)," ")</f>
        <v xml:space="preserve"> </v>
      </c>
      <c r="C1331" s="29" t="str">
        <f>IFERROR(VLOOKUP(A1331,Tabla1[],6,0)," ")</f>
        <v xml:space="preserve"> </v>
      </c>
      <c r="D1331" s="30" t="str">
        <f>IFERROR(VLOOKUP(A1331,Tabla1[],8,0)," ")</f>
        <v xml:space="preserve"> </v>
      </c>
      <c r="E1331" s="31"/>
      <c r="F1331" s="30" t="str">
        <f t="shared" si="21"/>
        <v xml:space="preserve"> </v>
      </c>
    </row>
    <row r="1332" spans="1:6" ht="22.7" customHeight="1">
      <c r="A1332" s="28"/>
      <c r="B1332" s="29" t="str">
        <f>IFERROR(VLOOKUP(A1332,Tabla1[],2,0)," ")</f>
        <v xml:space="preserve"> </v>
      </c>
      <c r="C1332" s="29" t="str">
        <f>IFERROR(VLOOKUP(A1332,Tabla1[],6,0)," ")</f>
        <v xml:space="preserve"> </v>
      </c>
      <c r="D1332" s="30" t="str">
        <f>IFERROR(VLOOKUP(A1332,Tabla1[],8,0)," ")</f>
        <v xml:space="preserve"> </v>
      </c>
      <c r="E1332" s="31"/>
      <c r="F1332" s="30" t="str">
        <f t="shared" si="21"/>
        <v xml:space="preserve"> </v>
      </c>
    </row>
    <row r="1333" spans="1:6" ht="22.7" customHeight="1">
      <c r="A1333" s="28"/>
      <c r="B1333" s="29" t="str">
        <f>IFERROR(VLOOKUP(A1333,Tabla1[],2,0)," ")</f>
        <v xml:space="preserve"> </v>
      </c>
      <c r="C1333" s="29" t="str">
        <f>IFERROR(VLOOKUP(A1333,Tabla1[],6,0)," ")</f>
        <v xml:space="preserve"> </v>
      </c>
      <c r="D1333" s="30" t="str">
        <f>IFERROR(VLOOKUP(A1333,Tabla1[],8,0)," ")</f>
        <v xml:space="preserve"> </v>
      </c>
      <c r="E1333" s="31"/>
      <c r="F1333" s="30" t="str">
        <f t="shared" si="21"/>
        <v xml:space="preserve"> </v>
      </c>
    </row>
    <row r="1334" spans="1:6" ht="22.7" customHeight="1">
      <c r="A1334" s="28"/>
      <c r="B1334" s="29" t="str">
        <f>IFERROR(VLOOKUP(A1334,Tabla1[],2,0)," ")</f>
        <v xml:space="preserve"> </v>
      </c>
      <c r="C1334" s="29" t="str">
        <f>IFERROR(VLOOKUP(A1334,Tabla1[],6,0)," ")</f>
        <v xml:space="preserve"> </v>
      </c>
      <c r="D1334" s="30" t="str">
        <f>IFERROR(VLOOKUP(A1334,Tabla1[],8,0)," ")</f>
        <v xml:space="preserve"> </v>
      </c>
      <c r="E1334" s="31"/>
      <c r="F1334" s="30" t="str">
        <f t="shared" si="21"/>
        <v xml:space="preserve"> </v>
      </c>
    </row>
    <row r="1335" spans="1:6" ht="22.7" customHeight="1">
      <c r="A1335" s="28"/>
      <c r="B1335" s="29" t="str">
        <f>IFERROR(VLOOKUP(A1335,Tabla1[],2,0)," ")</f>
        <v xml:space="preserve"> </v>
      </c>
      <c r="C1335" s="29" t="str">
        <f>IFERROR(VLOOKUP(A1335,Tabla1[],6,0)," ")</f>
        <v xml:space="preserve"> </v>
      </c>
      <c r="D1335" s="30" t="str">
        <f>IFERROR(VLOOKUP(A1335,Tabla1[],8,0)," ")</f>
        <v xml:space="preserve"> </v>
      </c>
      <c r="E1335" s="31"/>
      <c r="F1335" s="30" t="str">
        <f t="shared" si="21"/>
        <v xml:space="preserve"> </v>
      </c>
    </row>
    <row r="1336" spans="1:6" ht="22.7" customHeight="1">
      <c r="A1336" s="28"/>
      <c r="B1336" s="29" t="str">
        <f>IFERROR(VLOOKUP(A1336,Tabla1[],2,0)," ")</f>
        <v xml:space="preserve"> </v>
      </c>
      <c r="C1336" s="29" t="str">
        <f>IFERROR(VLOOKUP(A1336,Tabla1[],6,0)," ")</f>
        <v xml:space="preserve"> </v>
      </c>
      <c r="D1336" s="30" t="str">
        <f>IFERROR(VLOOKUP(A1336,Tabla1[],8,0)," ")</f>
        <v xml:space="preserve"> </v>
      </c>
      <c r="E1336" s="31"/>
      <c r="F1336" s="30" t="str">
        <f t="shared" si="21"/>
        <v xml:space="preserve"> </v>
      </c>
    </row>
    <row r="1337" spans="1:6" ht="22.7" customHeight="1">
      <c r="A1337" s="28"/>
      <c r="B1337" s="29" t="str">
        <f>IFERROR(VLOOKUP(A1337,Tabla1[],2,0)," ")</f>
        <v xml:space="preserve"> </v>
      </c>
      <c r="C1337" s="29" t="str">
        <f>IFERROR(VLOOKUP(A1337,Tabla1[],6,0)," ")</f>
        <v xml:space="preserve"> </v>
      </c>
      <c r="D1337" s="30" t="str">
        <f>IFERROR(VLOOKUP(A1337,Tabla1[],8,0)," ")</f>
        <v xml:space="preserve"> </v>
      </c>
      <c r="E1337" s="31"/>
      <c r="F1337" s="30" t="str">
        <f t="shared" si="21"/>
        <v xml:space="preserve"> </v>
      </c>
    </row>
    <row r="1338" spans="1:6" ht="22.7" customHeight="1">
      <c r="A1338" s="28"/>
      <c r="B1338" s="29" t="str">
        <f>IFERROR(VLOOKUP(A1338,Tabla1[],2,0)," ")</f>
        <v xml:space="preserve"> </v>
      </c>
      <c r="C1338" s="29" t="str">
        <f>IFERROR(VLOOKUP(A1338,Tabla1[],6,0)," ")</f>
        <v xml:space="preserve"> </v>
      </c>
      <c r="D1338" s="30" t="str">
        <f>IFERROR(VLOOKUP(A1338,Tabla1[],8,0)," ")</f>
        <v xml:space="preserve"> </v>
      </c>
      <c r="E1338" s="31"/>
      <c r="F1338" s="30" t="str">
        <f t="shared" si="21"/>
        <v xml:space="preserve"> </v>
      </c>
    </row>
    <row r="1339" spans="1:6" ht="22.7" customHeight="1">
      <c r="A1339" s="28"/>
      <c r="B1339" s="29" t="str">
        <f>IFERROR(VLOOKUP(A1339,Tabla1[],2,0)," ")</f>
        <v xml:space="preserve"> </v>
      </c>
      <c r="C1339" s="29" t="str">
        <f>IFERROR(VLOOKUP(A1339,Tabla1[],6,0)," ")</f>
        <v xml:space="preserve"> </v>
      </c>
      <c r="D1339" s="30" t="str">
        <f>IFERROR(VLOOKUP(A1339,Tabla1[],8,0)," ")</f>
        <v xml:space="preserve"> </v>
      </c>
      <c r="E1339" s="31"/>
      <c r="F1339" s="30" t="str">
        <f t="shared" si="21"/>
        <v xml:space="preserve"> </v>
      </c>
    </row>
    <row r="1340" spans="1:6" ht="22.7" customHeight="1">
      <c r="A1340" s="28"/>
      <c r="B1340" s="29" t="str">
        <f>IFERROR(VLOOKUP(A1340,Tabla1[],2,0)," ")</f>
        <v xml:space="preserve"> </v>
      </c>
      <c r="C1340" s="29" t="str">
        <f>IFERROR(VLOOKUP(A1340,Tabla1[],6,0)," ")</f>
        <v xml:space="preserve"> </v>
      </c>
      <c r="D1340" s="30" t="str">
        <f>IFERROR(VLOOKUP(A1340,Tabla1[],8,0)," ")</f>
        <v xml:space="preserve"> </v>
      </c>
      <c r="E1340" s="31"/>
      <c r="F1340" s="30" t="str">
        <f t="shared" si="21"/>
        <v xml:space="preserve"> </v>
      </c>
    </row>
    <row r="1341" spans="1:6" ht="22.7" customHeight="1">
      <c r="A1341" s="28"/>
      <c r="B1341" s="29" t="str">
        <f>IFERROR(VLOOKUP(A1341,Tabla1[],2,0)," ")</f>
        <v xml:space="preserve"> </v>
      </c>
      <c r="C1341" s="29" t="str">
        <f>IFERROR(VLOOKUP(A1341,Tabla1[],6,0)," ")</f>
        <v xml:space="preserve"> </v>
      </c>
      <c r="D1341" s="30" t="str">
        <f>IFERROR(VLOOKUP(A1341,Tabla1[],8,0)," ")</f>
        <v xml:space="preserve"> </v>
      </c>
      <c r="E1341" s="31"/>
      <c r="F1341" s="30" t="str">
        <f t="shared" si="21"/>
        <v xml:space="preserve"> </v>
      </c>
    </row>
    <row r="1342" spans="1:6" ht="22.7" customHeight="1">
      <c r="A1342" s="28"/>
      <c r="B1342" s="29" t="str">
        <f>IFERROR(VLOOKUP(A1342,Tabla1[],2,0)," ")</f>
        <v xml:space="preserve"> </v>
      </c>
      <c r="C1342" s="29" t="str">
        <f>IFERROR(VLOOKUP(A1342,Tabla1[],6,0)," ")</f>
        <v xml:space="preserve"> </v>
      </c>
      <c r="D1342" s="30" t="str">
        <f>IFERROR(VLOOKUP(A1342,Tabla1[],8,0)," ")</f>
        <v xml:space="preserve"> </v>
      </c>
      <c r="E1342" s="31"/>
      <c r="F1342" s="30" t="str">
        <f t="shared" si="21"/>
        <v xml:space="preserve"> </v>
      </c>
    </row>
    <row r="1343" spans="1:6" ht="22.7" customHeight="1">
      <c r="A1343" s="28"/>
      <c r="B1343" s="29" t="str">
        <f>IFERROR(VLOOKUP(A1343,Tabla1[],2,0)," ")</f>
        <v xml:space="preserve"> </v>
      </c>
      <c r="C1343" s="29" t="str">
        <f>IFERROR(VLOOKUP(A1343,Tabla1[],6,0)," ")</f>
        <v xml:space="preserve"> </v>
      </c>
      <c r="D1343" s="30" t="str">
        <f>IFERROR(VLOOKUP(A1343,Tabla1[],8,0)," ")</f>
        <v xml:space="preserve"> </v>
      </c>
      <c r="E1343" s="31"/>
      <c r="F1343" s="30" t="str">
        <f t="shared" si="21"/>
        <v xml:space="preserve"> </v>
      </c>
    </row>
    <row r="1344" spans="1:6" ht="22.7" customHeight="1">
      <c r="A1344" s="28"/>
      <c r="B1344" s="29" t="str">
        <f>IFERROR(VLOOKUP(A1344,Tabla1[],2,0)," ")</f>
        <v xml:space="preserve"> </v>
      </c>
      <c r="C1344" s="29" t="str">
        <f>IFERROR(VLOOKUP(A1344,Tabla1[],6,0)," ")</f>
        <v xml:space="preserve"> </v>
      </c>
      <c r="D1344" s="30" t="str">
        <f>IFERROR(VLOOKUP(A1344,Tabla1[],8,0)," ")</f>
        <v xml:space="preserve"> </v>
      </c>
      <c r="E1344" s="31"/>
      <c r="F1344" s="30" t="str">
        <f t="shared" si="21"/>
        <v xml:space="preserve"> </v>
      </c>
    </row>
    <row r="1345" spans="1:6" ht="22.7" customHeight="1">
      <c r="A1345" s="28"/>
      <c r="B1345" s="29" t="str">
        <f>IFERROR(VLOOKUP(A1345,Tabla1[],2,0)," ")</f>
        <v xml:space="preserve"> </v>
      </c>
      <c r="C1345" s="29" t="str">
        <f>IFERROR(VLOOKUP(A1345,Tabla1[],6,0)," ")</f>
        <v xml:space="preserve"> </v>
      </c>
      <c r="D1345" s="30" t="str">
        <f>IFERROR(VLOOKUP(A1345,Tabla1[],8,0)," ")</f>
        <v xml:space="preserve"> </v>
      </c>
      <c r="E1345" s="31"/>
      <c r="F1345" s="30" t="str">
        <f t="shared" si="21"/>
        <v xml:space="preserve"> </v>
      </c>
    </row>
    <row r="1346" spans="1:6" ht="22.7" customHeight="1">
      <c r="A1346" s="28"/>
      <c r="B1346" s="29" t="str">
        <f>IFERROR(VLOOKUP(A1346,Tabla1[],2,0)," ")</f>
        <v xml:space="preserve"> </v>
      </c>
      <c r="C1346" s="29" t="str">
        <f>IFERROR(VLOOKUP(A1346,Tabla1[],6,0)," ")</f>
        <v xml:space="preserve"> </v>
      </c>
      <c r="D1346" s="30" t="str">
        <f>IFERROR(VLOOKUP(A1346,Tabla1[],8,0)," ")</f>
        <v xml:space="preserve"> </v>
      </c>
      <c r="E1346" s="31"/>
      <c r="F1346" s="30" t="str">
        <f t="shared" si="21"/>
        <v xml:space="preserve"> </v>
      </c>
    </row>
    <row r="1347" spans="1:6" ht="22.7" customHeight="1">
      <c r="A1347" s="28"/>
      <c r="B1347" s="29" t="str">
        <f>IFERROR(VLOOKUP(A1347,Tabla1[],2,0)," ")</f>
        <v xml:space="preserve"> </v>
      </c>
      <c r="C1347" s="29" t="str">
        <f>IFERROR(VLOOKUP(A1347,Tabla1[],6,0)," ")</f>
        <v xml:space="preserve"> </v>
      </c>
      <c r="D1347" s="30" t="str">
        <f>IFERROR(VLOOKUP(A1347,Tabla1[],8,0)," ")</f>
        <v xml:space="preserve"> </v>
      </c>
      <c r="E1347" s="31"/>
      <c r="F1347" s="30" t="str">
        <f t="shared" si="21"/>
        <v xml:space="preserve"> </v>
      </c>
    </row>
    <row r="1348" spans="1:6" ht="22.7" customHeight="1">
      <c r="A1348" s="28"/>
      <c r="B1348" s="29" t="str">
        <f>IFERROR(VLOOKUP(A1348,Tabla1[],2,0)," ")</f>
        <v xml:space="preserve"> </v>
      </c>
      <c r="C1348" s="29" t="str">
        <f>IFERROR(VLOOKUP(A1348,Tabla1[],6,0)," ")</f>
        <v xml:space="preserve"> </v>
      </c>
      <c r="D1348" s="30" t="str">
        <f>IFERROR(VLOOKUP(A1348,Tabla1[],8,0)," ")</f>
        <v xml:space="preserve"> </v>
      </c>
      <c r="E1348" s="31"/>
      <c r="F1348" s="30" t="str">
        <f t="shared" ref="F1348:F1411" si="22">IFERROR((E1348*D1348), " ")</f>
        <v xml:space="preserve"> </v>
      </c>
    </row>
    <row r="1349" spans="1:6" ht="22.7" customHeight="1">
      <c r="A1349" s="28"/>
      <c r="B1349" s="29" t="str">
        <f>IFERROR(VLOOKUP(A1349,Tabla1[],2,0)," ")</f>
        <v xml:space="preserve"> </v>
      </c>
      <c r="C1349" s="29" t="str">
        <f>IFERROR(VLOOKUP(A1349,Tabla1[],6,0)," ")</f>
        <v xml:space="preserve"> </v>
      </c>
      <c r="D1349" s="30" t="str">
        <f>IFERROR(VLOOKUP(A1349,Tabla1[],8,0)," ")</f>
        <v xml:space="preserve"> </v>
      </c>
      <c r="E1349" s="31"/>
      <c r="F1349" s="30" t="str">
        <f t="shared" si="22"/>
        <v xml:space="preserve"> </v>
      </c>
    </row>
    <row r="1350" spans="1:6" ht="22.7" customHeight="1">
      <c r="A1350" s="28"/>
      <c r="B1350" s="29" t="str">
        <f>IFERROR(VLOOKUP(A1350,Tabla1[],2,0)," ")</f>
        <v xml:space="preserve"> </v>
      </c>
      <c r="C1350" s="29" t="str">
        <f>IFERROR(VLOOKUP(A1350,Tabla1[],6,0)," ")</f>
        <v xml:space="preserve"> </v>
      </c>
      <c r="D1350" s="30" t="str">
        <f>IFERROR(VLOOKUP(A1350,Tabla1[],8,0)," ")</f>
        <v xml:space="preserve"> </v>
      </c>
      <c r="E1350" s="31"/>
      <c r="F1350" s="30" t="str">
        <f t="shared" si="22"/>
        <v xml:space="preserve"> </v>
      </c>
    </row>
    <row r="1351" spans="1:6" ht="22.7" customHeight="1">
      <c r="A1351" s="28"/>
      <c r="B1351" s="29" t="str">
        <f>IFERROR(VLOOKUP(A1351,Tabla1[],2,0)," ")</f>
        <v xml:space="preserve"> </v>
      </c>
      <c r="C1351" s="29" t="str">
        <f>IFERROR(VLOOKUP(A1351,Tabla1[],6,0)," ")</f>
        <v xml:space="preserve"> </v>
      </c>
      <c r="D1351" s="30" t="str">
        <f>IFERROR(VLOOKUP(A1351,Tabla1[],8,0)," ")</f>
        <v xml:space="preserve"> </v>
      </c>
      <c r="E1351" s="31"/>
      <c r="F1351" s="30" t="str">
        <f t="shared" si="22"/>
        <v xml:space="preserve"> </v>
      </c>
    </row>
    <row r="1352" spans="1:6" ht="22.7" customHeight="1">
      <c r="A1352" s="28"/>
      <c r="B1352" s="29" t="str">
        <f>IFERROR(VLOOKUP(A1352,Tabla1[],2,0)," ")</f>
        <v xml:space="preserve"> </v>
      </c>
      <c r="C1352" s="29" t="str">
        <f>IFERROR(VLOOKUP(A1352,Tabla1[],6,0)," ")</f>
        <v xml:space="preserve"> </v>
      </c>
      <c r="D1352" s="30" t="str">
        <f>IFERROR(VLOOKUP(A1352,Tabla1[],8,0)," ")</f>
        <v xml:space="preserve"> </v>
      </c>
      <c r="E1352" s="31"/>
      <c r="F1352" s="30" t="str">
        <f t="shared" si="22"/>
        <v xml:space="preserve"> </v>
      </c>
    </row>
    <row r="1353" spans="1:6" ht="22.7" customHeight="1">
      <c r="A1353" s="28"/>
      <c r="B1353" s="29" t="str">
        <f>IFERROR(VLOOKUP(A1353,Tabla1[],2,0)," ")</f>
        <v xml:space="preserve"> </v>
      </c>
      <c r="C1353" s="29" t="str">
        <f>IFERROR(VLOOKUP(A1353,Tabla1[],6,0)," ")</f>
        <v xml:space="preserve"> </v>
      </c>
      <c r="D1353" s="30" t="str">
        <f>IFERROR(VLOOKUP(A1353,Tabla1[],8,0)," ")</f>
        <v xml:space="preserve"> </v>
      </c>
      <c r="E1353" s="31"/>
      <c r="F1353" s="30" t="str">
        <f t="shared" si="22"/>
        <v xml:space="preserve"> </v>
      </c>
    </row>
    <row r="1354" spans="1:6" ht="22.7" customHeight="1">
      <c r="A1354" s="28"/>
      <c r="B1354" s="29" t="str">
        <f>IFERROR(VLOOKUP(A1354,Tabla1[],2,0)," ")</f>
        <v xml:space="preserve"> </v>
      </c>
      <c r="C1354" s="29" t="str">
        <f>IFERROR(VLOOKUP(A1354,Tabla1[],6,0)," ")</f>
        <v xml:space="preserve"> </v>
      </c>
      <c r="D1354" s="30" t="str">
        <f>IFERROR(VLOOKUP(A1354,Tabla1[],8,0)," ")</f>
        <v xml:space="preserve"> </v>
      </c>
      <c r="E1354" s="31"/>
      <c r="F1354" s="30" t="str">
        <f t="shared" si="22"/>
        <v xml:space="preserve"> </v>
      </c>
    </row>
    <row r="1355" spans="1:6" ht="22.7" customHeight="1">
      <c r="A1355" s="28"/>
      <c r="B1355" s="29" t="str">
        <f>IFERROR(VLOOKUP(A1355,Tabla1[],2,0)," ")</f>
        <v xml:space="preserve"> </v>
      </c>
      <c r="C1355" s="29" t="str">
        <f>IFERROR(VLOOKUP(A1355,Tabla1[],6,0)," ")</f>
        <v xml:space="preserve"> </v>
      </c>
      <c r="D1355" s="30" t="str">
        <f>IFERROR(VLOOKUP(A1355,Tabla1[],8,0)," ")</f>
        <v xml:space="preserve"> </v>
      </c>
      <c r="E1355" s="31"/>
      <c r="F1355" s="30" t="str">
        <f t="shared" si="22"/>
        <v xml:space="preserve"> </v>
      </c>
    </row>
    <row r="1356" spans="1:6" ht="22.7" customHeight="1">
      <c r="A1356" s="28"/>
      <c r="B1356" s="29" t="str">
        <f>IFERROR(VLOOKUP(A1356,Tabla1[],2,0)," ")</f>
        <v xml:space="preserve"> </v>
      </c>
      <c r="C1356" s="29" t="str">
        <f>IFERROR(VLOOKUP(A1356,Tabla1[],6,0)," ")</f>
        <v xml:space="preserve"> </v>
      </c>
      <c r="D1356" s="30" t="str">
        <f>IFERROR(VLOOKUP(A1356,Tabla1[],8,0)," ")</f>
        <v xml:space="preserve"> </v>
      </c>
      <c r="E1356" s="31"/>
      <c r="F1356" s="30" t="str">
        <f t="shared" si="22"/>
        <v xml:space="preserve"> </v>
      </c>
    </row>
    <row r="1357" spans="1:6" ht="22.7" customHeight="1">
      <c r="A1357" s="28"/>
      <c r="B1357" s="29" t="str">
        <f>IFERROR(VLOOKUP(A1357,Tabla1[],2,0)," ")</f>
        <v xml:space="preserve"> </v>
      </c>
      <c r="C1357" s="29" t="str">
        <f>IFERROR(VLOOKUP(A1357,Tabla1[],6,0)," ")</f>
        <v xml:space="preserve"> </v>
      </c>
      <c r="D1357" s="30" t="str">
        <f>IFERROR(VLOOKUP(A1357,Tabla1[],8,0)," ")</f>
        <v xml:space="preserve"> </v>
      </c>
      <c r="E1357" s="31"/>
      <c r="F1357" s="30" t="str">
        <f t="shared" si="22"/>
        <v xml:space="preserve"> </v>
      </c>
    </row>
    <row r="1358" spans="1:6" ht="22.7" customHeight="1">
      <c r="A1358" s="28"/>
      <c r="B1358" s="29" t="str">
        <f>IFERROR(VLOOKUP(A1358,Tabla1[],2,0)," ")</f>
        <v xml:space="preserve"> </v>
      </c>
      <c r="C1358" s="29" t="str">
        <f>IFERROR(VLOOKUP(A1358,Tabla1[],6,0)," ")</f>
        <v xml:space="preserve"> </v>
      </c>
      <c r="D1358" s="30" t="str">
        <f>IFERROR(VLOOKUP(A1358,Tabla1[],8,0)," ")</f>
        <v xml:space="preserve"> </v>
      </c>
      <c r="E1358" s="31"/>
      <c r="F1358" s="30" t="str">
        <f t="shared" si="22"/>
        <v xml:space="preserve"> </v>
      </c>
    </row>
    <row r="1359" spans="1:6" ht="22.7" customHeight="1">
      <c r="A1359" s="28"/>
      <c r="B1359" s="29" t="str">
        <f>IFERROR(VLOOKUP(A1359,Tabla1[],2,0)," ")</f>
        <v xml:space="preserve"> </v>
      </c>
      <c r="C1359" s="29" t="str">
        <f>IFERROR(VLOOKUP(A1359,Tabla1[],6,0)," ")</f>
        <v xml:space="preserve"> </v>
      </c>
      <c r="D1359" s="30" t="str">
        <f>IFERROR(VLOOKUP(A1359,Tabla1[],8,0)," ")</f>
        <v xml:space="preserve"> </v>
      </c>
      <c r="E1359" s="31"/>
      <c r="F1359" s="30" t="str">
        <f t="shared" si="22"/>
        <v xml:space="preserve"> </v>
      </c>
    </row>
    <row r="1360" spans="1:6" ht="22.7" customHeight="1">
      <c r="A1360" s="28"/>
      <c r="B1360" s="29" t="str">
        <f>IFERROR(VLOOKUP(A1360,Tabla1[],2,0)," ")</f>
        <v xml:space="preserve"> </v>
      </c>
      <c r="C1360" s="29" t="str">
        <f>IFERROR(VLOOKUP(A1360,Tabla1[],6,0)," ")</f>
        <v xml:space="preserve"> </v>
      </c>
      <c r="D1360" s="30" t="str">
        <f>IFERROR(VLOOKUP(A1360,Tabla1[],8,0)," ")</f>
        <v xml:space="preserve"> </v>
      </c>
      <c r="E1360" s="31"/>
      <c r="F1360" s="30" t="str">
        <f t="shared" si="22"/>
        <v xml:space="preserve"> </v>
      </c>
    </row>
    <row r="1361" spans="1:6" ht="22.7" customHeight="1">
      <c r="A1361" s="28"/>
      <c r="B1361" s="29" t="str">
        <f>IFERROR(VLOOKUP(A1361,Tabla1[],2,0)," ")</f>
        <v xml:space="preserve"> </v>
      </c>
      <c r="C1361" s="29" t="str">
        <f>IFERROR(VLOOKUP(A1361,Tabla1[],6,0)," ")</f>
        <v xml:space="preserve"> </v>
      </c>
      <c r="D1361" s="30" t="str">
        <f>IFERROR(VLOOKUP(A1361,Tabla1[],8,0)," ")</f>
        <v xml:space="preserve"> </v>
      </c>
      <c r="E1361" s="31"/>
      <c r="F1361" s="30" t="str">
        <f t="shared" si="22"/>
        <v xml:space="preserve"> </v>
      </c>
    </row>
    <row r="1362" spans="1:6" ht="22.7" customHeight="1">
      <c r="A1362" s="28"/>
      <c r="B1362" s="29" t="str">
        <f>IFERROR(VLOOKUP(A1362,Tabla1[],2,0)," ")</f>
        <v xml:space="preserve"> </v>
      </c>
      <c r="C1362" s="29" t="str">
        <f>IFERROR(VLOOKUP(A1362,Tabla1[],6,0)," ")</f>
        <v xml:space="preserve"> </v>
      </c>
      <c r="D1362" s="30" t="str">
        <f>IFERROR(VLOOKUP(A1362,Tabla1[],8,0)," ")</f>
        <v xml:space="preserve"> </v>
      </c>
      <c r="E1362" s="31"/>
      <c r="F1362" s="30" t="str">
        <f t="shared" si="22"/>
        <v xml:space="preserve"> </v>
      </c>
    </row>
    <row r="1363" spans="1:6" ht="22.7" customHeight="1">
      <c r="A1363" s="28"/>
      <c r="B1363" s="29" t="str">
        <f>IFERROR(VLOOKUP(A1363,Tabla1[],2,0)," ")</f>
        <v xml:space="preserve"> </v>
      </c>
      <c r="C1363" s="29" t="str">
        <f>IFERROR(VLOOKUP(A1363,Tabla1[],6,0)," ")</f>
        <v xml:space="preserve"> </v>
      </c>
      <c r="D1363" s="30" t="str">
        <f>IFERROR(VLOOKUP(A1363,Tabla1[],8,0)," ")</f>
        <v xml:space="preserve"> </v>
      </c>
      <c r="E1363" s="31"/>
      <c r="F1363" s="30" t="str">
        <f t="shared" si="22"/>
        <v xml:space="preserve"> </v>
      </c>
    </row>
    <row r="1364" spans="1:6" ht="22.7" customHeight="1">
      <c r="A1364" s="28"/>
      <c r="B1364" s="29" t="str">
        <f>IFERROR(VLOOKUP(A1364,Tabla1[],2,0)," ")</f>
        <v xml:space="preserve"> </v>
      </c>
      <c r="C1364" s="29" t="str">
        <f>IFERROR(VLOOKUP(A1364,Tabla1[],6,0)," ")</f>
        <v xml:space="preserve"> </v>
      </c>
      <c r="D1364" s="30" t="str">
        <f>IFERROR(VLOOKUP(A1364,Tabla1[],8,0)," ")</f>
        <v xml:space="preserve"> </v>
      </c>
      <c r="E1364" s="31"/>
      <c r="F1364" s="30" t="str">
        <f t="shared" si="22"/>
        <v xml:space="preserve"> </v>
      </c>
    </row>
    <row r="1365" spans="1:6" ht="22.7" customHeight="1">
      <c r="A1365" s="28"/>
      <c r="B1365" s="29" t="str">
        <f>IFERROR(VLOOKUP(A1365,Tabla1[],2,0)," ")</f>
        <v xml:space="preserve"> </v>
      </c>
      <c r="C1365" s="29" t="str">
        <f>IFERROR(VLOOKUP(A1365,Tabla1[],6,0)," ")</f>
        <v xml:space="preserve"> </v>
      </c>
      <c r="D1365" s="30" t="str">
        <f>IFERROR(VLOOKUP(A1365,Tabla1[],8,0)," ")</f>
        <v xml:space="preserve"> </v>
      </c>
      <c r="E1365" s="31"/>
      <c r="F1365" s="30" t="str">
        <f t="shared" si="22"/>
        <v xml:space="preserve"> </v>
      </c>
    </row>
    <row r="1366" spans="1:6" ht="22.7" customHeight="1">
      <c r="A1366" s="28"/>
      <c r="B1366" s="29" t="str">
        <f>IFERROR(VLOOKUP(A1366,Tabla1[],2,0)," ")</f>
        <v xml:space="preserve"> </v>
      </c>
      <c r="C1366" s="29" t="str">
        <f>IFERROR(VLOOKUP(A1366,Tabla1[],6,0)," ")</f>
        <v xml:space="preserve"> </v>
      </c>
      <c r="D1366" s="30" t="str">
        <f>IFERROR(VLOOKUP(A1366,Tabla1[],8,0)," ")</f>
        <v xml:space="preserve"> </v>
      </c>
      <c r="E1366" s="31"/>
      <c r="F1366" s="30" t="str">
        <f t="shared" si="22"/>
        <v xml:space="preserve"> </v>
      </c>
    </row>
    <row r="1367" spans="1:6" ht="22.7" customHeight="1">
      <c r="A1367" s="28"/>
      <c r="B1367" s="29" t="str">
        <f>IFERROR(VLOOKUP(A1367,Tabla1[],2,0)," ")</f>
        <v xml:space="preserve"> </v>
      </c>
      <c r="C1367" s="29" t="str">
        <f>IFERROR(VLOOKUP(A1367,Tabla1[],6,0)," ")</f>
        <v xml:space="preserve"> </v>
      </c>
      <c r="D1367" s="30" t="str">
        <f>IFERROR(VLOOKUP(A1367,Tabla1[],8,0)," ")</f>
        <v xml:space="preserve"> </v>
      </c>
      <c r="E1367" s="31"/>
      <c r="F1367" s="30" t="str">
        <f t="shared" si="22"/>
        <v xml:space="preserve"> </v>
      </c>
    </row>
    <row r="1368" spans="1:6" ht="22.7" customHeight="1">
      <c r="A1368" s="28"/>
      <c r="B1368" s="29" t="str">
        <f>IFERROR(VLOOKUP(A1368,Tabla1[],2,0)," ")</f>
        <v xml:space="preserve"> </v>
      </c>
      <c r="C1368" s="29" t="str">
        <f>IFERROR(VLOOKUP(A1368,Tabla1[],6,0)," ")</f>
        <v xml:space="preserve"> </v>
      </c>
      <c r="D1368" s="30" t="str">
        <f>IFERROR(VLOOKUP(A1368,Tabla1[],8,0)," ")</f>
        <v xml:space="preserve"> </v>
      </c>
      <c r="E1368" s="31"/>
      <c r="F1368" s="30" t="str">
        <f t="shared" si="22"/>
        <v xml:space="preserve"> </v>
      </c>
    </row>
    <row r="1369" spans="1:6" ht="22.7" customHeight="1">
      <c r="A1369" s="28"/>
      <c r="B1369" s="29" t="str">
        <f>IFERROR(VLOOKUP(A1369,Tabla1[],2,0)," ")</f>
        <v xml:space="preserve"> </v>
      </c>
      <c r="C1369" s="29" t="str">
        <f>IFERROR(VLOOKUP(A1369,Tabla1[],6,0)," ")</f>
        <v xml:space="preserve"> </v>
      </c>
      <c r="D1369" s="30" t="str">
        <f>IFERROR(VLOOKUP(A1369,Tabla1[],8,0)," ")</f>
        <v xml:space="preserve"> </v>
      </c>
      <c r="E1369" s="31"/>
      <c r="F1369" s="30" t="str">
        <f t="shared" si="22"/>
        <v xml:space="preserve"> </v>
      </c>
    </row>
    <row r="1370" spans="1:6" ht="22.7" customHeight="1">
      <c r="A1370" s="28"/>
      <c r="B1370" s="29" t="str">
        <f>IFERROR(VLOOKUP(A1370,Tabla1[],2,0)," ")</f>
        <v xml:space="preserve"> </v>
      </c>
      <c r="C1370" s="29" t="str">
        <f>IFERROR(VLOOKUP(A1370,Tabla1[],6,0)," ")</f>
        <v xml:space="preserve"> </v>
      </c>
      <c r="D1370" s="30" t="str">
        <f>IFERROR(VLOOKUP(A1370,Tabla1[],8,0)," ")</f>
        <v xml:space="preserve"> </v>
      </c>
      <c r="E1370" s="31"/>
      <c r="F1370" s="30" t="str">
        <f t="shared" si="22"/>
        <v xml:space="preserve"> </v>
      </c>
    </row>
    <row r="1371" spans="1:6" ht="22.7" customHeight="1">
      <c r="A1371" s="28"/>
      <c r="B1371" s="29" t="str">
        <f>IFERROR(VLOOKUP(A1371,Tabla1[],2,0)," ")</f>
        <v xml:space="preserve"> </v>
      </c>
      <c r="C1371" s="29" t="str">
        <f>IFERROR(VLOOKUP(A1371,Tabla1[],6,0)," ")</f>
        <v xml:space="preserve"> </v>
      </c>
      <c r="D1371" s="30" t="str">
        <f>IFERROR(VLOOKUP(A1371,Tabla1[],8,0)," ")</f>
        <v xml:space="preserve"> </v>
      </c>
      <c r="E1371" s="31"/>
      <c r="F1371" s="30" t="str">
        <f t="shared" si="22"/>
        <v xml:space="preserve"> </v>
      </c>
    </row>
    <row r="1372" spans="1:6" ht="22.7" customHeight="1">
      <c r="A1372" s="28"/>
      <c r="B1372" s="29" t="str">
        <f>IFERROR(VLOOKUP(A1372,Tabla1[],2,0)," ")</f>
        <v xml:space="preserve"> </v>
      </c>
      <c r="C1372" s="29" t="str">
        <f>IFERROR(VLOOKUP(A1372,Tabla1[],6,0)," ")</f>
        <v xml:space="preserve"> </v>
      </c>
      <c r="D1372" s="30" t="str">
        <f>IFERROR(VLOOKUP(A1372,Tabla1[],8,0)," ")</f>
        <v xml:space="preserve"> </v>
      </c>
      <c r="E1372" s="31"/>
      <c r="F1372" s="30" t="str">
        <f t="shared" si="22"/>
        <v xml:space="preserve"> </v>
      </c>
    </row>
    <row r="1373" spans="1:6" ht="22.7" customHeight="1">
      <c r="A1373" s="28"/>
      <c r="B1373" s="29" t="str">
        <f>IFERROR(VLOOKUP(A1373,Tabla1[],2,0)," ")</f>
        <v xml:space="preserve"> </v>
      </c>
      <c r="C1373" s="29" t="str">
        <f>IFERROR(VLOOKUP(A1373,Tabla1[],6,0)," ")</f>
        <v xml:space="preserve"> </v>
      </c>
      <c r="D1373" s="30" t="str">
        <f>IFERROR(VLOOKUP(A1373,Tabla1[],8,0)," ")</f>
        <v xml:space="preserve"> </v>
      </c>
      <c r="E1373" s="31"/>
      <c r="F1373" s="30" t="str">
        <f t="shared" si="22"/>
        <v xml:space="preserve"> </v>
      </c>
    </row>
    <row r="1374" spans="1:6" ht="22.7" customHeight="1">
      <c r="A1374" s="28"/>
      <c r="B1374" s="29" t="str">
        <f>IFERROR(VLOOKUP(A1374,Tabla1[],2,0)," ")</f>
        <v xml:space="preserve"> </v>
      </c>
      <c r="C1374" s="29" t="str">
        <f>IFERROR(VLOOKUP(A1374,Tabla1[],6,0)," ")</f>
        <v xml:space="preserve"> </v>
      </c>
      <c r="D1374" s="30" t="str">
        <f>IFERROR(VLOOKUP(A1374,Tabla1[],8,0)," ")</f>
        <v xml:space="preserve"> </v>
      </c>
      <c r="E1374" s="31"/>
      <c r="F1374" s="30" t="str">
        <f t="shared" si="22"/>
        <v xml:space="preserve"> </v>
      </c>
    </row>
    <row r="1375" spans="1:6" ht="22.7" customHeight="1">
      <c r="A1375" s="28"/>
      <c r="B1375" s="29" t="str">
        <f>IFERROR(VLOOKUP(A1375,Tabla1[],2,0)," ")</f>
        <v xml:space="preserve"> </v>
      </c>
      <c r="C1375" s="29" t="str">
        <f>IFERROR(VLOOKUP(A1375,Tabla1[],6,0)," ")</f>
        <v xml:space="preserve"> </v>
      </c>
      <c r="D1375" s="30" t="str">
        <f>IFERROR(VLOOKUP(A1375,Tabla1[],8,0)," ")</f>
        <v xml:space="preserve"> </v>
      </c>
      <c r="E1375" s="31"/>
      <c r="F1375" s="30" t="str">
        <f t="shared" si="22"/>
        <v xml:space="preserve"> </v>
      </c>
    </row>
    <row r="1376" spans="1:6" ht="22.7" customHeight="1">
      <c r="A1376" s="28"/>
      <c r="B1376" s="29" t="str">
        <f>IFERROR(VLOOKUP(A1376,Tabla1[],2,0)," ")</f>
        <v xml:space="preserve"> </v>
      </c>
      <c r="C1376" s="29" t="str">
        <f>IFERROR(VLOOKUP(A1376,Tabla1[],6,0)," ")</f>
        <v xml:space="preserve"> </v>
      </c>
      <c r="D1376" s="30" t="str">
        <f>IFERROR(VLOOKUP(A1376,Tabla1[],8,0)," ")</f>
        <v xml:space="preserve"> </v>
      </c>
      <c r="E1376" s="31"/>
      <c r="F1376" s="30" t="str">
        <f t="shared" si="22"/>
        <v xml:space="preserve"> </v>
      </c>
    </row>
    <row r="1377" spans="1:6" ht="22.7" customHeight="1">
      <c r="A1377" s="28"/>
      <c r="B1377" s="29" t="str">
        <f>IFERROR(VLOOKUP(A1377,Tabla1[],2,0)," ")</f>
        <v xml:space="preserve"> </v>
      </c>
      <c r="C1377" s="29" t="str">
        <f>IFERROR(VLOOKUP(A1377,Tabla1[],6,0)," ")</f>
        <v xml:space="preserve"> </v>
      </c>
      <c r="D1377" s="30" t="str">
        <f>IFERROR(VLOOKUP(A1377,Tabla1[],8,0)," ")</f>
        <v xml:space="preserve"> </v>
      </c>
      <c r="E1377" s="31"/>
      <c r="F1377" s="30" t="str">
        <f t="shared" si="22"/>
        <v xml:space="preserve"> </v>
      </c>
    </row>
    <row r="1378" spans="1:6" ht="22.7" customHeight="1">
      <c r="A1378" s="28"/>
      <c r="B1378" s="29" t="str">
        <f>IFERROR(VLOOKUP(A1378,Tabla1[],2,0)," ")</f>
        <v xml:space="preserve"> </v>
      </c>
      <c r="C1378" s="29" t="str">
        <f>IFERROR(VLOOKUP(A1378,Tabla1[],6,0)," ")</f>
        <v xml:space="preserve"> </v>
      </c>
      <c r="D1378" s="30" t="str">
        <f>IFERROR(VLOOKUP(A1378,Tabla1[],8,0)," ")</f>
        <v xml:space="preserve"> </v>
      </c>
      <c r="E1378" s="31"/>
      <c r="F1378" s="30" t="str">
        <f t="shared" si="22"/>
        <v xml:space="preserve"> </v>
      </c>
    </row>
    <row r="1379" spans="1:6" ht="22.7" customHeight="1">
      <c r="A1379" s="28"/>
      <c r="B1379" s="29" t="str">
        <f>IFERROR(VLOOKUP(A1379,Tabla1[],2,0)," ")</f>
        <v xml:space="preserve"> </v>
      </c>
      <c r="C1379" s="29" t="str">
        <f>IFERROR(VLOOKUP(A1379,Tabla1[],6,0)," ")</f>
        <v xml:space="preserve"> </v>
      </c>
      <c r="D1379" s="30" t="str">
        <f>IFERROR(VLOOKUP(A1379,Tabla1[],8,0)," ")</f>
        <v xml:space="preserve"> </v>
      </c>
      <c r="E1379" s="31"/>
      <c r="F1379" s="30" t="str">
        <f t="shared" si="22"/>
        <v xml:space="preserve"> </v>
      </c>
    </row>
    <row r="1380" spans="1:6" ht="22.7" customHeight="1">
      <c r="A1380" s="28"/>
      <c r="B1380" s="29" t="str">
        <f>IFERROR(VLOOKUP(A1380,Tabla1[],2,0)," ")</f>
        <v xml:space="preserve"> </v>
      </c>
      <c r="C1380" s="29" t="str">
        <f>IFERROR(VLOOKUP(A1380,Tabla1[],6,0)," ")</f>
        <v xml:space="preserve"> </v>
      </c>
      <c r="D1380" s="30" t="str">
        <f>IFERROR(VLOOKUP(A1380,Tabla1[],8,0)," ")</f>
        <v xml:space="preserve"> </v>
      </c>
      <c r="E1380" s="31"/>
      <c r="F1380" s="30" t="str">
        <f t="shared" si="22"/>
        <v xml:space="preserve"> </v>
      </c>
    </row>
    <row r="1381" spans="1:6" ht="22.7" customHeight="1">
      <c r="A1381" s="28"/>
      <c r="B1381" s="29" t="str">
        <f>IFERROR(VLOOKUP(A1381,Tabla1[],2,0)," ")</f>
        <v xml:space="preserve"> </v>
      </c>
      <c r="C1381" s="29" t="str">
        <f>IFERROR(VLOOKUP(A1381,Tabla1[],6,0)," ")</f>
        <v xml:space="preserve"> </v>
      </c>
      <c r="D1381" s="30" t="str">
        <f>IFERROR(VLOOKUP(A1381,Tabla1[],8,0)," ")</f>
        <v xml:space="preserve"> </v>
      </c>
      <c r="E1381" s="31"/>
      <c r="F1381" s="30" t="str">
        <f t="shared" si="22"/>
        <v xml:space="preserve"> </v>
      </c>
    </row>
    <row r="1382" spans="1:6" ht="22.7" customHeight="1">
      <c r="A1382" s="28"/>
      <c r="B1382" s="29" t="str">
        <f>IFERROR(VLOOKUP(A1382,Tabla1[],2,0)," ")</f>
        <v xml:space="preserve"> </v>
      </c>
      <c r="C1382" s="29" t="str">
        <f>IFERROR(VLOOKUP(A1382,Tabla1[],6,0)," ")</f>
        <v xml:space="preserve"> </v>
      </c>
      <c r="D1382" s="30" t="str">
        <f>IFERROR(VLOOKUP(A1382,Tabla1[],8,0)," ")</f>
        <v xml:space="preserve"> </v>
      </c>
      <c r="E1382" s="31"/>
      <c r="F1382" s="30" t="str">
        <f t="shared" si="22"/>
        <v xml:space="preserve"> </v>
      </c>
    </row>
    <row r="1383" spans="1:6" ht="22.7" customHeight="1">
      <c r="A1383" s="28"/>
      <c r="B1383" s="29" t="str">
        <f>IFERROR(VLOOKUP(A1383,Tabla1[],2,0)," ")</f>
        <v xml:space="preserve"> </v>
      </c>
      <c r="C1383" s="29" t="str">
        <f>IFERROR(VLOOKUP(A1383,Tabla1[],6,0)," ")</f>
        <v xml:space="preserve"> </v>
      </c>
      <c r="D1383" s="30" t="str">
        <f>IFERROR(VLOOKUP(A1383,Tabla1[],8,0)," ")</f>
        <v xml:space="preserve"> </v>
      </c>
      <c r="E1383" s="31"/>
      <c r="F1383" s="30" t="str">
        <f t="shared" si="22"/>
        <v xml:space="preserve"> </v>
      </c>
    </row>
    <row r="1384" spans="1:6" ht="22.7" customHeight="1">
      <c r="A1384" s="28"/>
      <c r="B1384" s="29" t="str">
        <f>IFERROR(VLOOKUP(A1384,Tabla1[],2,0)," ")</f>
        <v xml:space="preserve"> </v>
      </c>
      <c r="C1384" s="29" t="str">
        <f>IFERROR(VLOOKUP(A1384,Tabla1[],6,0)," ")</f>
        <v xml:space="preserve"> </v>
      </c>
      <c r="D1384" s="30" t="str">
        <f>IFERROR(VLOOKUP(A1384,Tabla1[],8,0)," ")</f>
        <v xml:space="preserve"> </v>
      </c>
      <c r="E1384" s="31"/>
      <c r="F1384" s="30" t="str">
        <f t="shared" si="22"/>
        <v xml:space="preserve"> </v>
      </c>
    </row>
    <row r="1385" spans="1:6" ht="22.7" customHeight="1">
      <c r="A1385" s="28"/>
      <c r="B1385" s="29" t="str">
        <f>IFERROR(VLOOKUP(A1385,Tabla1[],2,0)," ")</f>
        <v xml:space="preserve"> </v>
      </c>
      <c r="C1385" s="29" t="str">
        <f>IFERROR(VLOOKUP(A1385,Tabla1[],6,0)," ")</f>
        <v xml:space="preserve"> </v>
      </c>
      <c r="D1385" s="30" t="str">
        <f>IFERROR(VLOOKUP(A1385,Tabla1[],8,0)," ")</f>
        <v xml:space="preserve"> </v>
      </c>
      <c r="E1385" s="31"/>
      <c r="F1385" s="30" t="str">
        <f t="shared" si="22"/>
        <v xml:space="preserve"> </v>
      </c>
    </row>
    <row r="1386" spans="1:6" ht="22.7" customHeight="1">
      <c r="A1386" s="28"/>
      <c r="B1386" s="29" t="str">
        <f>IFERROR(VLOOKUP(A1386,Tabla1[],2,0)," ")</f>
        <v xml:space="preserve"> </v>
      </c>
      <c r="C1386" s="29" t="str">
        <f>IFERROR(VLOOKUP(A1386,Tabla1[],6,0)," ")</f>
        <v xml:space="preserve"> </v>
      </c>
      <c r="D1386" s="30" t="str">
        <f>IFERROR(VLOOKUP(A1386,Tabla1[],8,0)," ")</f>
        <v xml:space="preserve"> </v>
      </c>
      <c r="E1386" s="31"/>
      <c r="F1386" s="30" t="str">
        <f t="shared" si="22"/>
        <v xml:space="preserve"> </v>
      </c>
    </row>
    <row r="1387" spans="1:6" ht="22.7" customHeight="1">
      <c r="A1387" s="28"/>
      <c r="B1387" s="29" t="str">
        <f>IFERROR(VLOOKUP(A1387,Tabla1[],2,0)," ")</f>
        <v xml:space="preserve"> </v>
      </c>
      <c r="C1387" s="29" t="str">
        <f>IFERROR(VLOOKUP(A1387,Tabla1[],6,0)," ")</f>
        <v xml:space="preserve"> </v>
      </c>
      <c r="D1387" s="30" t="str">
        <f>IFERROR(VLOOKUP(A1387,Tabla1[],8,0)," ")</f>
        <v xml:space="preserve"> </v>
      </c>
      <c r="E1387" s="31"/>
      <c r="F1387" s="30" t="str">
        <f t="shared" si="22"/>
        <v xml:space="preserve"> </v>
      </c>
    </row>
    <row r="1388" spans="1:6" ht="22.7" customHeight="1">
      <c r="A1388" s="28"/>
      <c r="B1388" s="29" t="str">
        <f>IFERROR(VLOOKUP(A1388,Tabla1[],2,0)," ")</f>
        <v xml:space="preserve"> </v>
      </c>
      <c r="C1388" s="29" t="str">
        <f>IFERROR(VLOOKUP(A1388,Tabla1[],6,0)," ")</f>
        <v xml:space="preserve"> </v>
      </c>
      <c r="D1388" s="30" t="str">
        <f>IFERROR(VLOOKUP(A1388,Tabla1[],8,0)," ")</f>
        <v xml:space="preserve"> </v>
      </c>
      <c r="E1388" s="31"/>
      <c r="F1388" s="30" t="str">
        <f t="shared" si="22"/>
        <v xml:space="preserve"> </v>
      </c>
    </row>
    <row r="1389" spans="1:6" ht="22.7" customHeight="1">
      <c r="A1389" s="28"/>
      <c r="B1389" s="29" t="str">
        <f>IFERROR(VLOOKUP(A1389,Tabla1[],2,0)," ")</f>
        <v xml:space="preserve"> </v>
      </c>
      <c r="C1389" s="29" t="str">
        <f>IFERROR(VLOOKUP(A1389,Tabla1[],6,0)," ")</f>
        <v xml:space="preserve"> </v>
      </c>
      <c r="D1389" s="30" t="str">
        <f>IFERROR(VLOOKUP(A1389,Tabla1[],8,0)," ")</f>
        <v xml:space="preserve"> </v>
      </c>
      <c r="E1389" s="31"/>
      <c r="F1389" s="30" t="str">
        <f t="shared" si="22"/>
        <v xml:space="preserve"> </v>
      </c>
    </row>
    <row r="1390" spans="1:6" ht="22.7" customHeight="1">
      <c r="A1390" s="28"/>
      <c r="B1390" s="29" t="str">
        <f>IFERROR(VLOOKUP(A1390,Tabla1[],2,0)," ")</f>
        <v xml:space="preserve"> </v>
      </c>
      <c r="C1390" s="29" t="str">
        <f>IFERROR(VLOOKUP(A1390,Tabla1[],6,0)," ")</f>
        <v xml:space="preserve"> </v>
      </c>
      <c r="D1390" s="30" t="str">
        <f>IFERROR(VLOOKUP(A1390,Tabla1[],8,0)," ")</f>
        <v xml:space="preserve"> </v>
      </c>
      <c r="E1390" s="31"/>
      <c r="F1390" s="30" t="str">
        <f t="shared" si="22"/>
        <v xml:space="preserve"> </v>
      </c>
    </row>
    <row r="1391" spans="1:6" ht="22.7" customHeight="1">
      <c r="A1391" s="28"/>
      <c r="B1391" s="29" t="str">
        <f>IFERROR(VLOOKUP(A1391,Tabla1[],2,0)," ")</f>
        <v xml:space="preserve"> </v>
      </c>
      <c r="C1391" s="29" t="str">
        <f>IFERROR(VLOOKUP(A1391,Tabla1[],6,0)," ")</f>
        <v xml:space="preserve"> </v>
      </c>
      <c r="D1391" s="30" t="str">
        <f>IFERROR(VLOOKUP(A1391,Tabla1[],8,0)," ")</f>
        <v xml:space="preserve"> </v>
      </c>
      <c r="E1391" s="31"/>
      <c r="F1391" s="30" t="str">
        <f t="shared" si="22"/>
        <v xml:space="preserve"> </v>
      </c>
    </row>
    <row r="1392" spans="1:6" ht="22.7" customHeight="1">
      <c r="A1392" s="28"/>
      <c r="B1392" s="29" t="str">
        <f>IFERROR(VLOOKUP(A1392,Tabla1[],2,0)," ")</f>
        <v xml:space="preserve"> </v>
      </c>
      <c r="C1392" s="29" t="str">
        <f>IFERROR(VLOOKUP(A1392,Tabla1[],6,0)," ")</f>
        <v xml:space="preserve"> </v>
      </c>
      <c r="D1392" s="30" t="str">
        <f>IFERROR(VLOOKUP(A1392,Tabla1[],8,0)," ")</f>
        <v xml:space="preserve"> </v>
      </c>
      <c r="E1392" s="31"/>
      <c r="F1392" s="30" t="str">
        <f t="shared" si="22"/>
        <v xml:space="preserve"> </v>
      </c>
    </row>
    <row r="1393" spans="1:6" ht="22.7" customHeight="1">
      <c r="A1393" s="28"/>
      <c r="B1393" s="29" t="str">
        <f>IFERROR(VLOOKUP(A1393,Tabla1[],2,0)," ")</f>
        <v xml:space="preserve"> </v>
      </c>
      <c r="C1393" s="29" t="str">
        <f>IFERROR(VLOOKUP(A1393,Tabla1[],6,0)," ")</f>
        <v xml:space="preserve"> </v>
      </c>
      <c r="D1393" s="30" t="str">
        <f>IFERROR(VLOOKUP(A1393,Tabla1[],8,0)," ")</f>
        <v xml:space="preserve"> </v>
      </c>
      <c r="E1393" s="31"/>
      <c r="F1393" s="30" t="str">
        <f t="shared" si="22"/>
        <v xml:space="preserve"> </v>
      </c>
    </row>
    <row r="1394" spans="1:6" ht="22.7" customHeight="1">
      <c r="A1394" s="28"/>
      <c r="B1394" s="29" t="str">
        <f>IFERROR(VLOOKUP(A1394,Tabla1[],2,0)," ")</f>
        <v xml:space="preserve"> </v>
      </c>
      <c r="C1394" s="29" t="str">
        <f>IFERROR(VLOOKUP(A1394,Tabla1[],6,0)," ")</f>
        <v xml:space="preserve"> </v>
      </c>
      <c r="D1394" s="30" t="str">
        <f>IFERROR(VLOOKUP(A1394,Tabla1[],8,0)," ")</f>
        <v xml:space="preserve"> </v>
      </c>
      <c r="E1394" s="31"/>
      <c r="F1394" s="30" t="str">
        <f t="shared" si="22"/>
        <v xml:space="preserve"> </v>
      </c>
    </row>
    <row r="1395" spans="1:6" ht="22.7" customHeight="1">
      <c r="A1395" s="28"/>
      <c r="B1395" s="29" t="str">
        <f>IFERROR(VLOOKUP(A1395,Tabla1[],2,0)," ")</f>
        <v xml:space="preserve"> </v>
      </c>
      <c r="C1395" s="29" t="str">
        <f>IFERROR(VLOOKUP(A1395,Tabla1[],6,0)," ")</f>
        <v xml:space="preserve"> </v>
      </c>
      <c r="D1395" s="30" t="str">
        <f>IFERROR(VLOOKUP(A1395,Tabla1[],8,0)," ")</f>
        <v xml:space="preserve"> </v>
      </c>
      <c r="E1395" s="31"/>
      <c r="F1395" s="30" t="str">
        <f t="shared" si="22"/>
        <v xml:space="preserve"> </v>
      </c>
    </row>
    <row r="1396" spans="1:6" ht="22.7" customHeight="1">
      <c r="A1396" s="28"/>
      <c r="B1396" s="29" t="str">
        <f>IFERROR(VLOOKUP(A1396,Tabla1[],2,0)," ")</f>
        <v xml:space="preserve"> </v>
      </c>
      <c r="C1396" s="29" t="str">
        <f>IFERROR(VLOOKUP(A1396,Tabla1[],6,0)," ")</f>
        <v xml:space="preserve"> </v>
      </c>
      <c r="D1396" s="30" t="str">
        <f>IFERROR(VLOOKUP(A1396,Tabla1[],8,0)," ")</f>
        <v xml:space="preserve"> </v>
      </c>
      <c r="E1396" s="31"/>
      <c r="F1396" s="30" t="str">
        <f t="shared" si="22"/>
        <v xml:space="preserve"> </v>
      </c>
    </row>
    <row r="1397" spans="1:6" ht="22.7" customHeight="1">
      <c r="A1397" s="28"/>
      <c r="B1397" s="29" t="str">
        <f>IFERROR(VLOOKUP(A1397,Tabla1[],2,0)," ")</f>
        <v xml:space="preserve"> </v>
      </c>
      <c r="C1397" s="29" t="str">
        <f>IFERROR(VLOOKUP(A1397,Tabla1[],6,0)," ")</f>
        <v xml:space="preserve"> </v>
      </c>
      <c r="D1397" s="30" t="str">
        <f>IFERROR(VLOOKUP(A1397,Tabla1[],8,0)," ")</f>
        <v xml:space="preserve"> </v>
      </c>
      <c r="E1397" s="31"/>
      <c r="F1397" s="30" t="str">
        <f t="shared" si="22"/>
        <v xml:space="preserve"> </v>
      </c>
    </row>
    <row r="1398" spans="1:6" ht="22.7" customHeight="1">
      <c r="A1398" s="28"/>
      <c r="B1398" s="29" t="str">
        <f>IFERROR(VLOOKUP(A1398,Tabla1[],2,0)," ")</f>
        <v xml:space="preserve"> </v>
      </c>
      <c r="C1398" s="29" t="str">
        <f>IFERROR(VLOOKUP(A1398,Tabla1[],6,0)," ")</f>
        <v xml:space="preserve"> </v>
      </c>
      <c r="D1398" s="30" t="str">
        <f>IFERROR(VLOOKUP(A1398,Tabla1[],8,0)," ")</f>
        <v xml:space="preserve"> </v>
      </c>
      <c r="E1398" s="31"/>
      <c r="F1398" s="30" t="str">
        <f t="shared" si="22"/>
        <v xml:space="preserve"> </v>
      </c>
    </row>
    <row r="1399" spans="1:6" ht="22.7" customHeight="1">
      <c r="A1399" s="28"/>
      <c r="B1399" s="29" t="str">
        <f>IFERROR(VLOOKUP(A1399,Tabla1[],2,0)," ")</f>
        <v xml:space="preserve"> </v>
      </c>
      <c r="C1399" s="29" t="str">
        <f>IFERROR(VLOOKUP(A1399,Tabla1[],6,0)," ")</f>
        <v xml:space="preserve"> </v>
      </c>
      <c r="D1399" s="30" t="str">
        <f>IFERROR(VLOOKUP(A1399,Tabla1[],8,0)," ")</f>
        <v xml:space="preserve"> </v>
      </c>
      <c r="E1399" s="31"/>
      <c r="F1399" s="30" t="str">
        <f t="shared" si="22"/>
        <v xml:space="preserve"> </v>
      </c>
    </row>
    <row r="1400" spans="1:6" ht="22.7" customHeight="1">
      <c r="A1400" s="28"/>
      <c r="B1400" s="29" t="str">
        <f>IFERROR(VLOOKUP(A1400,Tabla1[],2,0)," ")</f>
        <v xml:space="preserve"> </v>
      </c>
      <c r="C1400" s="29" t="str">
        <f>IFERROR(VLOOKUP(A1400,Tabla1[],6,0)," ")</f>
        <v xml:space="preserve"> </v>
      </c>
      <c r="D1400" s="30" t="str">
        <f>IFERROR(VLOOKUP(A1400,Tabla1[],8,0)," ")</f>
        <v xml:space="preserve"> </v>
      </c>
      <c r="E1400" s="31"/>
      <c r="F1400" s="30" t="str">
        <f t="shared" si="22"/>
        <v xml:space="preserve"> </v>
      </c>
    </row>
    <row r="1401" spans="1:6" ht="22.7" customHeight="1">
      <c r="A1401" s="28"/>
      <c r="B1401" s="29" t="str">
        <f>IFERROR(VLOOKUP(A1401,Tabla1[],2,0)," ")</f>
        <v xml:space="preserve"> </v>
      </c>
      <c r="C1401" s="29" t="str">
        <f>IFERROR(VLOOKUP(A1401,Tabla1[],6,0)," ")</f>
        <v xml:space="preserve"> </v>
      </c>
      <c r="D1401" s="30" t="str">
        <f>IFERROR(VLOOKUP(A1401,Tabla1[],8,0)," ")</f>
        <v xml:space="preserve"> </v>
      </c>
      <c r="E1401" s="31"/>
      <c r="F1401" s="30" t="str">
        <f t="shared" si="22"/>
        <v xml:space="preserve"> </v>
      </c>
    </row>
    <row r="1402" spans="1:6" ht="22.7" customHeight="1">
      <c r="A1402" s="28"/>
      <c r="B1402" s="29" t="str">
        <f>IFERROR(VLOOKUP(A1402,Tabla1[],2,0)," ")</f>
        <v xml:space="preserve"> </v>
      </c>
      <c r="C1402" s="29" t="str">
        <f>IFERROR(VLOOKUP(A1402,Tabla1[],6,0)," ")</f>
        <v xml:space="preserve"> </v>
      </c>
      <c r="D1402" s="30" t="str">
        <f>IFERROR(VLOOKUP(A1402,Tabla1[],8,0)," ")</f>
        <v xml:space="preserve"> </v>
      </c>
      <c r="E1402" s="31"/>
      <c r="F1402" s="30" t="str">
        <f t="shared" si="22"/>
        <v xml:space="preserve"> </v>
      </c>
    </row>
    <row r="1403" spans="1:6" ht="22.7" customHeight="1">
      <c r="A1403" s="28"/>
      <c r="B1403" s="29" t="str">
        <f>IFERROR(VLOOKUP(A1403,Tabla1[],2,0)," ")</f>
        <v xml:space="preserve"> </v>
      </c>
      <c r="C1403" s="29" t="str">
        <f>IFERROR(VLOOKUP(A1403,Tabla1[],6,0)," ")</f>
        <v xml:space="preserve"> </v>
      </c>
      <c r="D1403" s="30" t="str">
        <f>IFERROR(VLOOKUP(A1403,Tabla1[],8,0)," ")</f>
        <v xml:space="preserve"> </v>
      </c>
      <c r="E1403" s="31"/>
      <c r="F1403" s="30" t="str">
        <f t="shared" si="22"/>
        <v xml:space="preserve"> </v>
      </c>
    </row>
    <row r="1404" spans="1:6" ht="22.7" customHeight="1">
      <c r="A1404" s="28"/>
      <c r="B1404" s="29" t="str">
        <f>IFERROR(VLOOKUP(A1404,Tabla1[],2,0)," ")</f>
        <v xml:space="preserve"> </v>
      </c>
      <c r="C1404" s="29" t="str">
        <f>IFERROR(VLOOKUP(A1404,Tabla1[],6,0)," ")</f>
        <v xml:space="preserve"> </v>
      </c>
      <c r="D1404" s="30" t="str">
        <f>IFERROR(VLOOKUP(A1404,Tabla1[],8,0)," ")</f>
        <v xml:space="preserve"> </v>
      </c>
      <c r="E1404" s="31"/>
      <c r="F1404" s="30" t="str">
        <f t="shared" si="22"/>
        <v xml:space="preserve"> </v>
      </c>
    </row>
    <row r="1405" spans="1:6" ht="22.7" customHeight="1">
      <c r="A1405" s="28"/>
      <c r="B1405" s="29" t="str">
        <f>IFERROR(VLOOKUP(A1405,Tabla1[],2,0)," ")</f>
        <v xml:space="preserve"> </v>
      </c>
      <c r="C1405" s="29" t="str">
        <f>IFERROR(VLOOKUP(A1405,Tabla1[],6,0)," ")</f>
        <v xml:space="preserve"> </v>
      </c>
      <c r="D1405" s="30" t="str">
        <f>IFERROR(VLOOKUP(A1405,Tabla1[],8,0)," ")</f>
        <v xml:space="preserve"> </v>
      </c>
      <c r="E1405" s="31"/>
      <c r="F1405" s="30" t="str">
        <f t="shared" si="22"/>
        <v xml:space="preserve"> </v>
      </c>
    </row>
    <row r="1406" spans="1:6" ht="22.7" customHeight="1">
      <c r="A1406" s="28"/>
      <c r="B1406" s="29" t="str">
        <f>IFERROR(VLOOKUP(A1406,Tabla1[],2,0)," ")</f>
        <v xml:space="preserve"> </v>
      </c>
      <c r="C1406" s="29" t="str">
        <f>IFERROR(VLOOKUP(A1406,Tabla1[],6,0)," ")</f>
        <v xml:space="preserve"> </v>
      </c>
      <c r="D1406" s="30" t="str">
        <f>IFERROR(VLOOKUP(A1406,Tabla1[],8,0)," ")</f>
        <v xml:space="preserve"> </v>
      </c>
      <c r="E1406" s="31"/>
      <c r="F1406" s="30" t="str">
        <f t="shared" si="22"/>
        <v xml:space="preserve"> </v>
      </c>
    </row>
    <row r="1407" spans="1:6" ht="22.7" customHeight="1">
      <c r="A1407" s="28"/>
      <c r="B1407" s="29" t="str">
        <f>IFERROR(VLOOKUP(A1407,Tabla1[],2,0)," ")</f>
        <v xml:space="preserve"> </v>
      </c>
      <c r="C1407" s="29" t="str">
        <f>IFERROR(VLOOKUP(A1407,Tabla1[],6,0)," ")</f>
        <v xml:space="preserve"> </v>
      </c>
      <c r="D1407" s="30" t="str">
        <f>IFERROR(VLOOKUP(A1407,Tabla1[],8,0)," ")</f>
        <v xml:space="preserve"> </v>
      </c>
      <c r="E1407" s="31"/>
      <c r="F1407" s="30" t="str">
        <f t="shared" si="22"/>
        <v xml:space="preserve"> </v>
      </c>
    </row>
    <row r="1408" spans="1:6" ht="22.7" customHeight="1">
      <c r="A1408" s="28"/>
      <c r="B1408" s="29" t="str">
        <f>IFERROR(VLOOKUP(A1408,Tabla1[],2,0)," ")</f>
        <v xml:space="preserve"> </v>
      </c>
      <c r="C1408" s="29" t="str">
        <f>IFERROR(VLOOKUP(A1408,Tabla1[],6,0)," ")</f>
        <v xml:space="preserve"> </v>
      </c>
      <c r="D1408" s="30" t="str">
        <f>IFERROR(VLOOKUP(A1408,Tabla1[],8,0)," ")</f>
        <v xml:space="preserve"> </v>
      </c>
      <c r="E1408" s="31"/>
      <c r="F1408" s="30" t="str">
        <f t="shared" si="22"/>
        <v xml:space="preserve"> </v>
      </c>
    </row>
    <row r="1409" spans="1:6" ht="22.7" customHeight="1">
      <c r="A1409" s="28"/>
      <c r="B1409" s="29" t="str">
        <f>IFERROR(VLOOKUP(A1409,Tabla1[],2,0)," ")</f>
        <v xml:space="preserve"> </v>
      </c>
      <c r="C1409" s="29" t="str">
        <f>IFERROR(VLOOKUP(A1409,Tabla1[],6,0)," ")</f>
        <v xml:space="preserve"> </v>
      </c>
      <c r="D1409" s="30" t="str">
        <f>IFERROR(VLOOKUP(A1409,Tabla1[],8,0)," ")</f>
        <v xml:space="preserve"> </v>
      </c>
      <c r="E1409" s="31"/>
      <c r="F1409" s="30" t="str">
        <f t="shared" si="22"/>
        <v xml:space="preserve"> </v>
      </c>
    </row>
    <row r="1410" spans="1:6" ht="22.7" customHeight="1">
      <c r="A1410" s="28"/>
      <c r="B1410" s="29" t="str">
        <f>IFERROR(VLOOKUP(A1410,Tabla1[],2,0)," ")</f>
        <v xml:space="preserve"> </v>
      </c>
      <c r="C1410" s="29" t="str">
        <f>IFERROR(VLOOKUP(A1410,Tabla1[],6,0)," ")</f>
        <v xml:space="preserve"> </v>
      </c>
      <c r="D1410" s="30" t="str">
        <f>IFERROR(VLOOKUP(A1410,Tabla1[],8,0)," ")</f>
        <v xml:space="preserve"> </v>
      </c>
      <c r="E1410" s="31"/>
      <c r="F1410" s="30" t="str">
        <f t="shared" si="22"/>
        <v xml:space="preserve"> </v>
      </c>
    </row>
    <row r="1411" spans="1:6" ht="22.7" customHeight="1">
      <c r="A1411" s="28"/>
      <c r="B1411" s="29" t="str">
        <f>IFERROR(VLOOKUP(A1411,Tabla1[],2,0)," ")</f>
        <v xml:space="preserve"> </v>
      </c>
      <c r="C1411" s="29" t="str">
        <f>IFERROR(VLOOKUP(A1411,Tabla1[],6,0)," ")</f>
        <v xml:space="preserve"> </v>
      </c>
      <c r="D1411" s="30" t="str">
        <f>IFERROR(VLOOKUP(A1411,Tabla1[],8,0)," ")</f>
        <v xml:space="preserve"> </v>
      </c>
      <c r="E1411" s="31"/>
      <c r="F1411" s="30" t="str">
        <f t="shared" si="22"/>
        <v xml:space="preserve"> </v>
      </c>
    </row>
    <row r="1412" spans="1:6" ht="22.7" customHeight="1">
      <c r="A1412" s="28"/>
      <c r="B1412" s="29" t="str">
        <f>IFERROR(VLOOKUP(A1412,Tabla1[],2,0)," ")</f>
        <v xml:space="preserve"> </v>
      </c>
      <c r="C1412" s="29" t="str">
        <f>IFERROR(VLOOKUP(A1412,Tabla1[],6,0)," ")</f>
        <v xml:space="preserve"> </v>
      </c>
      <c r="D1412" s="30" t="str">
        <f>IFERROR(VLOOKUP(A1412,Tabla1[],8,0)," ")</f>
        <v xml:space="preserve"> </v>
      </c>
      <c r="E1412" s="31"/>
      <c r="F1412" s="30" t="str">
        <f t="shared" ref="F1412:F1475" si="23">IFERROR((E1412*D1412), " ")</f>
        <v xml:space="preserve"> </v>
      </c>
    </row>
    <row r="1413" spans="1:6" ht="22.7" customHeight="1">
      <c r="A1413" s="28"/>
      <c r="B1413" s="29" t="str">
        <f>IFERROR(VLOOKUP(A1413,Tabla1[],2,0)," ")</f>
        <v xml:space="preserve"> </v>
      </c>
      <c r="C1413" s="29" t="str">
        <f>IFERROR(VLOOKUP(A1413,Tabla1[],6,0)," ")</f>
        <v xml:space="preserve"> </v>
      </c>
      <c r="D1413" s="30" t="str">
        <f>IFERROR(VLOOKUP(A1413,Tabla1[],8,0)," ")</f>
        <v xml:space="preserve"> </v>
      </c>
      <c r="E1413" s="31"/>
      <c r="F1413" s="30" t="str">
        <f t="shared" si="23"/>
        <v xml:space="preserve"> </v>
      </c>
    </row>
    <row r="1414" spans="1:6" ht="22.7" customHeight="1">
      <c r="A1414" s="28"/>
      <c r="B1414" s="29" t="str">
        <f>IFERROR(VLOOKUP(A1414,Tabla1[],2,0)," ")</f>
        <v xml:space="preserve"> </v>
      </c>
      <c r="C1414" s="29" t="str">
        <f>IFERROR(VLOOKUP(A1414,Tabla1[],6,0)," ")</f>
        <v xml:space="preserve"> </v>
      </c>
      <c r="D1414" s="30" t="str">
        <f>IFERROR(VLOOKUP(A1414,Tabla1[],8,0)," ")</f>
        <v xml:space="preserve"> </v>
      </c>
      <c r="E1414" s="31"/>
      <c r="F1414" s="30" t="str">
        <f t="shared" si="23"/>
        <v xml:space="preserve"> </v>
      </c>
    </row>
    <row r="1415" spans="1:6" ht="22.7" customHeight="1">
      <c r="A1415" s="28"/>
      <c r="B1415" s="29" t="str">
        <f>IFERROR(VLOOKUP(A1415,Tabla1[],2,0)," ")</f>
        <v xml:space="preserve"> </v>
      </c>
      <c r="C1415" s="29" t="str">
        <f>IFERROR(VLOOKUP(A1415,Tabla1[],6,0)," ")</f>
        <v xml:space="preserve"> </v>
      </c>
      <c r="D1415" s="30" t="str">
        <f>IFERROR(VLOOKUP(A1415,Tabla1[],8,0)," ")</f>
        <v xml:space="preserve"> </v>
      </c>
      <c r="E1415" s="31"/>
      <c r="F1415" s="30" t="str">
        <f t="shared" si="23"/>
        <v xml:space="preserve"> </v>
      </c>
    </row>
    <row r="1416" spans="1:6" ht="22.7" customHeight="1">
      <c r="A1416" s="28"/>
      <c r="B1416" s="29" t="str">
        <f>IFERROR(VLOOKUP(A1416,Tabla1[],2,0)," ")</f>
        <v xml:space="preserve"> </v>
      </c>
      <c r="C1416" s="29" t="str">
        <f>IFERROR(VLOOKUP(A1416,Tabla1[],6,0)," ")</f>
        <v xml:space="preserve"> </v>
      </c>
      <c r="D1416" s="30" t="str">
        <f>IFERROR(VLOOKUP(A1416,Tabla1[],8,0)," ")</f>
        <v xml:space="preserve"> </v>
      </c>
      <c r="E1416" s="31"/>
      <c r="F1416" s="30" t="str">
        <f t="shared" si="23"/>
        <v xml:space="preserve"> </v>
      </c>
    </row>
    <row r="1417" spans="1:6" ht="22.7" customHeight="1">
      <c r="A1417" s="28"/>
      <c r="B1417" s="29" t="str">
        <f>IFERROR(VLOOKUP(A1417,Tabla1[],2,0)," ")</f>
        <v xml:space="preserve"> </v>
      </c>
      <c r="C1417" s="29" t="str">
        <f>IFERROR(VLOOKUP(A1417,Tabla1[],6,0)," ")</f>
        <v xml:space="preserve"> </v>
      </c>
      <c r="D1417" s="30" t="str">
        <f>IFERROR(VLOOKUP(A1417,Tabla1[],8,0)," ")</f>
        <v xml:space="preserve"> </v>
      </c>
      <c r="E1417" s="31"/>
      <c r="F1417" s="30" t="str">
        <f t="shared" si="23"/>
        <v xml:space="preserve"> </v>
      </c>
    </row>
    <row r="1418" spans="1:6" ht="22.7" customHeight="1">
      <c r="A1418" s="28"/>
      <c r="B1418" s="29" t="str">
        <f>IFERROR(VLOOKUP(A1418,Tabla1[],2,0)," ")</f>
        <v xml:space="preserve"> </v>
      </c>
      <c r="C1418" s="29" t="str">
        <f>IFERROR(VLOOKUP(A1418,Tabla1[],6,0)," ")</f>
        <v xml:space="preserve"> </v>
      </c>
      <c r="D1418" s="30" t="str">
        <f>IFERROR(VLOOKUP(A1418,Tabla1[],8,0)," ")</f>
        <v xml:space="preserve"> </v>
      </c>
      <c r="E1418" s="31"/>
      <c r="F1418" s="30" t="str">
        <f t="shared" si="23"/>
        <v xml:space="preserve"> </v>
      </c>
    </row>
    <row r="1419" spans="1:6" ht="22.7" customHeight="1">
      <c r="A1419" s="28"/>
      <c r="B1419" s="29" t="str">
        <f>IFERROR(VLOOKUP(A1419,Tabla1[],2,0)," ")</f>
        <v xml:space="preserve"> </v>
      </c>
      <c r="C1419" s="29" t="str">
        <f>IFERROR(VLOOKUP(A1419,Tabla1[],6,0)," ")</f>
        <v xml:space="preserve"> </v>
      </c>
      <c r="D1419" s="30" t="str">
        <f>IFERROR(VLOOKUP(A1419,Tabla1[],8,0)," ")</f>
        <v xml:space="preserve"> </v>
      </c>
      <c r="E1419" s="31"/>
      <c r="F1419" s="30" t="str">
        <f t="shared" si="23"/>
        <v xml:space="preserve"> </v>
      </c>
    </row>
    <row r="1420" spans="1:6" ht="22.7" customHeight="1">
      <c r="A1420" s="28"/>
      <c r="B1420" s="29" t="str">
        <f>IFERROR(VLOOKUP(A1420,Tabla1[],2,0)," ")</f>
        <v xml:space="preserve"> </v>
      </c>
      <c r="C1420" s="29" t="str">
        <f>IFERROR(VLOOKUP(A1420,Tabla1[],6,0)," ")</f>
        <v xml:space="preserve"> </v>
      </c>
      <c r="D1420" s="30" t="str">
        <f>IFERROR(VLOOKUP(A1420,Tabla1[],8,0)," ")</f>
        <v xml:space="preserve"> </v>
      </c>
      <c r="E1420" s="31"/>
      <c r="F1420" s="30" t="str">
        <f t="shared" si="23"/>
        <v xml:space="preserve"> </v>
      </c>
    </row>
    <row r="1421" spans="1:6" ht="22.7" customHeight="1">
      <c r="A1421" s="28"/>
      <c r="B1421" s="29" t="str">
        <f>IFERROR(VLOOKUP(A1421,Tabla1[],2,0)," ")</f>
        <v xml:space="preserve"> </v>
      </c>
      <c r="C1421" s="29" t="str">
        <f>IFERROR(VLOOKUP(A1421,Tabla1[],6,0)," ")</f>
        <v xml:space="preserve"> </v>
      </c>
      <c r="D1421" s="30" t="str">
        <f>IFERROR(VLOOKUP(A1421,Tabla1[],8,0)," ")</f>
        <v xml:space="preserve"> </v>
      </c>
      <c r="E1421" s="31"/>
      <c r="F1421" s="30" t="str">
        <f t="shared" si="23"/>
        <v xml:space="preserve"> </v>
      </c>
    </row>
    <row r="1422" spans="1:6" ht="22.7" customHeight="1">
      <c r="A1422" s="28"/>
      <c r="B1422" s="29" t="str">
        <f>IFERROR(VLOOKUP(A1422,Tabla1[],2,0)," ")</f>
        <v xml:space="preserve"> </v>
      </c>
      <c r="C1422" s="29" t="str">
        <f>IFERROR(VLOOKUP(A1422,Tabla1[],6,0)," ")</f>
        <v xml:space="preserve"> </v>
      </c>
      <c r="D1422" s="30" t="str">
        <f>IFERROR(VLOOKUP(A1422,Tabla1[],8,0)," ")</f>
        <v xml:space="preserve"> </v>
      </c>
      <c r="E1422" s="31"/>
      <c r="F1422" s="30" t="str">
        <f t="shared" si="23"/>
        <v xml:space="preserve"> </v>
      </c>
    </row>
    <row r="1423" spans="1:6" ht="22.7" customHeight="1">
      <c r="A1423" s="28"/>
      <c r="B1423" s="29" t="str">
        <f>IFERROR(VLOOKUP(A1423,Tabla1[],2,0)," ")</f>
        <v xml:space="preserve"> </v>
      </c>
      <c r="C1423" s="29" t="str">
        <f>IFERROR(VLOOKUP(A1423,Tabla1[],6,0)," ")</f>
        <v xml:space="preserve"> </v>
      </c>
      <c r="D1423" s="30" t="str">
        <f>IFERROR(VLOOKUP(A1423,Tabla1[],8,0)," ")</f>
        <v xml:space="preserve"> </v>
      </c>
      <c r="E1423" s="31"/>
      <c r="F1423" s="30" t="str">
        <f t="shared" si="23"/>
        <v xml:space="preserve"> </v>
      </c>
    </row>
    <row r="1424" spans="1:6" ht="22.7" customHeight="1">
      <c r="A1424" s="28"/>
      <c r="B1424" s="29" t="str">
        <f>IFERROR(VLOOKUP(A1424,Tabla1[],2,0)," ")</f>
        <v xml:space="preserve"> </v>
      </c>
      <c r="C1424" s="29" t="str">
        <f>IFERROR(VLOOKUP(A1424,Tabla1[],6,0)," ")</f>
        <v xml:space="preserve"> </v>
      </c>
      <c r="D1424" s="30" t="str">
        <f>IFERROR(VLOOKUP(A1424,Tabla1[],8,0)," ")</f>
        <v xml:space="preserve"> </v>
      </c>
      <c r="E1424" s="31"/>
      <c r="F1424" s="30" t="str">
        <f t="shared" si="23"/>
        <v xml:space="preserve"> </v>
      </c>
    </row>
    <row r="1425" spans="1:6" ht="22.7" customHeight="1">
      <c r="A1425" s="28"/>
      <c r="B1425" s="29" t="str">
        <f>IFERROR(VLOOKUP(A1425,Tabla1[],2,0)," ")</f>
        <v xml:space="preserve"> </v>
      </c>
      <c r="C1425" s="29" t="str">
        <f>IFERROR(VLOOKUP(A1425,Tabla1[],6,0)," ")</f>
        <v xml:space="preserve"> </v>
      </c>
      <c r="D1425" s="30" t="str">
        <f>IFERROR(VLOOKUP(A1425,Tabla1[],8,0)," ")</f>
        <v xml:space="preserve"> </v>
      </c>
      <c r="E1425" s="31"/>
      <c r="F1425" s="30" t="str">
        <f t="shared" si="23"/>
        <v xml:space="preserve"> </v>
      </c>
    </row>
    <row r="1426" spans="1:6" ht="22.7" customHeight="1">
      <c r="A1426" s="28"/>
      <c r="B1426" s="29" t="str">
        <f>IFERROR(VLOOKUP(A1426,Tabla1[],2,0)," ")</f>
        <v xml:space="preserve"> </v>
      </c>
      <c r="C1426" s="29" t="str">
        <f>IFERROR(VLOOKUP(A1426,Tabla1[],6,0)," ")</f>
        <v xml:space="preserve"> </v>
      </c>
      <c r="D1426" s="30" t="str">
        <f>IFERROR(VLOOKUP(A1426,Tabla1[],8,0)," ")</f>
        <v xml:space="preserve"> </v>
      </c>
      <c r="E1426" s="31"/>
      <c r="F1426" s="30" t="str">
        <f t="shared" si="23"/>
        <v xml:space="preserve"> </v>
      </c>
    </row>
    <row r="1427" spans="1:6" ht="22.7" customHeight="1">
      <c r="A1427" s="28"/>
      <c r="B1427" s="29" t="str">
        <f>IFERROR(VLOOKUP(A1427,Tabla1[],2,0)," ")</f>
        <v xml:space="preserve"> </v>
      </c>
      <c r="C1427" s="29" t="str">
        <f>IFERROR(VLOOKUP(A1427,Tabla1[],6,0)," ")</f>
        <v xml:space="preserve"> </v>
      </c>
      <c r="D1427" s="30" t="str">
        <f>IFERROR(VLOOKUP(A1427,Tabla1[],8,0)," ")</f>
        <v xml:space="preserve"> </v>
      </c>
      <c r="E1427" s="31"/>
      <c r="F1427" s="30" t="str">
        <f t="shared" si="23"/>
        <v xml:space="preserve"> </v>
      </c>
    </row>
    <row r="1428" spans="1:6" ht="22.7" customHeight="1">
      <c r="A1428" s="28"/>
      <c r="B1428" s="29" t="str">
        <f>IFERROR(VLOOKUP(A1428,Tabla1[],2,0)," ")</f>
        <v xml:space="preserve"> </v>
      </c>
      <c r="C1428" s="29" t="str">
        <f>IFERROR(VLOOKUP(A1428,Tabla1[],6,0)," ")</f>
        <v xml:space="preserve"> </v>
      </c>
      <c r="D1428" s="30" t="str">
        <f>IFERROR(VLOOKUP(A1428,Tabla1[],8,0)," ")</f>
        <v xml:space="preserve"> </v>
      </c>
      <c r="E1428" s="31"/>
      <c r="F1428" s="30" t="str">
        <f t="shared" si="23"/>
        <v xml:space="preserve"> </v>
      </c>
    </row>
    <row r="1429" spans="1:6" ht="22.7" customHeight="1">
      <c r="A1429" s="28"/>
      <c r="B1429" s="29" t="str">
        <f>IFERROR(VLOOKUP(A1429,Tabla1[],2,0)," ")</f>
        <v xml:space="preserve"> </v>
      </c>
      <c r="C1429" s="29" t="str">
        <f>IFERROR(VLOOKUP(A1429,Tabla1[],6,0)," ")</f>
        <v xml:space="preserve"> </v>
      </c>
      <c r="D1429" s="30" t="str">
        <f>IFERROR(VLOOKUP(A1429,Tabla1[],8,0)," ")</f>
        <v xml:space="preserve"> </v>
      </c>
      <c r="E1429" s="31"/>
      <c r="F1429" s="30" t="str">
        <f t="shared" si="23"/>
        <v xml:space="preserve"> </v>
      </c>
    </row>
    <row r="1430" spans="1:6" ht="22.7" customHeight="1">
      <c r="A1430" s="28"/>
      <c r="B1430" s="29" t="str">
        <f>IFERROR(VLOOKUP(A1430,Tabla1[],2,0)," ")</f>
        <v xml:space="preserve"> </v>
      </c>
      <c r="C1430" s="29" t="str">
        <f>IFERROR(VLOOKUP(A1430,Tabla1[],6,0)," ")</f>
        <v xml:space="preserve"> </v>
      </c>
      <c r="D1430" s="30" t="str">
        <f>IFERROR(VLOOKUP(A1430,Tabla1[],8,0)," ")</f>
        <v xml:space="preserve"> </v>
      </c>
      <c r="E1430" s="31"/>
      <c r="F1430" s="30" t="str">
        <f t="shared" si="23"/>
        <v xml:space="preserve"> </v>
      </c>
    </row>
    <row r="1431" spans="1:6" ht="22.7" customHeight="1">
      <c r="A1431" s="28"/>
      <c r="B1431" s="29" t="str">
        <f>IFERROR(VLOOKUP(A1431,Tabla1[],2,0)," ")</f>
        <v xml:space="preserve"> </v>
      </c>
      <c r="C1431" s="29" t="str">
        <f>IFERROR(VLOOKUP(A1431,Tabla1[],6,0)," ")</f>
        <v xml:space="preserve"> </v>
      </c>
      <c r="D1431" s="30" t="str">
        <f>IFERROR(VLOOKUP(A1431,Tabla1[],8,0)," ")</f>
        <v xml:space="preserve"> </v>
      </c>
      <c r="E1431" s="31"/>
      <c r="F1431" s="30" t="str">
        <f t="shared" si="23"/>
        <v xml:space="preserve"> </v>
      </c>
    </row>
    <row r="1432" spans="1:6" ht="22.7" customHeight="1">
      <c r="A1432" s="28"/>
      <c r="B1432" s="29" t="str">
        <f>IFERROR(VLOOKUP(A1432,Tabla1[],2,0)," ")</f>
        <v xml:space="preserve"> </v>
      </c>
      <c r="C1432" s="29" t="str">
        <f>IFERROR(VLOOKUP(A1432,Tabla1[],6,0)," ")</f>
        <v xml:space="preserve"> </v>
      </c>
      <c r="D1432" s="30" t="str">
        <f>IFERROR(VLOOKUP(A1432,Tabla1[],8,0)," ")</f>
        <v xml:space="preserve"> </v>
      </c>
      <c r="E1432" s="31"/>
      <c r="F1432" s="30" t="str">
        <f t="shared" si="23"/>
        <v xml:space="preserve"> </v>
      </c>
    </row>
    <row r="1433" spans="1:6" ht="22.7" customHeight="1">
      <c r="A1433" s="28"/>
      <c r="B1433" s="29" t="str">
        <f>IFERROR(VLOOKUP(A1433,Tabla1[],2,0)," ")</f>
        <v xml:space="preserve"> </v>
      </c>
      <c r="C1433" s="29" t="str">
        <f>IFERROR(VLOOKUP(A1433,Tabla1[],6,0)," ")</f>
        <v xml:space="preserve"> </v>
      </c>
      <c r="D1433" s="30" t="str">
        <f>IFERROR(VLOOKUP(A1433,Tabla1[],8,0)," ")</f>
        <v xml:space="preserve"> </v>
      </c>
      <c r="E1433" s="31"/>
      <c r="F1433" s="30" t="str">
        <f t="shared" si="23"/>
        <v xml:space="preserve"> </v>
      </c>
    </row>
    <row r="1434" spans="1:6" ht="22.7" customHeight="1">
      <c r="A1434" s="28"/>
      <c r="B1434" s="29" t="str">
        <f>IFERROR(VLOOKUP(A1434,Tabla1[],2,0)," ")</f>
        <v xml:space="preserve"> </v>
      </c>
      <c r="C1434" s="29" t="str">
        <f>IFERROR(VLOOKUP(A1434,Tabla1[],6,0)," ")</f>
        <v xml:space="preserve"> </v>
      </c>
      <c r="D1434" s="30" t="str">
        <f>IFERROR(VLOOKUP(A1434,Tabla1[],8,0)," ")</f>
        <v xml:space="preserve"> </v>
      </c>
      <c r="E1434" s="31"/>
      <c r="F1434" s="30" t="str">
        <f t="shared" si="23"/>
        <v xml:space="preserve"> </v>
      </c>
    </row>
    <row r="1435" spans="1:6" ht="22.7" customHeight="1">
      <c r="A1435" s="28"/>
      <c r="B1435" s="29" t="str">
        <f>IFERROR(VLOOKUP(A1435,Tabla1[],2,0)," ")</f>
        <v xml:space="preserve"> </v>
      </c>
      <c r="C1435" s="29" t="str">
        <f>IFERROR(VLOOKUP(A1435,Tabla1[],6,0)," ")</f>
        <v xml:space="preserve"> </v>
      </c>
      <c r="D1435" s="30" t="str">
        <f>IFERROR(VLOOKUP(A1435,Tabla1[],8,0)," ")</f>
        <v xml:space="preserve"> </v>
      </c>
      <c r="E1435" s="31"/>
      <c r="F1435" s="30" t="str">
        <f t="shared" si="23"/>
        <v xml:space="preserve"> </v>
      </c>
    </row>
    <row r="1436" spans="1:6" ht="22.7" customHeight="1">
      <c r="A1436" s="28"/>
      <c r="B1436" s="29" t="str">
        <f>IFERROR(VLOOKUP(A1436,Tabla1[],2,0)," ")</f>
        <v xml:space="preserve"> </v>
      </c>
      <c r="C1436" s="29" t="str">
        <f>IFERROR(VLOOKUP(A1436,Tabla1[],6,0)," ")</f>
        <v xml:space="preserve"> </v>
      </c>
      <c r="D1436" s="30" t="str">
        <f>IFERROR(VLOOKUP(A1436,Tabla1[],8,0)," ")</f>
        <v xml:space="preserve"> </v>
      </c>
      <c r="E1436" s="31"/>
      <c r="F1436" s="30" t="str">
        <f t="shared" si="23"/>
        <v xml:space="preserve"> </v>
      </c>
    </row>
    <row r="1437" spans="1:6" ht="22.7" customHeight="1">
      <c r="A1437" s="28"/>
      <c r="B1437" s="29" t="str">
        <f>IFERROR(VLOOKUP(A1437,Tabla1[],2,0)," ")</f>
        <v xml:space="preserve"> </v>
      </c>
      <c r="C1437" s="29" t="str">
        <f>IFERROR(VLOOKUP(A1437,Tabla1[],6,0)," ")</f>
        <v xml:space="preserve"> </v>
      </c>
      <c r="D1437" s="30" t="str">
        <f>IFERROR(VLOOKUP(A1437,Tabla1[],8,0)," ")</f>
        <v xml:space="preserve"> </v>
      </c>
      <c r="E1437" s="31"/>
      <c r="F1437" s="30" t="str">
        <f t="shared" si="23"/>
        <v xml:space="preserve"> </v>
      </c>
    </row>
    <row r="1438" spans="1:6" ht="22.7" customHeight="1">
      <c r="A1438" s="28"/>
      <c r="B1438" s="29" t="str">
        <f>IFERROR(VLOOKUP(A1438,Tabla1[],2,0)," ")</f>
        <v xml:space="preserve"> </v>
      </c>
      <c r="C1438" s="29" t="str">
        <f>IFERROR(VLOOKUP(A1438,Tabla1[],6,0)," ")</f>
        <v xml:space="preserve"> </v>
      </c>
      <c r="D1438" s="30" t="str">
        <f>IFERROR(VLOOKUP(A1438,Tabla1[],8,0)," ")</f>
        <v xml:space="preserve"> </v>
      </c>
      <c r="E1438" s="31"/>
      <c r="F1438" s="30" t="str">
        <f t="shared" si="23"/>
        <v xml:space="preserve"> </v>
      </c>
    </row>
    <row r="1439" spans="1:6" ht="22.7" customHeight="1">
      <c r="A1439" s="28"/>
      <c r="B1439" s="29" t="str">
        <f>IFERROR(VLOOKUP(A1439,Tabla1[],2,0)," ")</f>
        <v xml:space="preserve"> </v>
      </c>
      <c r="C1439" s="29" t="str">
        <f>IFERROR(VLOOKUP(A1439,Tabla1[],6,0)," ")</f>
        <v xml:space="preserve"> </v>
      </c>
      <c r="D1439" s="30" t="str">
        <f>IFERROR(VLOOKUP(A1439,Tabla1[],8,0)," ")</f>
        <v xml:space="preserve"> </v>
      </c>
      <c r="E1439" s="31"/>
      <c r="F1439" s="30" t="str">
        <f t="shared" si="23"/>
        <v xml:space="preserve"> </v>
      </c>
    </row>
    <row r="1440" spans="1:6" ht="22.7" customHeight="1">
      <c r="A1440" s="28"/>
      <c r="B1440" s="29" t="str">
        <f>IFERROR(VLOOKUP(A1440,Tabla1[],2,0)," ")</f>
        <v xml:space="preserve"> </v>
      </c>
      <c r="C1440" s="29" t="str">
        <f>IFERROR(VLOOKUP(A1440,Tabla1[],6,0)," ")</f>
        <v xml:space="preserve"> </v>
      </c>
      <c r="D1440" s="30" t="str">
        <f>IFERROR(VLOOKUP(A1440,Tabla1[],8,0)," ")</f>
        <v xml:space="preserve"> </v>
      </c>
      <c r="E1440" s="31"/>
      <c r="F1440" s="30" t="str">
        <f t="shared" si="23"/>
        <v xml:space="preserve"> </v>
      </c>
    </row>
    <row r="1441" spans="1:6" ht="22.7" customHeight="1">
      <c r="A1441" s="28"/>
      <c r="B1441" s="29" t="str">
        <f>IFERROR(VLOOKUP(A1441,Tabla1[],2,0)," ")</f>
        <v xml:space="preserve"> </v>
      </c>
      <c r="C1441" s="29" t="str">
        <f>IFERROR(VLOOKUP(A1441,Tabla1[],6,0)," ")</f>
        <v xml:space="preserve"> </v>
      </c>
      <c r="D1441" s="30" t="str">
        <f>IFERROR(VLOOKUP(A1441,Tabla1[],8,0)," ")</f>
        <v xml:space="preserve"> </v>
      </c>
      <c r="E1441" s="31"/>
      <c r="F1441" s="30" t="str">
        <f t="shared" si="23"/>
        <v xml:space="preserve"> </v>
      </c>
    </row>
    <row r="1442" spans="1:6" ht="22.7" customHeight="1">
      <c r="A1442" s="28"/>
      <c r="B1442" s="29" t="str">
        <f>IFERROR(VLOOKUP(A1442,Tabla1[],2,0)," ")</f>
        <v xml:space="preserve"> </v>
      </c>
      <c r="C1442" s="29" t="str">
        <f>IFERROR(VLOOKUP(A1442,Tabla1[],6,0)," ")</f>
        <v xml:space="preserve"> </v>
      </c>
      <c r="D1442" s="30" t="str">
        <f>IFERROR(VLOOKUP(A1442,Tabla1[],8,0)," ")</f>
        <v xml:space="preserve"> </v>
      </c>
      <c r="E1442" s="31"/>
      <c r="F1442" s="30" t="str">
        <f t="shared" si="23"/>
        <v xml:space="preserve"> </v>
      </c>
    </row>
    <row r="1443" spans="1:6" ht="22.7" customHeight="1">
      <c r="A1443" s="28"/>
      <c r="B1443" s="29" t="str">
        <f>IFERROR(VLOOKUP(A1443,Tabla1[],2,0)," ")</f>
        <v xml:space="preserve"> </v>
      </c>
      <c r="C1443" s="29" t="str">
        <f>IFERROR(VLOOKUP(A1443,Tabla1[],6,0)," ")</f>
        <v xml:space="preserve"> </v>
      </c>
      <c r="D1443" s="30" t="str">
        <f>IFERROR(VLOOKUP(A1443,Tabla1[],8,0)," ")</f>
        <v xml:space="preserve"> </v>
      </c>
      <c r="E1443" s="31"/>
      <c r="F1443" s="30" t="str">
        <f t="shared" si="23"/>
        <v xml:space="preserve"> </v>
      </c>
    </row>
    <row r="1444" spans="1:6" ht="22.7" customHeight="1">
      <c r="A1444" s="28"/>
      <c r="B1444" s="29" t="str">
        <f>IFERROR(VLOOKUP(A1444,Tabla1[],2,0)," ")</f>
        <v xml:space="preserve"> </v>
      </c>
      <c r="C1444" s="29" t="str">
        <f>IFERROR(VLOOKUP(A1444,Tabla1[],6,0)," ")</f>
        <v xml:space="preserve"> </v>
      </c>
      <c r="D1444" s="30" t="str">
        <f>IFERROR(VLOOKUP(A1444,Tabla1[],8,0)," ")</f>
        <v xml:space="preserve"> </v>
      </c>
      <c r="E1444" s="31"/>
      <c r="F1444" s="30" t="str">
        <f t="shared" si="23"/>
        <v xml:space="preserve"> </v>
      </c>
    </row>
    <row r="1445" spans="1:6" ht="22.7" customHeight="1">
      <c r="A1445" s="28"/>
      <c r="B1445" s="29" t="str">
        <f>IFERROR(VLOOKUP(A1445,Tabla1[],2,0)," ")</f>
        <v xml:space="preserve"> </v>
      </c>
      <c r="C1445" s="29" t="str">
        <f>IFERROR(VLOOKUP(A1445,Tabla1[],6,0)," ")</f>
        <v xml:space="preserve"> </v>
      </c>
      <c r="D1445" s="30" t="str">
        <f>IFERROR(VLOOKUP(A1445,Tabla1[],8,0)," ")</f>
        <v xml:space="preserve"> </v>
      </c>
      <c r="E1445" s="31"/>
      <c r="F1445" s="30" t="str">
        <f t="shared" si="23"/>
        <v xml:space="preserve"> </v>
      </c>
    </row>
    <row r="1446" spans="1:6" ht="22.7" customHeight="1">
      <c r="A1446" s="28"/>
      <c r="B1446" s="29" t="str">
        <f>IFERROR(VLOOKUP(A1446,Tabla1[],2,0)," ")</f>
        <v xml:space="preserve"> </v>
      </c>
      <c r="C1446" s="29" t="str">
        <f>IFERROR(VLOOKUP(A1446,Tabla1[],6,0)," ")</f>
        <v xml:space="preserve"> </v>
      </c>
      <c r="D1446" s="30" t="str">
        <f>IFERROR(VLOOKUP(A1446,Tabla1[],8,0)," ")</f>
        <v xml:space="preserve"> </v>
      </c>
      <c r="E1446" s="31"/>
      <c r="F1446" s="30" t="str">
        <f t="shared" si="23"/>
        <v xml:space="preserve"> </v>
      </c>
    </row>
    <row r="1447" spans="1:6" ht="22.7" customHeight="1">
      <c r="A1447" s="28"/>
      <c r="B1447" s="29" t="str">
        <f>IFERROR(VLOOKUP(A1447,Tabla1[],2,0)," ")</f>
        <v xml:space="preserve"> </v>
      </c>
      <c r="C1447" s="29" t="str">
        <f>IFERROR(VLOOKUP(A1447,Tabla1[],6,0)," ")</f>
        <v xml:space="preserve"> </v>
      </c>
      <c r="D1447" s="30" t="str">
        <f>IFERROR(VLOOKUP(A1447,Tabla1[],8,0)," ")</f>
        <v xml:space="preserve"> </v>
      </c>
      <c r="E1447" s="31"/>
      <c r="F1447" s="30" t="str">
        <f t="shared" si="23"/>
        <v xml:space="preserve"> </v>
      </c>
    </row>
    <row r="1448" spans="1:6" ht="22.7" customHeight="1">
      <c r="A1448" s="28"/>
      <c r="B1448" s="29" t="str">
        <f>IFERROR(VLOOKUP(A1448,Tabla1[],2,0)," ")</f>
        <v xml:space="preserve"> </v>
      </c>
      <c r="C1448" s="29" t="str">
        <f>IFERROR(VLOOKUP(A1448,Tabla1[],6,0)," ")</f>
        <v xml:space="preserve"> </v>
      </c>
      <c r="D1448" s="30" t="str">
        <f>IFERROR(VLOOKUP(A1448,Tabla1[],8,0)," ")</f>
        <v xml:space="preserve"> </v>
      </c>
      <c r="E1448" s="31"/>
      <c r="F1448" s="30" t="str">
        <f t="shared" si="23"/>
        <v xml:space="preserve"> </v>
      </c>
    </row>
    <row r="1449" spans="1:6" ht="22.7" customHeight="1">
      <c r="A1449" s="28"/>
      <c r="B1449" s="29" t="str">
        <f>IFERROR(VLOOKUP(A1449,Tabla1[],2,0)," ")</f>
        <v xml:space="preserve"> </v>
      </c>
      <c r="C1449" s="29" t="str">
        <f>IFERROR(VLOOKUP(A1449,Tabla1[],6,0)," ")</f>
        <v xml:space="preserve"> </v>
      </c>
      <c r="D1449" s="30" t="str">
        <f>IFERROR(VLOOKUP(A1449,Tabla1[],8,0)," ")</f>
        <v xml:space="preserve"> </v>
      </c>
      <c r="E1449" s="31"/>
      <c r="F1449" s="30" t="str">
        <f t="shared" si="23"/>
        <v xml:space="preserve"> </v>
      </c>
    </row>
    <row r="1450" spans="1:6" ht="22.7" customHeight="1">
      <c r="A1450" s="28"/>
      <c r="B1450" s="29" t="str">
        <f>IFERROR(VLOOKUP(A1450,Tabla1[],2,0)," ")</f>
        <v xml:space="preserve"> </v>
      </c>
      <c r="C1450" s="29" t="str">
        <f>IFERROR(VLOOKUP(A1450,Tabla1[],6,0)," ")</f>
        <v xml:space="preserve"> </v>
      </c>
      <c r="D1450" s="30" t="str">
        <f>IFERROR(VLOOKUP(A1450,Tabla1[],8,0)," ")</f>
        <v xml:space="preserve"> </v>
      </c>
      <c r="E1450" s="31"/>
      <c r="F1450" s="30" t="str">
        <f t="shared" si="23"/>
        <v xml:space="preserve"> </v>
      </c>
    </row>
    <row r="1451" spans="1:6" ht="22.7" customHeight="1">
      <c r="A1451" s="28"/>
      <c r="B1451" s="29" t="str">
        <f>IFERROR(VLOOKUP(A1451,Tabla1[],2,0)," ")</f>
        <v xml:space="preserve"> </v>
      </c>
      <c r="C1451" s="29" t="str">
        <f>IFERROR(VLOOKUP(A1451,Tabla1[],6,0)," ")</f>
        <v xml:space="preserve"> </v>
      </c>
      <c r="D1451" s="30" t="str">
        <f>IFERROR(VLOOKUP(A1451,Tabla1[],8,0)," ")</f>
        <v xml:space="preserve"> </v>
      </c>
      <c r="E1451" s="31"/>
      <c r="F1451" s="30" t="str">
        <f t="shared" si="23"/>
        <v xml:space="preserve"> </v>
      </c>
    </row>
    <row r="1452" spans="1:6" ht="22.7" customHeight="1">
      <c r="A1452" s="28"/>
      <c r="B1452" s="29" t="str">
        <f>IFERROR(VLOOKUP(A1452,Tabla1[],2,0)," ")</f>
        <v xml:space="preserve"> </v>
      </c>
      <c r="C1452" s="29" t="str">
        <f>IFERROR(VLOOKUP(A1452,Tabla1[],6,0)," ")</f>
        <v xml:space="preserve"> </v>
      </c>
      <c r="D1452" s="30" t="str">
        <f>IFERROR(VLOOKUP(A1452,Tabla1[],8,0)," ")</f>
        <v xml:space="preserve"> </v>
      </c>
      <c r="E1452" s="31"/>
      <c r="F1452" s="30" t="str">
        <f t="shared" si="23"/>
        <v xml:space="preserve"> </v>
      </c>
    </row>
    <row r="1453" spans="1:6" ht="22.7" customHeight="1">
      <c r="A1453" s="28"/>
      <c r="B1453" s="29" t="str">
        <f>IFERROR(VLOOKUP(A1453,Tabla1[],2,0)," ")</f>
        <v xml:space="preserve"> </v>
      </c>
      <c r="C1453" s="29" t="str">
        <f>IFERROR(VLOOKUP(A1453,Tabla1[],6,0)," ")</f>
        <v xml:space="preserve"> </v>
      </c>
      <c r="D1453" s="30" t="str">
        <f>IFERROR(VLOOKUP(A1453,Tabla1[],8,0)," ")</f>
        <v xml:space="preserve"> </v>
      </c>
      <c r="E1453" s="31"/>
      <c r="F1453" s="30" t="str">
        <f t="shared" si="23"/>
        <v xml:space="preserve"> </v>
      </c>
    </row>
    <row r="1454" spans="1:6" ht="22.7" customHeight="1">
      <c r="A1454" s="28"/>
      <c r="B1454" s="29" t="str">
        <f>IFERROR(VLOOKUP(A1454,Tabla1[],2,0)," ")</f>
        <v xml:space="preserve"> </v>
      </c>
      <c r="C1454" s="29" t="str">
        <f>IFERROR(VLOOKUP(A1454,Tabla1[],6,0)," ")</f>
        <v xml:space="preserve"> </v>
      </c>
      <c r="D1454" s="30" t="str">
        <f>IFERROR(VLOOKUP(A1454,Tabla1[],8,0)," ")</f>
        <v xml:space="preserve"> </v>
      </c>
      <c r="E1454" s="31"/>
      <c r="F1454" s="30" t="str">
        <f t="shared" si="23"/>
        <v xml:space="preserve"> </v>
      </c>
    </row>
    <row r="1455" spans="1:6" ht="22.7" customHeight="1">
      <c r="A1455" s="28"/>
      <c r="B1455" s="29" t="str">
        <f>IFERROR(VLOOKUP(A1455,Tabla1[],2,0)," ")</f>
        <v xml:space="preserve"> </v>
      </c>
      <c r="C1455" s="29" t="str">
        <f>IFERROR(VLOOKUP(A1455,Tabla1[],6,0)," ")</f>
        <v xml:space="preserve"> </v>
      </c>
      <c r="D1455" s="30" t="str">
        <f>IFERROR(VLOOKUP(A1455,Tabla1[],8,0)," ")</f>
        <v xml:space="preserve"> </v>
      </c>
      <c r="E1455" s="31"/>
      <c r="F1455" s="30" t="str">
        <f t="shared" si="23"/>
        <v xml:space="preserve"> </v>
      </c>
    </row>
    <row r="1456" spans="1:6" ht="22.7" customHeight="1">
      <c r="A1456" s="28"/>
      <c r="B1456" s="29" t="str">
        <f>IFERROR(VLOOKUP(A1456,Tabla1[],2,0)," ")</f>
        <v xml:space="preserve"> </v>
      </c>
      <c r="C1456" s="29" t="str">
        <f>IFERROR(VLOOKUP(A1456,Tabla1[],6,0)," ")</f>
        <v xml:space="preserve"> </v>
      </c>
      <c r="D1456" s="30" t="str">
        <f>IFERROR(VLOOKUP(A1456,Tabla1[],8,0)," ")</f>
        <v xml:space="preserve"> </v>
      </c>
      <c r="E1456" s="31"/>
      <c r="F1456" s="30" t="str">
        <f t="shared" si="23"/>
        <v xml:space="preserve"> </v>
      </c>
    </row>
    <row r="1457" spans="1:6" ht="22.7" customHeight="1">
      <c r="A1457" s="28"/>
      <c r="B1457" s="29" t="str">
        <f>IFERROR(VLOOKUP(A1457,Tabla1[],2,0)," ")</f>
        <v xml:space="preserve"> </v>
      </c>
      <c r="C1457" s="29" t="str">
        <f>IFERROR(VLOOKUP(A1457,Tabla1[],6,0)," ")</f>
        <v xml:space="preserve"> </v>
      </c>
      <c r="D1457" s="30" t="str">
        <f>IFERROR(VLOOKUP(A1457,Tabla1[],8,0)," ")</f>
        <v xml:space="preserve"> </v>
      </c>
      <c r="E1457" s="31"/>
      <c r="F1457" s="30" t="str">
        <f t="shared" si="23"/>
        <v xml:space="preserve"> </v>
      </c>
    </row>
    <row r="1458" spans="1:6" ht="22.7" customHeight="1">
      <c r="A1458" s="28"/>
      <c r="B1458" s="29" t="str">
        <f>IFERROR(VLOOKUP(A1458,Tabla1[],2,0)," ")</f>
        <v xml:space="preserve"> </v>
      </c>
      <c r="C1458" s="29" t="str">
        <f>IFERROR(VLOOKUP(A1458,Tabla1[],6,0)," ")</f>
        <v xml:space="preserve"> </v>
      </c>
      <c r="D1458" s="30" t="str">
        <f>IFERROR(VLOOKUP(A1458,Tabla1[],8,0)," ")</f>
        <v xml:space="preserve"> </v>
      </c>
      <c r="E1458" s="31"/>
      <c r="F1458" s="30" t="str">
        <f t="shared" si="23"/>
        <v xml:space="preserve"> </v>
      </c>
    </row>
    <row r="1459" spans="1:6" ht="22.7" customHeight="1">
      <c r="A1459" s="28"/>
      <c r="B1459" s="29" t="str">
        <f>IFERROR(VLOOKUP(A1459,Tabla1[],2,0)," ")</f>
        <v xml:space="preserve"> </v>
      </c>
      <c r="C1459" s="29" t="str">
        <f>IFERROR(VLOOKUP(A1459,Tabla1[],6,0)," ")</f>
        <v xml:space="preserve"> </v>
      </c>
      <c r="D1459" s="30" t="str">
        <f>IFERROR(VLOOKUP(A1459,Tabla1[],8,0)," ")</f>
        <v xml:space="preserve"> </v>
      </c>
      <c r="E1459" s="31"/>
      <c r="F1459" s="30" t="str">
        <f t="shared" si="23"/>
        <v xml:space="preserve"> </v>
      </c>
    </row>
    <row r="1460" spans="1:6" ht="22.7" customHeight="1">
      <c r="A1460" s="28"/>
      <c r="B1460" s="29" t="str">
        <f>IFERROR(VLOOKUP(A1460,Tabla1[],2,0)," ")</f>
        <v xml:space="preserve"> </v>
      </c>
      <c r="C1460" s="29" t="str">
        <f>IFERROR(VLOOKUP(A1460,Tabla1[],6,0)," ")</f>
        <v xml:space="preserve"> </v>
      </c>
      <c r="D1460" s="30" t="str">
        <f>IFERROR(VLOOKUP(A1460,Tabla1[],8,0)," ")</f>
        <v xml:space="preserve"> </v>
      </c>
      <c r="E1460" s="31"/>
      <c r="F1460" s="30" t="str">
        <f t="shared" si="23"/>
        <v xml:space="preserve"> </v>
      </c>
    </row>
    <row r="1461" spans="1:6" ht="22.7" customHeight="1">
      <c r="A1461" s="28"/>
      <c r="B1461" s="29" t="str">
        <f>IFERROR(VLOOKUP(A1461,Tabla1[],2,0)," ")</f>
        <v xml:space="preserve"> </v>
      </c>
      <c r="C1461" s="29" t="str">
        <f>IFERROR(VLOOKUP(A1461,Tabla1[],6,0)," ")</f>
        <v xml:space="preserve"> </v>
      </c>
      <c r="D1461" s="30" t="str">
        <f>IFERROR(VLOOKUP(A1461,Tabla1[],8,0)," ")</f>
        <v xml:space="preserve"> </v>
      </c>
      <c r="E1461" s="31"/>
      <c r="F1461" s="30" t="str">
        <f t="shared" si="23"/>
        <v xml:space="preserve"> </v>
      </c>
    </row>
    <row r="1462" spans="1:6" ht="22.7" customHeight="1">
      <c r="A1462" s="28"/>
      <c r="B1462" s="29" t="str">
        <f>IFERROR(VLOOKUP(A1462,Tabla1[],2,0)," ")</f>
        <v xml:space="preserve"> </v>
      </c>
      <c r="C1462" s="29" t="str">
        <f>IFERROR(VLOOKUP(A1462,Tabla1[],6,0)," ")</f>
        <v xml:space="preserve"> </v>
      </c>
      <c r="D1462" s="30" t="str">
        <f>IFERROR(VLOOKUP(A1462,Tabla1[],8,0)," ")</f>
        <v xml:space="preserve"> </v>
      </c>
      <c r="E1462" s="31"/>
      <c r="F1462" s="30" t="str">
        <f t="shared" si="23"/>
        <v xml:space="preserve"> </v>
      </c>
    </row>
    <row r="1463" spans="1:6" ht="22.7" customHeight="1">
      <c r="A1463" s="28"/>
      <c r="B1463" s="29" t="str">
        <f>IFERROR(VLOOKUP(A1463,Tabla1[],2,0)," ")</f>
        <v xml:space="preserve"> </v>
      </c>
      <c r="C1463" s="29" t="str">
        <f>IFERROR(VLOOKUP(A1463,Tabla1[],6,0)," ")</f>
        <v xml:space="preserve"> </v>
      </c>
      <c r="D1463" s="30" t="str">
        <f>IFERROR(VLOOKUP(A1463,Tabla1[],8,0)," ")</f>
        <v xml:space="preserve"> </v>
      </c>
      <c r="E1463" s="31"/>
      <c r="F1463" s="30" t="str">
        <f t="shared" si="23"/>
        <v xml:space="preserve"> </v>
      </c>
    </row>
    <row r="1464" spans="1:6" ht="22.7" customHeight="1">
      <c r="A1464" s="28"/>
      <c r="B1464" s="29" t="str">
        <f>IFERROR(VLOOKUP(A1464,Tabla1[],2,0)," ")</f>
        <v xml:space="preserve"> </v>
      </c>
      <c r="C1464" s="29" t="str">
        <f>IFERROR(VLOOKUP(A1464,Tabla1[],6,0)," ")</f>
        <v xml:space="preserve"> </v>
      </c>
      <c r="D1464" s="30" t="str">
        <f>IFERROR(VLOOKUP(A1464,Tabla1[],8,0)," ")</f>
        <v xml:space="preserve"> </v>
      </c>
      <c r="E1464" s="31"/>
      <c r="F1464" s="30" t="str">
        <f t="shared" si="23"/>
        <v xml:space="preserve"> </v>
      </c>
    </row>
    <row r="1465" spans="1:6" ht="22.7" customHeight="1">
      <c r="A1465" s="28"/>
      <c r="B1465" s="29" t="str">
        <f>IFERROR(VLOOKUP(A1465,Tabla1[],2,0)," ")</f>
        <v xml:space="preserve"> </v>
      </c>
      <c r="C1465" s="29" t="str">
        <f>IFERROR(VLOOKUP(A1465,Tabla1[],6,0)," ")</f>
        <v xml:space="preserve"> </v>
      </c>
      <c r="D1465" s="30" t="str">
        <f>IFERROR(VLOOKUP(A1465,Tabla1[],8,0)," ")</f>
        <v xml:space="preserve"> </v>
      </c>
      <c r="E1465" s="31"/>
      <c r="F1465" s="30" t="str">
        <f t="shared" si="23"/>
        <v xml:space="preserve"> </v>
      </c>
    </row>
    <row r="1466" spans="1:6" ht="22.7" customHeight="1">
      <c r="A1466" s="28"/>
      <c r="B1466" s="29" t="str">
        <f>IFERROR(VLOOKUP(A1466,Tabla1[],2,0)," ")</f>
        <v xml:space="preserve"> </v>
      </c>
      <c r="C1466" s="29" t="str">
        <f>IFERROR(VLOOKUP(A1466,Tabla1[],6,0)," ")</f>
        <v xml:space="preserve"> </v>
      </c>
      <c r="D1466" s="30" t="str">
        <f>IFERROR(VLOOKUP(A1466,Tabla1[],8,0)," ")</f>
        <v xml:space="preserve"> </v>
      </c>
      <c r="E1466" s="31"/>
      <c r="F1466" s="30" t="str">
        <f t="shared" si="23"/>
        <v xml:space="preserve"> </v>
      </c>
    </row>
    <row r="1467" spans="1:6" ht="22.7" customHeight="1">
      <c r="A1467" s="28"/>
      <c r="B1467" s="29" t="str">
        <f>IFERROR(VLOOKUP(A1467,Tabla1[],2,0)," ")</f>
        <v xml:space="preserve"> </v>
      </c>
      <c r="C1467" s="29" t="str">
        <f>IFERROR(VLOOKUP(A1467,Tabla1[],6,0)," ")</f>
        <v xml:space="preserve"> </v>
      </c>
      <c r="D1467" s="30" t="str">
        <f>IFERROR(VLOOKUP(A1467,Tabla1[],8,0)," ")</f>
        <v xml:space="preserve"> </v>
      </c>
      <c r="E1467" s="31"/>
      <c r="F1467" s="30" t="str">
        <f t="shared" si="23"/>
        <v xml:space="preserve"> </v>
      </c>
    </row>
    <row r="1468" spans="1:6" ht="22.7" customHeight="1">
      <c r="A1468" s="28"/>
      <c r="B1468" s="29" t="str">
        <f>IFERROR(VLOOKUP(A1468,Tabla1[],2,0)," ")</f>
        <v xml:space="preserve"> </v>
      </c>
      <c r="C1468" s="29" t="str">
        <f>IFERROR(VLOOKUP(A1468,Tabla1[],6,0)," ")</f>
        <v xml:space="preserve"> </v>
      </c>
      <c r="D1468" s="30" t="str">
        <f>IFERROR(VLOOKUP(A1468,Tabla1[],8,0)," ")</f>
        <v xml:space="preserve"> </v>
      </c>
      <c r="E1468" s="31"/>
      <c r="F1468" s="30" t="str">
        <f t="shared" si="23"/>
        <v xml:space="preserve"> </v>
      </c>
    </row>
    <row r="1469" spans="1:6" ht="22.7" customHeight="1">
      <c r="A1469" s="28"/>
      <c r="B1469" s="29" t="str">
        <f>IFERROR(VLOOKUP(A1469,Tabla1[],2,0)," ")</f>
        <v xml:space="preserve"> </v>
      </c>
      <c r="C1469" s="29" t="str">
        <f>IFERROR(VLOOKUP(A1469,Tabla1[],6,0)," ")</f>
        <v xml:space="preserve"> </v>
      </c>
      <c r="D1469" s="30" t="str">
        <f>IFERROR(VLOOKUP(A1469,Tabla1[],8,0)," ")</f>
        <v xml:space="preserve"> </v>
      </c>
      <c r="E1469" s="31"/>
      <c r="F1469" s="30" t="str">
        <f t="shared" si="23"/>
        <v xml:space="preserve"> </v>
      </c>
    </row>
    <row r="1470" spans="1:6" ht="22.7" customHeight="1">
      <c r="A1470" s="28"/>
      <c r="B1470" s="29" t="str">
        <f>IFERROR(VLOOKUP(A1470,Tabla1[],2,0)," ")</f>
        <v xml:space="preserve"> </v>
      </c>
      <c r="C1470" s="29" t="str">
        <f>IFERROR(VLOOKUP(A1470,Tabla1[],6,0)," ")</f>
        <v xml:space="preserve"> </v>
      </c>
      <c r="D1470" s="30" t="str">
        <f>IFERROR(VLOOKUP(A1470,Tabla1[],8,0)," ")</f>
        <v xml:space="preserve"> </v>
      </c>
      <c r="E1470" s="31"/>
      <c r="F1470" s="30" t="str">
        <f t="shared" si="23"/>
        <v xml:space="preserve"> </v>
      </c>
    </row>
    <row r="1471" spans="1:6" ht="22.7" customHeight="1">
      <c r="A1471" s="28"/>
      <c r="B1471" s="29" t="str">
        <f>IFERROR(VLOOKUP(A1471,Tabla1[],2,0)," ")</f>
        <v xml:space="preserve"> </v>
      </c>
      <c r="C1471" s="29" t="str">
        <f>IFERROR(VLOOKUP(A1471,Tabla1[],6,0)," ")</f>
        <v xml:space="preserve"> </v>
      </c>
      <c r="D1471" s="30" t="str">
        <f>IFERROR(VLOOKUP(A1471,Tabla1[],8,0)," ")</f>
        <v xml:space="preserve"> </v>
      </c>
      <c r="E1471" s="31"/>
      <c r="F1471" s="30" t="str">
        <f t="shared" si="23"/>
        <v xml:space="preserve"> </v>
      </c>
    </row>
    <row r="1472" spans="1:6" ht="22.7" customHeight="1">
      <c r="A1472" s="28"/>
      <c r="B1472" s="29" t="str">
        <f>IFERROR(VLOOKUP(A1472,Tabla1[],2,0)," ")</f>
        <v xml:space="preserve"> </v>
      </c>
      <c r="C1472" s="29" t="str">
        <f>IFERROR(VLOOKUP(A1472,Tabla1[],6,0)," ")</f>
        <v xml:space="preserve"> </v>
      </c>
      <c r="D1472" s="30" t="str">
        <f>IFERROR(VLOOKUP(A1472,Tabla1[],8,0)," ")</f>
        <v xml:space="preserve"> </v>
      </c>
      <c r="E1472" s="31"/>
      <c r="F1472" s="30" t="str">
        <f t="shared" si="23"/>
        <v xml:space="preserve"> </v>
      </c>
    </row>
    <row r="1473" spans="1:6" ht="22.7" customHeight="1">
      <c r="A1473" s="28"/>
      <c r="B1473" s="29" t="str">
        <f>IFERROR(VLOOKUP(A1473,Tabla1[],2,0)," ")</f>
        <v xml:space="preserve"> </v>
      </c>
      <c r="C1473" s="29" t="str">
        <f>IFERROR(VLOOKUP(A1473,Tabla1[],6,0)," ")</f>
        <v xml:space="preserve"> </v>
      </c>
      <c r="D1473" s="30" t="str">
        <f>IFERROR(VLOOKUP(A1473,Tabla1[],8,0)," ")</f>
        <v xml:space="preserve"> </v>
      </c>
      <c r="E1473" s="31"/>
      <c r="F1473" s="30" t="str">
        <f t="shared" si="23"/>
        <v xml:space="preserve"> </v>
      </c>
    </row>
    <row r="1474" spans="1:6" ht="22.7" customHeight="1">
      <c r="A1474" s="28"/>
      <c r="B1474" s="29" t="str">
        <f>IFERROR(VLOOKUP(A1474,Tabla1[],2,0)," ")</f>
        <v xml:space="preserve"> </v>
      </c>
      <c r="C1474" s="29" t="str">
        <f>IFERROR(VLOOKUP(A1474,Tabla1[],6,0)," ")</f>
        <v xml:space="preserve"> </v>
      </c>
      <c r="D1474" s="30" t="str">
        <f>IFERROR(VLOOKUP(A1474,Tabla1[],8,0)," ")</f>
        <v xml:space="preserve"> </v>
      </c>
      <c r="E1474" s="31"/>
      <c r="F1474" s="30" t="str">
        <f t="shared" si="23"/>
        <v xml:space="preserve"> </v>
      </c>
    </row>
    <row r="1475" spans="1:6" ht="22.7" customHeight="1">
      <c r="A1475" s="28"/>
      <c r="B1475" s="29" t="str">
        <f>IFERROR(VLOOKUP(A1475,Tabla1[],2,0)," ")</f>
        <v xml:space="preserve"> </v>
      </c>
      <c r="C1475" s="29" t="str">
        <f>IFERROR(VLOOKUP(A1475,Tabla1[],6,0)," ")</f>
        <v xml:space="preserve"> </v>
      </c>
      <c r="D1475" s="30" t="str">
        <f>IFERROR(VLOOKUP(A1475,Tabla1[],8,0)," ")</f>
        <v xml:space="preserve"> </v>
      </c>
      <c r="E1475" s="31"/>
      <c r="F1475" s="30" t="str">
        <f t="shared" si="23"/>
        <v xml:space="preserve"> </v>
      </c>
    </row>
    <row r="1476" spans="1:6" ht="22.7" customHeight="1">
      <c r="A1476" s="28"/>
      <c r="B1476" s="29" t="str">
        <f>IFERROR(VLOOKUP(A1476,Tabla1[],2,0)," ")</f>
        <v xml:space="preserve"> </v>
      </c>
      <c r="C1476" s="29" t="str">
        <f>IFERROR(VLOOKUP(A1476,Tabla1[],6,0)," ")</f>
        <v xml:space="preserve"> </v>
      </c>
      <c r="D1476" s="30" t="str">
        <f>IFERROR(VLOOKUP(A1476,Tabla1[],8,0)," ")</f>
        <v xml:space="preserve"> </v>
      </c>
      <c r="E1476" s="31"/>
      <c r="F1476" s="30" t="str">
        <f t="shared" ref="F1476:F1500" si="24">IFERROR((E1476*D1476), " ")</f>
        <v xml:space="preserve"> </v>
      </c>
    </row>
    <row r="1477" spans="1:6" ht="22.7" customHeight="1">
      <c r="A1477" s="28"/>
      <c r="B1477" s="29" t="str">
        <f>IFERROR(VLOOKUP(A1477,Tabla1[],2,0)," ")</f>
        <v xml:space="preserve"> </v>
      </c>
      <c r="C1477" s="29" t="str">
        <f>IFERROR(VLOOKUP(A1477,Tabla1[],6,0)," ")</f>
        <v xml:space="preserve"> </v>
      </c>
      <c r="D1477" s="30" t="str">
        <f>IFERROR(VLOOKUP(A1477,Tabla1[],8,0)," ")</f>
        <v xml:space="preserve"> </v>
      </c>
      <c r="E1477" s="31"/>
      <c r="F1477" s="30" t="str">
        <f t="shared" si="24"/>
        <v xml:space="preserve"> </v>
      </c>
    </row>
    <row r="1478" spans="1:6" ht="22.7" customHeight="1">
      <c r="A1478" s="28"/>
      <c r="B1478" s="29" t="str">
        <f>IFERROR(VLOOKUP(A1478,Tabla1[],2,0)," ")</f>
        <v xml:space="preserve"> </v>
      </c>
      <c r="C1478" s="29" t="str">
        <f>IFERROR(VLOOKUP(A1478,Tabla1[],6,0)," ")</f>
        <v xml:space="preserve"> </v>
      </c>
      <c r="D1478" s="30" t="str">
        <f>IFERROR(VLOOKUP(A1478,Tabla1[],8,0)," ")</f>
        <v xml:space="preserve"> </v>
      </c>
      <c r="E1478" s="31"/>
      <c r="F1478" s="30" t="str">
        <f t="shared" si="24"/>
        <v xml:space="preserve"> </v>
      </c>
    </row>
    <row r="1479" spans="1:6" ht="22.7" customHeight="1">
      <c r="A1479" s="28"/>
      <c r="B1479" s="29" t="str">
        <f>IFERROR(VLOOKUP(A1479,Tabla1[],2,0)," ")</f>
        <v xml:space="preserve"> </v>
      </c>
      <c r="C1479" s="29" t="str">
        <f>IFERROR(VLOOKUP(A1479,Tabla1[],6,0)," ")</f>
        <v xml:space="preserve"> </v>
      </c>
      <c r="D1479" s="30" t="str">
        <f>IFERROR(VLOOKUP(A1479,Tabla1[],8,0)," ")</f>
        <v xml:space="preserve"> </v>
      </c>
      <c r="E1479" s="31"/>
      <c r="F1479" s="30" t="str">
        <f t="shared" si="24"/>
        <v xml:space="preserve"> </v>
      </c>
    </row>
    <row r="1480" spans="1:6" ht="22.7" customHeight="1">
      <c r="A1480" s="28"/>
      <c r="B1480" s="29" t="str">
        <f>IFERROR(VLOOKUP(A1480,Tabla1[],2,0)," ")</f>
        <v xml:space="preserve"> </v>
      </c>
      <c r="C1480" s="29" t="str">
        <f>IFERROR(VLOOKUP(A1480,Tabla1[],6,0)," ")</f>
        <v xml:space="preserve"> </v>
      </c>
      <c r="D1480" s="30" t="str">
        <f>IFERROR(VLOOKUP(A1480,Tabla1[],8,0)," ")</f>
        <v xml:space="preserve"> </v>
      </c>
      <c r="E1480" s="31"/>
      <c r="F1480" s="30" t="str">
        <f t="shared" si="24"/>
        <v xml:space="preserve"> </v>
      </c>
    </row>
    <row r="1481" spans="1:6" ht="22.7" customHeight="1">
      <c r="A1481" s="28"/>
      <c r="B1481" s="29" t="str">
        <f>IFERROR(VLOOKUP(A1481,Tabla1[],2,0)," ")</f>
        <v xml:space="preserve"> </v>
      </c>
      <c r="C1481" s="29" t="str">
        <f>IFERROR(VLOOKUP(A1481,Tabla1[],6,0)," ")</f>
        <v xml:space="preserve"> </v>
      </c>
      <c r="D1481" s="30" t="str">
        <f>IFERROR(VLOOKUP(A1481,Tabla1[],8,0)," ")</f>
        <v xml:space="preserve"> </v>
      </c>
      <c r="E1481" s="31"/>
      <c r="F1481" s="30" t="str">
        <f t="shared" si="24"/>
        <v xml:space="preserve"> </v>
      </c>
    </row>
    <row r="1482" spans="1:6" ht="22.7" customHeight="1">
      <c r="A1482" s="28"/>
      <c r="B1482" s="29" t="str">
        <f>IFERROR(VLOOKUP(A1482,Tabla1[],2,0)," ")</f>
        <v xml:space="preserve"> </v>
      </c>
      <c r="C1482" s="29" t="str">
        <f>IFERROR(VLOOKUP(A1482,Tabla1[],6,0)," ")</f>
        <v xml:space="preserve"> </v>
      </c>
      <c r="D1482" s="30" t="str">
        <f>IFERROR(VLOOKUP(A1482,Tabla1[],8,0)," ")</f>
        <v xml:space="preserve"> </v>
      </c>
      <c r="E1482" s="31"/>
      <c r="F1482" s="30" t="str">
        <f t="shared" si="24"/>
        <v xml:space="preserve"> </v>
      </c>
    </row>
    <row r="1483" spans="1:6" ht="22.7" customHeight="1">
      <c r="A1483" s="28"/>
      <c r="B1483" s="29" t="str">
        <f>IFERROR(VLOOKUP(A1483,Tabla1[],2,0)," ")</f>
        <v xml:space="preserve"> </v>
      </c>
      <c r="C1483" s="29" t="str">
        <f>IFERROR(VLOOKUP(A1483,Tabla1[],6,0)," ")</f>
        <v xml:space="preserve"> </v>
      </c>
      <c r="D1483" s="30" t="str">
        <f>IFERROR(VLOOKUP(A1483,Tabla1[],8,0)," ")</f>
        <v xml:space="preserve"> </v>
      </c>
      <c r="E1483" s="31"/>
      <c r="F1483" s="30" t="str">
        <f t="shared" si="24"/>
        <v xml:space="preserve"> </v>
      </c>
    </row>
    <row r="1484" spans="1:6" ht="22.7" customHeight="1">
      <c r="A1484" s="28"/>
      <c r="B1484" s="29" t="str">
        <f>IFERROR(VLOOKUP(A1484,Tabla1[],2,0)," ")</f>
        <v xml:space="preserve"> </v>
      </c>
      <c r="C1484" s="29" t="str">
        <f>IFERROR(VLOOKUP(A1484,Tabla1[],6,0)," ")</f>
        <v xml:space="preserve"> </v>
      </c>
      <c r="D1484" s="30" t="str">
        <f>IFERROR(VLOOKUP(A1484,Tabla1[],8,0)," ")</f>
        <v xml:space="preserve"> </v>
      </c>
      <c r="E1484" s="31"/>
      <c r="F1484" s="30" t="str">
        <f t="shared" si="24"/>
        <v xml:space="preserve"> </v>
      </c>
    </row>
    <row r="1485" spans="1:6" ht="22.7" customHeight="1">
      <c r="A1485" s="28"/>
      <c r="B1485" s="29" t="str">
        <f>IFERROR(VLOOKUP(A1485,Tabla1[],2,0)," ")</f>
        <v xml:space="preserve"> </v>
      </c>
      <c r="C1485" s="29" t="str">
        <f>IFERROR(VLOOKUP(A1485,Tabla1[],6,0)," ")</f>
        <v xml:space="preserve"> </v>
      </c>
      <c r="D1485" s="30" t="str">
        <f>IFERROR(VLOOKUP(A1485,Tabla1[],8,0)," ")</f>
        <v xml:space="preserve"> </v>
      </c>
      <c r="E1485" s="31"/>
      <c r="F1485" s="30" t="str">
        <f t="shared" si="24"/>
        <v xml:space="preserve"> </v>
      </c>
    </row>
    <row r="1486" spans="1:6" ht="22.7" customHeight="1">
      <c r="A1486" s="28"/>
      <c r="B1486" s="29" t="str">
        <f>IFERROR(VLOOKUP(A1486,Tabla1[],2,0)," ")</f>
        <v xml:space="preserve"> </v>
      </c>
      <c r="C1486" s="29" t="str">
        <f>IFERROR(VLOOKUP(A1486,Tabla1[],6,0)," ")</f>
        <v xml:space="preserve"> </v>
      </c>
      <c r="D1486" s="30" t="str">
        <f>IFERROR(VLOOKUP(A1486,Tabla1[],8,0)," ")</f>
        <v xml:space="preserve"> </v>
      </c>
      <c r="E1486" s="31"/>
      <c r="F1486" s="30" t="str">
        <f t="shared" si="24"/>
        <v xml:space="preserve"> </v>
      </c>
    </row>
    <row r="1487" spans="1:6" ht="22.7" customHeight="1">
      <c r="A1487" s="28"/>
      <c r="B1487" s="29" t="str">
        <f>IFERROR(VLOOKUP(A1487,Tabla1[],2,0)," ")</f>
        <v xml:space="preserve"> </v>
      </c>
      <c r="C1487" s="29" t="str">
        <f>IFERROR(VLOOKUP(A1487,Tabla1[],6,0)," ")</f>
        <v xml:space="preserve"> </v>
      </c>
      <c r="D1487" s="30" t="str">
        <f>IFERROR(VLOOKUP(A1487,Tabla1[],8,0)," ")</f>
        <v xml:space="preserve"> </v>
      </c>
      <c r="E1487" s="31"/>
      <c r="F1487" s="30" t="str">
        <f t="shared" si="24"/>
        <v xml:space="preserve"> </v>
      </c>
    </row>
    <row r="1488" spans="1:6" ht="22.7" customHeight="1">
      <c r="A1488" s="28"/>
      <c r="B1488" s="29" t="str">
        <f>IFERROR(VLOOKUP(A1488,Tabla1[],2,0)," ")</f>
        <v xml:space="preserve"> </v>
      </c>
      <c r="C1488" s="29" t="str">
        <f>IFERROR(VLOOKUP(A1488,Tabla1[],6,0)," ")</f>
        <v xml:space="preserve"> </v>
      </c>
      <c r="D1488" s="30" t="str">
        <f>IFERROR(VLOOKUP(A1488,Tabla1[],8,0)," ")</f>
        <v xml:space="preserve"> </v>
      </c>
      <c r="E1488" s="31"/>
      <c r="F1488" s="30" t="str">
        <f t="shared" si="24"/>
        <v xml:space="preserve"> </v>
      </c>
    </row>
    <row r="1489" spans="1:6" ht="22.7" customHeight="1">
      <c r="A1489" s="28"/>
      <c r="B1489" s="29" t="str">
        <f>IFERROR(VLOOKUP(A1489,Tabla1[],2,0)," ")</f>
        <v xml:space="preserve"> </v>
      </c>
      <c r="C1489" s="29" t="str">
        <f>IFERROR(VLOOKUP(A1489,Tabla1[],6,0)," ")</f>
        <v xml:space="preserve"> </v>
      </c>
      <c r="D1489" s="30" t="str">
        <f>IFERROR(VLOOKUP(A1489,Tabla1[],8,0)," ")</f>
        <v xml:space="preserve"> </v>
      </c>
      <c r="E1489" s="31"/>
      <c r="F1489" s="30" t="str">
        <f t="shared" si="24"/>
        <v xml:space="preserve"> </v>
      </c>
    </row>
    <row r="1490" spans="1:6" ht="22.7" customHeight="1">
      <c r="A1490" s="28"/>
      <c r="B1490" s="29" t="str">
        <f>IFERROR(VLOOKUP(A1490,Tabla1[],2,0)," ")</f>
        <v xml:space="preserve"> </v>
      </c>
      <c r="C1490" s="29" t="str">
        <f>IFERROR(VLOOKUP(A1490,Tabla1[],6,0)," ")</f>
        <v xml:space="preserve"> </v>
      </c>
      <c r="D1490" s="30" t="str">
        <f>IFERROR(VLOOKUP(A1490,Tabla1[],8,0)," ")</f>
        <v xml:space="preserve"> </v>
      </c>
      <c r="E1490" s="31"/>
      <c r="F1490" s="30" t="str">
        <f t="shared" si="24"/>
        <v xml:space="preserve"> </v>
      </c>
    </row>
    <row r="1491" spans="1:6" ht="22.7" customHeight="1">
      <c r="A1491" s="28"/>
      <c r="B1491" s="29" t="str">
        <f>IFERROR(VLOOKUP(A1491,Tabla1[],2,0)," ")</f>
        <v xml:space="preserve"> </v>
      </c>
      <c r="C1491" s="29" t="str">
        <f>IFERROR(VLOOKUP(A1491,Tabla1[],6,0)," ")</f>
        <v xml:space="preserve"> </v>
      </c>
      <c r="D1491" s="30" t="str">
        <f>IFERROR(VLOOKUP(A1491,Tabla1[],8,0)," ")</f>
        <v xml:space="preserve"> </v>
      </c>
      <c r="E1491" s="31"/>
      <c r="F1491" s="30" t="str">
        <f t="shared" si="24"/>
        <v xml:space="preserve"> </v>
      </c>
    </row>
    <row r="1492" spans="1:6" ht="22.7" customHeight="1">
      <c r="A1492" s="28"/>
      <c r="B1492" s="29" t="str">
        <f>IFERROR(VLOOKUP(A1492,Tabla1[],2,0)," ")</f>
        <v xml:space="preserve"> </v>
      </c>
      <c r="C1492" s="29" t="str">
        <f>IFERROR(VLOOKUP(A1492,Tabla1[],6,0)," ")</f>
        <v xml:space="preserve"> </v>
      </c>
      <c r="D1492" s="30" t="str">
        <f>IFERROR(VLOOKUP(A1492,Tabla1[],8,0)," ")</f>
        <v xml:space="preserve"> </v>
      </c>
      <c r="E1492" s="31"/>
      <c r="F1492" s="30" t="str">
        <f t="shared" si="24"/>
        <v xml:space="preserve"> </v>
      </c>
    </row>
    <row r="1493" spans="1:6" ht="22.7" customHeight="1">
      <c r="A1493" s="28"/>
      <c r="B1493" s="29" t="str">
        <f>IFERROR(VLOOKUP(A1493,Tabla1[],2,0)," ")</f>
        <v xml:space="preserve"> </v>
      </c>
      <c r="C1493" s="29" t="str">
        <f>IFERROR(VLOOKUP(A1493,Tabla1[],6,0)," ")</f>
        <v xml:space="preserve"> </v>
      </c>
      <c r="D1493" s="30" t="str">
        <f>IFERROR(VLOOKUP(A1493,Tabla1[],8,0)," ")</f>
        <v xml:space="preserve"> </v>
      </c>
      <c r="E1493" s="31"/>
      <c r="F1493" s="30" t="str">
        <f t="shared" si="24"/>
        <v xml:space="preserve"> </v>
      </c>
    </row>
    <row r="1494" spans="1:6" ht="22.7" customHeight="1">
      <c r="A1494" s="28"/>
      <c r="B1494" s="29" t="str">
        <f>IFERROR(VLOOKUP(A1494,Tabla1[],2,0)," ")</f>
        <v xml:space="preserve"> </v>
      </c>
      <c r="C1494" s="29" t="str">
        <f>IFERROR(VLOOKUP(A1494,Tabla1[],6,0)," ")</f>
        <v xml:space="preserve"> </v>
      </c>
      <c r="D1494" s="30" t="str">
        <f>IFERROR(VLOOKUP(A1494,Tabla1[],8,0)," ")</f>
        <v xml:space="preserve"> </v>
      </c>
      <c r="E1494" s="31"/>
      <c r="F1494" s="30" t="str">
        <f t="shared" si="24"/>
        <v xml:space="preserve"> </v>
      </c>
    </row>
    <row r="1495" spans="1:6" ht="22.7" customHeight="1">
      <c r="A1495" s="28"/>
      <c r="B1495" s="29" t="str">
        <f>IFERROR(VLOOKUP(A1495,Tabla1[],2,0)," ")</f>
        <v xml:space="preserve"> </v>
      </c>
      <c r="C1495" s="29" t="str">
        <f>IFERROR(VLOOKUP(A1495,Tabla1[],6,0)," ")</f>
        <v xml:space="preserve"> </v>
      </c>
      <c r="D1495" s="30" t="str">
        <f>IFERROR(VLOOKUP(A1495,Tabla1[],8,0)," ")</f>
        <v xml:space="preserve"> </v>
      </c>
      <c r="E1495" s="31"/>
      <c r="F1495" s="30" t="str">
        <f t="shared" si="24"/>
        <v xml:space="preserve"> </v>
      </c>
    </row>
    <row r="1496" spans="1:6" ht="22.7" customHeight="1">
      <c r="A1496" s="28"/>
      <c r="B1496" s="29" t="str">
        <f>IFERROR(VLOOKUP(A1496,Tabla1[],2,0)," ")</f>
        <v xml:space="preserve"> </v>
      </c>
      <c r="C1496" s="29" t="str">
        <f>IFERROR(VLOOKUP(A1496,Tabla1[],6,0)," ")</f>
        <v xml:space="preserve"> </v>
      </c>
      <c r="D1496" s="30" t="str">
        <f>IFERROR(VLOOKUP(A1496,Tabla1[],8,0)," ")</f>
        <v xml:space="preserve"> </v>
      </c>
      <c r="E1496" s="31"/>
      <c r="F1496" s="30" t="str">
        <f t="shared" si="24"/>
        <v xml:space="preserve"> </v>
      </c>
    </row>
    <row r="1497" spans="1:6" ht="22.7" customHeight="1">
      <c r="A1497" s="28"/>
      <c r="B1497" s="29" t="str">
        <f>IFERROR(VLOOKUP(A1497,Tabla1[],2,0)," ")</f>
        <v xml:space="preserve"> </v>
      </c>
      <c r="C1497" s="29" t="str">
        <f>IFERROR(VLOOKUP(A1497,Tabla1[],6,0)," ")</f>
        <v xml:space="preserve"> </v>
      </c>
      <c r="D1497" s="30" t="str">
        <f>IFERROR(VLOOKUP(A1497,Tabla1[],8,0)," ")</f>
        <v xml:space="preserve"> </v>
      </c>
      <c r="E1497" s="31"/>
      <c r="F1497" s="30" t="str">
        <f t="shared" si="24"/>
        <v xml:space="preserve"> </v>
      </c>
    </row>
    <row r="1498" spans="1:6" ht="22.7" customHeight="1">
      <c r="A1498" s="28"/>
      <c r="B1498" s="29" t="str">
        <f>IFERROR(VLOOKUP(A1498,Tabla1[],2,0)," ")</f>
        <v xml:space="preserve"> </v>
      </c>
      <c r="C1498" s="29" t="str">
        <f>IFERROR(VLOOKUP(A1498,Tabla1[],6,0)," ")</f>
        <v xml:space="preserve"> </v>
      </c>
      <c r="D1498" s="30" t="str">
        <f>IFERROR(VLOOKUP(A1498,Tabla1[],8,0)," ")</f>
        <v xml:space="preserve"> </v>
      </c>
      <c r="E1498" s="31"/>
      <c r="F1498" s="30" t="str">
        <f t="shared" si="24"/>
        <v xml:space="preserve"> </v>
      </c>
    </row>
    <row r="1499" spans="1:6" ht="22.7" customHeight="1">
      <c r="A1499" s="28"/>
      <c r="B1499" s="29" t="str">
        <f>IFERROR(VLOOKUP(A1499,Tabla1[],2,0)," ")</f>
        <v xml:space="preserve"> </v>
      </c>
      <c r="C1499" s="29" t="str">
        <f>IFERROR(VLOOKUP(A1499,Tabla1[],6,0)," ")</f>
        <v xml:space="preserve"> </v>
      </c>
      <c r="D1499" s="30" t="str">
        <f>IFERROR(VLOOKUP(A1499,Tabla1[],8,0)," ")</f>
        <v xml:space="preserve"> </v>
      </c>
      <c r="E1499" s="31"/>
      <c r="F1499" s="30" t="str">
        <f t="shared" si="24"/>
        <v xml:space="preserve"> </v>
      </c>
    </row>
    <row r="1500" spans="1:6" ht="22.7" customHeight="1">
      <c r="A1500" s="28"/>
      <c r="B1500" s="29" t="str">
        <f>IFERROR(VLOOKUP(A1500,Tabla1[],2,0)," ")</f>
        <v xml:space="preserve"> </v>
      </c>
      <c r="C1500" s="29" t="str">
        <f>IFERROR(VLOOKUP(A1500,Tabla1[],6,0)," ")</f>
        <v xml:space="preserve"> </v>
      </c>
      <c r="D1500" s="30" t="str">
        <f>IFERROR(VLOOKUP(A1500,Tabla1[],8,0)," ")</f>
        <v xml:space="preserve"> </v>
      </c>
      <c r="E1500" s="31"/>
      <c r="F1500" s="30" t="str">
        <f t="shared" si="24"/>
        <v xml:space="preserve"> </v>
      </c>
    </row>
  </sheetData>
  <mergeCells count="4">
    <mergeCell ref="A1:G1"/>
    <mergeCell ref="I1:J1"/>
    <mergeCell ref="I2:J3"/>
    <mergeCell ref="C2:G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6F8EEB-0F1F-4F68-AA10-81F8C48CF5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Por Moto</vt:lpstr>
      <vt:lpstr>Lista de precios general</vt:lpstr>
      <vt:lpstr>¡Empezá tu pedido!</vt:lpstr>
      <vt:lpstr>'Por Moto'!Área_de_impresión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SpeedMotors</cp:lastModifiedBy>
  <cp:lastPrinted>2021-07-12T18:41:35Z</cp:lastPrinted>
  <dcterms:created xsi:type="dcterms:W3CDTF">2011-05-11T19:51:54Z</dcterms:created>
  <dcterms:modified xsi:type="dcterms:W3CDTF">2026-04-13T14:49:43Z</dcterms:modified>
</cp:coreProperties>
</file>